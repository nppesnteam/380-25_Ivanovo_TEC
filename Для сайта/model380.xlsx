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.DESKTOP-JV0Q39O\Documents\GitHub\380-25_Ivanovo_TEC\Для сайта\"/>
    </mc:Choice>
  </mc:AlternateContent>
  <bookViews>
    <workbookView xWindow="-120" yWindow="-120" windowWidth="38640" windowHeight="21240" tabRatio="688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Лист1!$P$1:$P$601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Лист1!$P$1:$P$152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Лист1!$P$1:$P$186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Лист1!$P$1:$P$186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Лист1!$P$1:$P$186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Лист1!$P$1:$P$42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Лист1!$P$1:$P$42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Лист1!$P$1:$P$44</definedName>
  </definedNames>
  <calcPr calcId="162913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62" i="1" l="1"/>
  <c r="JZ562" i="1"/>
  <c r="MA562" i="1"/>
  <c r="MD374" i="1"/>
  <c r="ME374" i="1"/>
  <c r="MF374" i="1"/>
  <c r="MG374" i="1"/>
  <c r="MH374" i="1"/>
  <c r="MI374" i="1"/>
  <c r="MJ374" i="1"/>
  <c r="MK374" i="1"/>
  <c r="MR374" i="1"/>
  <c r="MS374" i="1"/>
  <c r="MA600" i="1"/>
  <c r="MA599" i="1"/>
  <c r="MA598" i="1"/>
  <c r="MA597" i="1"/>
  <c r="MA596" i="1"/>
  <c r="MA595" i="1"/>
  <c r="MA594" i="1"/>
  <c r="MA586" i="1"/>
  <c r="MA585" i="1"/>
  <c r="MA584" i="1"/>
  <c r="MA583" i="1"/>
  <c r="MA582" i="1"/>
  <c r="MA581" i="1"/>
  <c r="MA580" i="1"/>
  <c r="MA579" i="1"/>
  <c r="MA578" i="1"/>
  <c r="MA577" i="1"/>
  <c r="MA576" i="1"/>
  <c r="MA575" i="1"/>
  <c r="MA574" i="1"/>
  <c r="MA573" i="1"/>
  <c r="MA565" i="1"/>
  <c r="MA564" i="1"/>
  <c r="MA561" i="1"/>
  <c r="MA560" i="1"/>
  <c r="MA559" i="1"/>
  <c r="MA558" i="1"/>
  <c r="MA556" i="1"/>
  <c r="MA555" i="1"/>
  <c r="MA553" i="1"/>
  <c r="MA552" i="1"/>
  <c r="MA551" i="1"/>
  <c r="MA550" i="1"/>
  <c r="MA549" i="1"/>
  <c r="MA548" i="1"/>
  <c r="MA547" i="1"/>
  <c r="MA546" i="1"/>
  <c r="MA545" i="1"/>
  <c r="MA544" i="1"/>
  <c r="MA543" i="1"/>
  <c r="MA542" i="1"/>
  <c r="MA541" i="1"/>
  <c r="MA540" i="1"/>
  <c r="MA516" i="1"/>
  <c r="MA515" i="1"/>
  <c r="MA514" i="1"/>
  <c r="MA513" i="1"/>
  <c r="MA512" i="1"/>
  <c r="MA511" i="1"/>
  <c r="MA510" i="1"/>
  <c r="MA509" i="1"/>
  <c r="MA508" i="1"/>
  <c r="MA507" i="1"/>
  <c r="MA506" i="1"/>
  <c r="MA505" i="1"/>
  <c r="MA504" i="1"/>
  <c r="MA503" i="1"/>
  <c r="MA502" i="1"/>
  <c r="MA501" i="1"/>
  <c r="MA447" i="1"/>
  <c r="MA446" i="1"/>
  <c r="MA445" i="1"/>
  <c r="MA444" i="1"/>
  <c r="MA443" i="1"/>
  <c r="MA442" i="1"/>
  <c r="MA441" i="1"/>
  <c r="MA440" i="1"/>
  <c r="MA439" i="1"/>
  <c r="MA438" i="1"/>
  <c r="MA437" i="1"/>
  <c r="MA436" i="1"/>
  <c r="MA435" i="1"/>
  <c r="MA434" i="1"/>
  <c r="MA433" i="1"/>
  <c r="MA432" i="1"/>
  <c r="MA431" i="1"/>
  <c r="MA430" i="1"/>
  <c r="MA429" i="1"/>
  <c r="MA428" i="1"/>
  <c r="MA427" i="1"/>
  <c r="MA426" i="1"/>
  <c r="MA425" i="1"/>
  <c r="MA424" i="1"/>
  <c r="MA423" i="1"/>
  <c r="MA422" i="1"/>
  <c r="MA421" i="1"/>
  <c r="MA420" i="1"/>
  <c r="MA419" i="1"/>
  <c r="MA418" i="1"/>
  <c r="MA417" i="1"/>
  <c r="MA416" i="1"/>
  <c r="MA415" i="1"/>
  <c r="MA414" i="1"/>
  <c r="MA413" i="1"/>
  <c r="MA412" i="1"/>
  <c r="MA411" i="1"/>
  <c r="MA410" i="1"/>
  <c r="MA409" i="1"/>
  <c r="MA408" i="1"/>
  <c r="MA407" i="1"/>
  <c r="MA406" i="1"/>
  <c r="MA405" i="1"/>
  <c r="MA404" i="1"/>
  <c r="MA403" i="1"/>
  <c r="MA402" i="1"/>
  <c r="MA401" i="1"/>
  <c r="MA400" i="1"/>
  <c r="MA399" i="1"/>
  <c r="MA398" i="1"/>
  <c r="MA397" i="1"/>
  <c r="MA396" i="1"/>
  <c r="MA395" i="1"/>
  <c r="MA394" i="1"/>
  <c r="MA393" i="1"/>
  <c r="MA392" i="1"/>
  <c r="MA391" i="1"/>
  <c r="MA390" i="1"/>
  <c r="MA389" i="1"/>
  <c r="MA388" i="1"/>
  <c r="MA387" i="1"/>
  <c r="MA386" i="1"/>
  <c r="MA385" i="1"/>
  <c r="MA384" i="1"/>
  <c r="MA383" i="1"/>
  <c r="MA382" i="1"/>
  <c r="MA381" i="1"/>
  <c r="MA380" i="1"/>
  <c r="MA379" i="1"/>
  <c r="MA378" i="1"/>
  <c r="MA377" i="1"/>
  <c r="MA368" i="1"/>
  <c r="MA367" i="1"/>
  <c r="MA350" i="1"/>
  <c r="MA349" i="1"/>
  <c r="MA348" i="1"/>
  <c r="MA347" i="1"/>
  <c r="MA346" i="1"/>
  <c r="MA345" i="1"/>
  <c r="MA344" i="1"/>
  <c r="MA343" i="1"/>
  <c r="MA342" i="1"/>
  <c r="MA341" i="1"/>
  <c r="MA340" i="1"/>
  <c r="MA332" i="1"/>
  <c r="MA324" i="1"/>
  <c r="MA323" i="1"/>
  <c r="MA322" i="1"/>
  <c r="MA321" i="1"/>
  <c r="MA320" i="1"/>
  <c r="MA319" i="1"/>
  <c r="MA317" i="1"/>
  <c r="MA316" i="1"/>
  <c r="MA315" i="1"/>
  <c r="MA314" i="1"/>
  <c r="MA313" i="1"/>
  <c r="MA312" i="1"/>
  <c r="MA311" i="1"/>
  <c r="MA310" i="1"/>
  <c r="MA309" i="1"/>
  <c r="MA308" i="1"/>
  <c r="MA307" i="1"/>
  <c r="NJ180" i="1"/>
  <c r="NJ179" i="1"/>
  <c r="MA178" i="1"/>
  <c r="MA177" i="1"/>
  <c r="LZ177" i="1"/>
  <c r="KV169" i="1"/>
  <c r="CB33" i="1"/>
  <c r="CC33" i="1"/>
  <c r="CD33" i="1"/>
  <c r="CE33" i="1"/>
  <c r="AD7" i="1" a="1"/>
  <c r="AD7" i="1" s="1"/>
  <c r="AD12" i="1" a="1"/>
  <c r="AD12" i="1" s="1"/>
  <c r="AD17" i="1" a="1"/>
  <c r="AD17" i="1" s="1"/>
  <c r="AD22" i="1" a="1"/>
  <c r="AD22" i="1" s="1"/>
  <c r="AD27" i="1" a="1"/>
  <c r="AD27" i="1" s="1"/>
  <c r="AD32" i="1" a="1"/>
  <c r="AD32" i="1" s="1"/>
  <c r="AD34" i="1" a="1"/>
  <c r="AD34" i="1" s="1"/>
  <c r="AD43" i="1" a="1"/>
  <c r="AD43" i="1" s="1"/>
  <c r="AD48" i="1" a="1"/>
  <c r="AD48" i="1" s="1"/>
  <c r="AD53" i="1" a="1"/>
  <c r="AD53" i="1" s="1"/>
  <c r="AD169" i="1" a="1"/>
  <c r="AD169" i="1" s="1"/>
  <c r="AD225" i="1" a="1"/>
  <c r="AD225" i="1" s="1"/>
  <c r="AD2" i="1" a="1"/>
  <c r="AD2" i="1" s="1"/>
  <c r="UH332" i="1"/>
  <c r="UI332" i="1" s="1"/>
  <c r="UF332" i="1"/>
  <c r="SB565" i="1"/>
  <c r="SC565" i="1" s="1"/>
  <c r="SD565" i="1" s="1"/>
  <c r="SE565" i="1" s="1"/>
  <c r="SF565" i="1" s="1"/>
  <c r="SG565" i="1" s="1"/>
  <c r="SH565" i="1" s="1"/>
  <c r="SI565" i="1" s="1"/>
  <c r="SJ565" i="1" s="1"/>
  <c r="SK565" i="1" s="1"/>
  <c r="SL565" i="1" s="1"/>
  <c r="SM565" i="1" s="1"/>
  <c r="SN565" i="1" s="1"/>
  <c r="SO565" i="1" s="1"/>
  <c r="SP565" i="1" s="1"/>
  <c r="SQ565" i="1" s="1"/>
  <c r="SR565" i="1" s="1"/>
  <c r="SS565" i="1" s="1"/>
  <c r="ST565" i="1" s="1"/>
  <c r="SU565" i="1" s="1"/>
  <c r="SV565" i="1" s="1"/>
  <c r="SW565" i="1" s="1"/>
  <c r="RZ565" i="1"/>
  <c r="QS565" i="1"/>
  <c r="QU565" i="1" s="1"/>
  <c r="QW565" i="1" s="1"/>
  <c r="QY565" i="1" s="1"/>
  <c r="QR565" i="1"/>
  <c r="QT565" i="1" s="1"/>
  <c r="QV565" i="1" s="1"/>
  <c r="QX565" i="1" s="1"/>
  <c r="QE565" i="1"/>
  <c r="Y565" i="1" a="1"/>
  <c r="Y565" i="1" s="1"/>
  <c r="SB564" i="1"/>
  <c r="SC564" i="1" s="1"/>
  <c r="SD564" i="1" s="1"/>
  <c r="SE564" i="1" s="1"/>
  <c r="SF564" i="1" s="1"/>
  <c r="SG564" i="1" s="1"/>
  <c r="SH564" i="1" s="1"/>
  <c r="SI564" i="1" s="1"/>
  <c r="SJ564" i="1" s="1"/>
  <c r="SK564" i="1" s="1"/>
  <c r="SL564" i="1" s="1"/>
  <c r="SM564" i="1" s="1"/>
  <c r="SN564" i="1" s="1"/>
  <c r="SO564" i="1" s="1"/>
  <c r="SP564" i="1" s="1"/>
  <c r="SQ564" i="1" s="1"/>
  <c r="SR564" i="1" s="1"/>
  <c r="SS564" i="1" s="1"/>
  <c r="ST564" i="1" s="1"/>
  <c r="SU564" i="1" s="1"/>
  <c r="SV564" i="1" s="1"/>
  <c r="SW564" i="1" s="1"/>
  <c r="RZ564" i="1"/>
  <c r="QS564" i="1"/>
  <c r="QU564" i="1" s="1"/>
  <c r="QW564" i="1" s="1"/>
  <c r="QY564" i="1" s="1"/>
  <c r="QR564" i="1"/>
  <c r="QT564" i="1" s="1"/>
  <c r="QV564" i="1" s="1"/>
  <c r="QX564" i="1" s="1"/>
  <c r="QE564" i="1"/>
  <c r="Y564" i="1" a="1"/>
  <c r="Y564" i="1" s="1"/>
  <c r="AB565" i="1" l="1"/>
  <c r="AA565" i="1"/>
  <c r="RT564" i="1"/>
  <c r="RV565" i="1"/>
  <c r="AB564" i="1"/>
  <c r="AA564" i="1"/>
  <c r="RU564" i="1"/>
  <c r="RW565" i="1"/>
  <c r="RV564" i="1"/>
  <c r="RW564" i="1"/>
  <c r="RN565" i="1"/>
  <c r="RO565" i="1"/>
  <c r="RN564" i="1"/>
  <c r="RP565" i="1"/>
  <c r="RO564" i="1"/>
  <c r="RQ565" i="1"/>
  <c r="RQ564" i="1"/>
  <c r="RP564" i="1"/>
  <c r="RR565" i="1"/>
  <c r="RS565" i="1"/>
  <c r="RR564" i="1"/>
  <c r="RT565" i="1"/>
  <c r="RS564" i="1"/>
  <c r="RU565" i="1"/>
  <c r="AJ595" i="1" a="1"/>
  <c r="AJ595" i="1" s="1"/>
  <c r="AJ596" i="1" a="1"/>
  <c r="AJ596" i="1" s="1"/>
  <c r="AJ597" i="1" a="1"/>
  <c r="AJ597" i="1" s="1"/>
  <c r="AJ598" i="1" a="1"/>
  <c r="AJ598" i="1" s="1"/>
  <c r="AJ599" i="1" a="1"/>
  <c r="AJ599" i="1" s="1"/>
  <c r="AJ600" i="1" a="1"/>
  <c r="AJ600" i="1" s="1"/>
  <c r="AEO595" i="1"/>
  <c r="AEO596" i="1" s="1"/>
  <c r="AEO597" i="1" s="1"/>
  <c r="AEO598" i="1" s="1"/>
  <c r="AEO599" i="1" s="1"/>
  <c r="AEO600" i="1" s="1"/>
  <c r="AEN595" i="1"/>
  <c r="AEN596" i="1" s="1"/>
  <c r="AEN597" i="1" s="1"/>
  <c r="AEN598" i="1" s="1"/>
  <c r="AEN599" i="1" s="1"/>
  <c r="AEN600" i="1" s="1"/>
  <c r="AI594" i="1" a="1"/>
  <c r="AI594" i="1" s="1"/>
  <c r="AJ594" i="1" a="1"/>
  <c r="AJ594" i="1" s="1"/>
  <c r="MS588" i="1"/>
  <c r="MS589" i="1" s="1"/>
  <c r="MS590" i="1" s="1"/>
  <c r="MS591" i="1" s="1"/>
  <c r="MS592" i="1" s="1"/>
  <c r="MS593" i="1" s="1"/>
  <c r="MR588" i="1"/>
  <c r="MR589" i="1" s="1"/>
  <c r="MR590" i="1" s="1"/>
  <c r="MR591" i="1" s="1"/>
  <c r="MR592" i="1" s="1"/>
  <c r="MR593" i="1" s="1"/>
  <c r="MK588" i="1"/>
  <c r="MK589" i="1" s="1"/>
  <c r="MK590" i="1" s="1"/>
  <c r="MK591" i="1" s="1"/>
  <c r="MK592" i="1" s="1"/>
  <c r="MK593" i="1" s="1"/>
  <c r="MJ588" i="1"/>
  <c r="MJ589" i="1" s="1"/>
  <c r="MJ590" i="1" s="1"/>
  <c r="MJ591" i="1" s="1"/>
  <c r="MJ592" i="1" s="1"/>
  <c r="MJ593" i="1" s="1"/>
  <c r="MI588" i="1"/>
  <c r="MI589" i="1" s="1"/>
  <c r="MI590" i="1" s="1"/>
  <c r="MI591" i="1" s="1"/>
  <c r="MI592" i="1" s="1"/>
  <c r="MI593" i="1" s="1"/>
  <c r="MH588" i="1"/>
  <c r="MH589" i="1" s="1"/>
  <c r="MH590" i="1" s="1"/>
  <c r="MH591" i="1" s="1"/>
  <c r="MH592" i="1" s="1"/>
  <c r="MH593" i="1" s="1"/>
  <c r="MG588" i="1"/>
  <c r="MG589" i="1" s="1"/>
  <c r="MG590" i="1" s="1"/>
  <c r="MG591" i="1" s="1"/>
  <c r="MG592" i="1" s="1"/>
  <c r="MG593" i="1" s="1"/>
  <c r="MF588" i="1"/>
  <c r="MF589" i="1" s="1"/>
  <c r="MF590" i="1" s="1"/>
  <c r="MF591" i="1" s="1"/>
  <c r="MF592" i="1" s="1"/>
  <c r="MF593" i="1" s="1"/>
  <c r="ME588" i="1"/>
  <c r="ME589" i="1" s="1"/>
  <c r="ME590" i="1" s="1"/>
  <c r="ME591" i="1" s="1"/>
  <c r="ME592" i="1" s="1"/>
  <c r="ME593" i="1" s="1"/>
  <c r="MD588" i="1"/>
  <c r="MD589" i="1" s="1"/>
  <c r="MD590" i="1" s="1"/>
  <c r="MD591" i="1" s="1"/>
  <c r="MD592" i="1" s="1"/>
  <c r="MD593" i="1" s="1"/>
  <c r="AG587" i="1"/>
  <c r="MA587" i="1" s="1"/>
  <c r="AF587" i="1"/>
  <c r="LZ587" i="1" s="1"/>
  <c r="AE587" i="1" s="1" a="1"/>
  <c r="AE587" i="1" s="1"/>
  <c r="AC588" i="1" s="1"/>
  <c r="AED516" i="1"/>
  <c r="AED515" i="1"/>
  <c r="AED514" i="1"/>
  <c r="AED513" i="1"/>
  <c r="AED512" i="1"/>
  <c r="AED511" i="1"/>
  <c r="AED510" i="1"/>
  <c r="AED509" i="1"/>
  <c r="AED508" i="1"/>
  <c r="AED507" i="1"/>
  <c r="AED506" i="1"/>
  <c r="AED505" i="1"/>
  <c r="AED504" i="1"/>
  <c r="AED503" i="1"/>
  <c r="SB502" i="1"/>
  <c r="SC502" i="1" s="1"/>
  <c r="SD502" i="1" s="1"/>
  <c r="SE502" i="1" s="1"/>
  <c r="SF502" i="1" s="1"/>
  <c r="SG502" i="1" s="1"/>
  <c r="SH502" i="1" s="1"/>
  <c r="SI502" i="1" s="1"/>
  <c r="SJ502" i="1" s="1"/>
  <c r="SK502" i="1" s="1"/>
  <c r="SL502" i="1" s="1"/>
  <c r="SM502" i="1" s="1"/>
  <c r="SN502" i="1" s="1"/>
  <c r="SO502" i="1" s="1"/>
  <c r="SP502" i="1" s="1"/>
  <c r="SQ502" i="1" s="1"/>
  <c r="SR502" i="1" s="1"/>
  <c r="SS502" i="1" s="1"/>
  <c r="ST502" i="1" s="1"/>
  <c r="SU502" i="1" s="1"/>
  <c r="SV502" i="1" s="1"/>
  <c r="SW502" i="1" s="1"/>
  <c r="RZ502" i="1"/>
  <c r="QS502" i="1"/>
  <c r="QU502" i="1" s="1"/>
  <c r="QW502" i="1" s="1"/>
  <c r="QY502" i="1" s="1"/>
  <c r="QR502" i="1"/>
  <c r="QT502" i="1" s="1"/>
  <c r="QV502" i="1" s="1"/>
  <c r="QX502" i="1" s="1"/>
  <c r="QE502" i="1"/>
  <c r="SB501" i="1"/>
  <c r="SC501" i="1" s="1"/>
  <c r="SD501" i="1" s="1"/>
  <c r="SE501" i="1" s="1"/>
  <c r="SF501" i="1" s="1"/>
  <c r="SG501" i="1" s="1"/>
  <c r="SH501" i="1" s="1"/>
  <c r="SI501" i="1" s="1"/>
  <c r="SJ501" i="1" s="1"/>
  <c r="SK501" i="1" s="1"/>
  <c r="SL501" i="1" s="1"/>
  <c r="SM501" i="1" s="1"/>
  <c r="SN501" i="1" s="1"/>
  <c r="SO501" i="1" s="1"/>
  <c r="SP501" i="1" s="1"/>
  <c r="SQ501" i="1" s="1"/>
  <c r="SR501" i="1" s="1"/>
  <c r="SS501" i="1" s="1"/>
  <c r="ST501" i="1" s="1"/>
  <c r="SU501" i="1" s="1"/>
  <c r="SV501" i="1" s="1"/>
  <c r="SW501" i="1" s="1"/>
  <c r="RZ501" i="1"/>
  <c r="QS501" i="1"/>
  <c r="QU501" i="1" s="1"/>
  <c r="QW501" i="1" s="1"/>
  <c r="QY501" i="1" s="1"/>
  <c r="QR501" i="1"/>
  <c r="QT501" i="1" s="1"/>
  <c r="QV501" i="1" s="1"/>
  <c r="QX501" i="1" s="1"/>
  <c r="QE501" i="1"/>
  <c r="AED576" i="1"/>
  <c r="AED577" i="1"/>
  <c r="AED578" i="1"/>
  <c r="AED579" i="1"/>
  <c r="AED580" i="1"/>
  <c r="AED581" i="1"/>
  <c r="AED582" i="1"/>
  <c r="AED583" i="1"/>
  <c r="AED584" i="1"/>
  <c r="AED585" i="1"/>
  <c r="AED586" i="1"/>
  <c r="AED575" i="1"/>
  <c r="QE574" i="1"/>
  <c r="SB574" i="1"/>
  <c r="SC574" i="1" s="1"/>
  <c r="SD574" i="1" s="1"/>
  <c r="SE574" i="1" s="1"/>
  <c r="SF574" i="1" s="1"/>
  <c r="SG574" i="1" s="1"/>
  <c r="SH574" i="1" s="1"/>
  <c r="SI574" i="1" s="1"/>
  <c r="SJ574" i="1" s="1"/>
  <c r="SK574" i="1" s="1"/>
  <c r="SL574" i="1" s="1"/>
  <c r="SM574" i="1" s="1"/>
  <c r="SN574" i="1" s="1"/>
  <c r="SO574" i="1" s="1"/>
  <c r="SP574" i="1" s="1"/>
  <c r="SQ574" i="1" s="1"/>
  <c r="SR574" i="1" s="1"/>
  <c r="SS574" i="1" s="1"/>
  <c r="ST574" i="1" s="1"/>
  <c r="SU574" i="1" s="1"/>
  <c r="SV574" i="1" s="1"/>
  <c r="SW574" i="1" s="1"/>
  <c r="RZ574" i="1"/>
  <c r="QS574" i="1"/>
  <c r="QU574" i="1" s="1"/>
  <c r="QW574" i="1" s="1"/>
  <c r="QY574" i="1" s="1"/>
  <c r="QR574" i="1"/>
  <c r="QT574" i="1" s="1"/>
  <c r="QV574" i="1" s="1"/>
  <c r="QX574" i="1" s="1"/>
  <c r="Y573" i="1" a="1"/>
  <c r="Y573" i="1" s="1"/>
  <c r="SB573" i="1"/>
  <c r="SC573" i="1" s="1"/>
  <c r="SD573" i="1" s="1"/>
  <c r="SE573" i="1" s="1"/>
  <c r="SF573" i="1" s="1"/>
  <c r="SG573" i="1" s="1"/>
  <c r="SH573" i="1" s="1"/>
  <c r="SI573" i="1" s="1"/>
  <c r="SJ573" i="1" s="1"/>
  <c r="SK573" i="1" s="1"/>
  <c r="SL573" i="1" s="1"/>
  <c r="SM573" i="1" s="1"/>
  <c r="SN573" i="1" s="1"/>
  <c r="SO573" i="1" s="1"/>
  <c r="SP573" i="1" s="1"/>
  <c r="SQ573" i="1" s="1"/>
  <c r="SR573" i="1" s="1"/>
  <c r="SS573" i="1" s="1"/>
  <c r="ST573" i="1" s="1"/>
  <c r="SU573" i="1" s="1"/>
  <c r="SV573" i="1" s="1"/>
  <c r="SW573" i="1" s="1"/>
  <c r="RZ573" i="1"/>
  <c r="QS573" i="1"/>
  <c r="QU573" i="1" s="1"/>
  <c r="QW573" i="1" s="1"/>
  <c r="QY573" i="1" s="1"/>
  <c r="QR573" i="1"/>
  <c r="QT573" i="1" s="1"/>
  <c r="QV573" i="1" s="1"/>
  <c r="QX573" i="1" s="1"/>
  <c r="QF565" i="1" l="1"/>
  <c r="RB565" i="1"/>
  <c r="RC564" i="1"/>
  <c r="QG564" i="1"/>
  <c r="QF564" i="1"/>
  <c r="RB564" i="1"/>
  <c r="QG565" i="1"/>
  <c r="RC565" i="1"/>
  <c r="AH595" i="1"/>
  <c r="AI595" i="1" s="1" a="1"/>
  <c r="AI595" i="1" s="1"/>
  <c r="RV502" i="1"/>
  <c r="RT501" i="1"/>
  <c r="RU501" i="1"/>
  <c r="RW502" i="1"/>
  <c r="RV501" i="1"/>
  <c r="RN502" i="1"/>
  <c r="RO502" i="1"/>
  <c r="RN501" i="1"/>
  <c r="RP502" i="1"/>
  <c r="RO501" i="1"/>
  <c r="RQ502" i="1"/>
  <c r="RW501" i="1"/>
  <c r="RP501" i="1"/>
  <c r="RR502" i="1"/>
  <c r="RS502" i="1"/>
  <c r="RQ501" i="1"/>
  <c r="RR501" i="1"/>
  <c r="RT502" i="1"/>
  <c r="RS501" i="1"/>
  <c r="RU502" i="1"/>
  <c r="RV574" i="1"/>
  <c r="RN574" i="1"/>
  <c r="RP574" i="1"/>
  <c r="RW574" i="1"/>
  <c r="RO574" i="1"/>
  <c r="RQ574" i="1"/>
  <c r="RR574" i="1"/>
  <c r="RS574" i="1"/>
  <c r="RT574" i="1"/>
  <c r="RU574" i="1"/>
  <c r="QE573" i="1"/>
  <c r="MS302" i="1"/>
  <c r="MS303" i="1" s="1"/>
  <c r="MS304" i="1" s="1"/>
  <c r="MS305" i="1" s="1"/>
  <c r="MS306" i="1" s="1"/>
  <c r="MR302" i="1"/>
  <c r="MR303" i="1" s="1"/>
  <c r="MR304" i="1" s="1"/>
  <c r="MR305" i="1" s="1"/>
  <c r="MR306" i="1" s="1"/>
  <c r="MK302" i="1"/>
  <c r="MK303" i="1" s="1"/>
  <c r="MK304" i="1" s="1"/>
  <c r="MK305" i="1" s="1"/>
  <c r="MK306" i="1" s="1"/>
  <c r="MJ302" i="1"/>
  <c r="MJ303" i="1" s="1"/>
  <c r="MJ304" i="1" s="1"/>
  <c r="MJ305" i="1" s="1"/>
  <c r="MJ306" i="1" s="1"/>
  <c r="MI302" i="1"/>
  <c r="MI303" i="1" s="1"/>
  <c r="MI304" i="1" s="1"/>
  <c r="MI305" i="1" s="1"/>
  <c r="MI306" i="1" s="1"/>
  <c r="MH302" i="1"/>
  <c r="MH303" i="1" s="1"/>
  <c r="MH304" i="1" s="1"/>
  <c r="MH305" i="1" s="1"/>
  <c r="MH306" i="1" s="1"/>
  <c r="MG302" i="1"/>
  <c r="MG303" i="1" s="1"/>
  <c r="MG304" i="1" s="1"/>
  <c r="MG305" i="1" s="1"/>
  <c r="MG306" i="1" s="1"/>
  <c r="MF302" i="1"/>
  <c r="MF303" i="1" s="1"/>
  <c r="MF304" i="1" s="1"/>
  <c r="MF305" i="1" s="1"/>
  <c r="MF306" i="1" s="1"/>
  <c r="ME302" i="1"/>
  <c r="ME303" i="1" s="1"/>
  <c r="ME304" i="1" s="1"/>
  <c r="ME305" i="1" s="1"/>
  <c r="ME306" i="1" s="1"/>
  <c r="MD302" i="1"/>
  <c r="MD303" i="1" s="1"/>
  <c r="MD304" i="1" s="1"/>
  <c r="MD305" i="1" s="1"/>
  <c r="MD306" i="1" s="1"/>
  <c r="RE565" i="1" l="1"/>
  <c r="QI565" i="1"/>
  <c r="RD564" i="1"/>
  <c r="QH564" i="1"/>
  <c r="QI564" i="1"/>
  <c r="RE564" i="1"/>
  <c r="QH565" i="1"/>
  <c r="RD565" i="1"/>
  <c r="AK595" i="1"/>
  <c r="AEG595" i="1" s="1"/>
  <c r="AH596" i="1"/>
  <c r="AI596" i="1" s="1" a="1"/>
  <c r="AI596" i="1" s="1"/>
  <c r="AK596" i="1" s="1"/>
  <c r="AEG596" i="1" s="1"/>
  <c r="AL595" i="1"/>
  <c r="AEH595" i="1" s="1"/>
  <c r="RP573" i="1"/>
  <c r="RW573" i="1"/>
  <c r="RV573" i="1"/>
  <c r="RS573" i="1"/>
  <c r="RO573" i="1"/>
  <c r="RU573" i="1"/>
  <c r="RT573" i="1"/>
  <c r="RN573" i="1"/>
  <c r="RR573" i="1"/>
  <c r="RQ573" i="1"/>
  <c r="MS296" i="1"/>
  <c r="MS297" i="1" s="1"/>
  <c r="MS298" i="1" s="1"/>
  <c r="MS299" i="1" s="1"/>
  <c r="MS300" i="1" s="1"/>
  <c r="MR296" i="1"/>
  <c r="MR297" i="1" s="1"/>
  <c r="MR298" i="1" s="1"/>
  <c r="MR299" i="1" s="1"/>
  <c r="MR300" i="1" s="1"/>
  <c r="MK296" i="1"/>
  <c r="MK297" i="1" s="1"/>
  <c r="MK298" i="1" s="1"/>
  <c r="MK299" i="1" s="1"/>
  <c r="MK300" i="1" s="1"/>
  <c r="MJ296" i="1"/>
  <c r="MJ297" i="1" s="1"/>
  <c r="MJ298" i="1" s="1"/>
  <c r="MJ299" i="1" s="1"/>
  <c r="MJ300" i="1" s="1"/>
  <c r="MI296" i="1"/>
  <c r="MI297" i="1" s="1"/>
  <c r="MI298" i="1" s="1"/>
  <c r="MI299" i="1" s="1"/>
  <c r="MI300" i="1" s="1"/>
  <c r="MH296" i="1"/>
  <c r="MH297" i="1" s="1"/>
  <c r="MH298" i="1" s="1"/>
  <c r="MH299" i="1" s="1"/>
  <c r="MH300" i="1" s="1"/>
  <c r="MG296" i="1"/>
  <c r="MG297" i="1" s="1"/>
  <c r="MG298" i="1" s="1"/>
  <c r="MG299" i="1" s="1"/>
  <c r="MG300" i="1" s="1"/>
  <c r="MF296" i="1"/>
  <c r="MF297" i="1" s="1"/>
  <c r="MF298" i="1" s="1"/>
  <c r="MF299" i="1" s="1"/>
  <c r="MF300" i="1" s="1"/>
  <c r="ME296" i="1"/>
  <c r="ME297" i="1" s="1"/>
  <c r="ME298" i="1" s="1"/>
  <c r="ME299" i="1" s="1"/>
  <c r="ME300" i="1" s="1"/>
  <c r="MD296" i="1"/>
  <c r="MD297" i="1" s="1"/>
  <c r="MD298" i="1" s="1"/>
  <c r="MD299" i="1" s="1"/>
  <c r="MD300" i="1" s="1"/>
  <c r="FU364" i="1"/>
  <c r="FT364" i="1"/>
  <c r="FS364" i="1"/>
  <c r="FR364" i="1"/>
  <c r="FQ364" i="1"/>
  <c r="FP364" i="1"/>
  <c r="FO364" i="1"/>
  <c r="FN364" i="1"/>
  <c r="FM364" i="1"/>
  <c r="FL364" i="1"/>
  <c r="FK364" i="1"/>
  <c r="FJ364" i="1"/>
  <c r="FI364" i="1"/>
  <c r="ER364" i="1"/>
  <c r="DH363" i="1"/>
  <c r="DG363" i="1"/>
  <c r="DF363" i="1"/>
  <c r="DE363" i="1"/>
  <c r="DD363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CO363" i="1"/>
  <c r="CN363" i="1"/>
  <c r="CM363" i="1"/>
  <c r="CL363" i="1"/>
  <c r="BE363" i="1"/>
  <c r="DH362" i="1"/>
  <c r="DG362" i="1"/>
  <c r="DF362" i="1"/>
  <c r="DE362" i="1"/>
  <c r="DD362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CO362" i="1"/>
  <c r="CN362" i="1"/>
  <c r="CM362" i="1"/>
  <c r="CL362" i="1"/>
  <c r="BE362" i="1"/>
  <c r="DO359" i="1"/>
  <c r="DO360" i="1" s="1"/>
  <c r="DO361" i="1" s="1"/>
  <c r="BE359" i="1"/>
  <c r="CL359" i="1"/>
  <c r="CM359" i="1"/>
  <c r="CN359" i="1"/>
  <c r="CO359" i="1"/>
  <c r="CP359" i="1"/>
  <c r="CQ359" i="1"/>
  <c r="CR359" i="1"/>
  <c r="CS359" i="1"/>
  <c r="CT359" i="1"/>
  <c r="CU359" i="1"/>
  <c r="CV359" i="1"/>
  <c r="CW359" i="1"/>
  <c r="CX359" i="1"/>
  <c r="CY359" i="1"/>
  <c r="CZ359" i="1"/>
  <c r="DA359" i="1"/>
  <c r="DB359" i="1"/>
  <c r="DC359" i="1"/>
  <c r="DD359" i="1"/>
  <c r="DE359" i="1"/>
  <c r="DF359" i="1"/>
  <c r="DG359" i="1"/>
  <c r="DH359" i="1"/>
  <c r="BE360" i="1"/>
  <c r="CL360" i="1"/>
  <c r="CM360" i="1"/>
  <c r="CN360" i="1"/>
  <c r="CO360" i="1"/>
  <c r="CP360" i="1"/>
  <c r="CQ360" i="1"/>
  <c r="CR360" i="1"/>
  <c r="CS360" i="1"/>
  <c r="CT360" i="1"/>
  <c r="CU360" i="1"/>
  <c r="CV360" i="1"/>
  <c r="CW360" i="1"/>
  <c r="CX360" i="1"/>
  <c r="CY360" i="1"/>
  <c r="CZ360" i="1"/>
  <c r="DA360" i="1"/>
  <c r="DB360" i="1"/>
  <c r="DC360" i="1"/>
  <c r="DD360" i="1"/>
  <c r="DE360" i="1"/>
  <c r="DF360" i="1"/>
  <c r="DG360" i="1"/>
  <c r="DH360" i="1"/>
  <c r="BE361" i="1"/>
  <c r="CL361" i="1"/>
  <c r="CM361" i="1"/>
  <c r="CN361" i="1"/>
  <c r="CO361" i="1"/>
  <c r="CP361" i="1"/>
  <c r="CQ361" i="1"/>
  <c r="CR361" i="1"/>
  <c r="CS361" i="1"/>
  <c r="CT361" i="1"/>
  <c r="CU361" i="1"/>
  <c r="CV361" i="1"/>
  <c r="CW361" i="1"/>
  <c r="CX361" i="1"/>
  <c r="CY361" i="1"/>
  <c r="CZ361" i="1"/>
  <c r="DA361" i="1"/>
  <c r="DB361" i="1"/>
  <c r="DC361" i="1"/>
  <c r="DD361" i="1"/>
  <c r="DE361" i="1"/>
  <c r="DF361" i="1"/>
  <c r="DG361" i="1"/>
  <c r="DH361" i="1"/>
  <c r="DH351" i="1"/>
  <c r="DG351" i="1"/>
  <c r="DF351" i="1"/>
  <c r="DE351" i="1"/>
  <c r="DD351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CO351" i="1"/>
  <c r="CN351" i="1"/>
  <c r="CM351" i="1"/>
  <c r="CL351" i="1"/>
  <c r="CE351" i="1"/>
  <c r="CD351" i="1"/>
  <c r="CC351" i="1"/>
  <c r="CB351" i="1"/>
  <c r="BE351" i="1"/>
  <c r="DH352" i="1"/>
  <c r="DG352" i="1"/>
  <c r="DF352" i="1"/>
  <c r="DE352" i="1"/>
  <c r="DD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BE352" i="1"/>
  <c r="DH353" i="1"/>
  <c r="DG353" i="1"/>
  <c r="DF353" i="1"/>
  <c r="DE353" i="1"/>
  <c r="DD353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CO353" i="1"/>
  <c r="CN353" i="1"/>
  <c r="CM353" i="1"/>
  <c r="CL353" i="1"/>
  <c r="BE353" i="1"/>
  <c r="DH354" i="1"/>
  <c r="DG354" i="1"/>
  <c r="DF354" i="1"/>
  <c r="DE354" i="1"/>
  <c r="DD354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CO354" i="1"/>
  <c r="CN354" i="1"/>
  <c r="CM354" i="1"/>
  <c r="CL354" i="1"/>
  <c r="BE354" i="1"/>
  <c r="DH358" i="1"/>
  <c r="DG358" i="1"/>
  <c r="DF358" i="1"/>
  <c r="DE358" i="1"/>
  <c r="DD358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CO358" i="1"/>
  <c r="CN358" i="1"/>
  <c r="CM358" i="1"/>
  <c r="CL358" i="1"/>
  <c r="BE358" i="1"/>
  <c r="JZ319" i="1"/>
  <c r="KJ319" i="1"/>
  <c r="KK319" i="1" s="1"/>
  <c r="KL319" i="1" s="1"/>
  <c r="JZ320" i="1"/>
  <c r="RF565" i="1" l="1"/>
  <c r="QJ565" i="1"/>
  <c r="RG564" i="1"/>
  <c r="QK564" i="1"/>
  <c r="RF564" i="1"/>
  <c r="QJ564" i="1"/>
  <c r="RG565" i="1"/>
  <c r="QK565" i="1"/>
  <c r="AL596" i="1"/>
  <c r="AEH596" i="1" s="1"/>
  <c r="AH597" i="1"/>
  <c r="AI597" i="1" s="1" a="1"/>
  <c r="AI597" i="1" s="1"/>
  <c r="AI12" i="1" a="1"/>
  <c r="AI12" i="1" s="1"/>
  <c r="AL12" i="1" s="1"/>
  <c r="BQ12" i="1" s="1"/>
  <c r="BS12" i="1" s="1"/>
  <c r="AI22" i="1" a="1"/>
  <c r="AI22" i="1" s="1"/>
  <c r="AL22" i="1" s="1"/>
  <c r="BQ22" i="1" s="1"/>
  <c r="BS22" i="1" s="1"/>
  <c r="AI32" i="1" a="1"/>
  <c r="AI32" i="1" s="1"/>
  <c r="AL32" i="1" s="1"/>
  <c r="BQ32" i="1" s="1"/>
  <c r="BS32" i="1" s="1"/>
  <c r="AI34" i="1" a="1"/>
  <c r="AI34" i="1" s="1"/>
  <c r="AK34" i="1" s="1"/>
  <c r="EW34" i="1" s="1"/>
  <c r="AI43" i="1" a="1"/>
  <c r="AI43" i="1" s="1"/>
  <c r="AL43" i="1" s="1"/>
  <c r="HF43" i="1" s="1"/>
  <c r="AI2" i="1" a="1"/>
  <c r="AI2" i="1" s="1"/>
  <c r="AK2" i="1" s="1"/>
  <c r="BP2" i="1" s="1"/>
  <c r="AI225" i="1" a="1"/>
  <c r="AI225" i="1" s="1"/>
  <c r="AL225" i="1" s="1"/>
  <c r="EX225" i="1" s="1"/>
  <c r="AK448" i="1"/>
  <c r="CF448" i="1" s="1"/>
  <c r="AK327" i="1"/>
  <c r="HE327" i="1" s="1"/>
  <c r="AL448" i="1"/>
  <c r="BQ448" i="1" s="1"/>
  <c r="AL327" i="1"/>
  <c r="HF327" i="1" s="1"/>
  <c r="MM563" i="1"/>
  <c r="MS567" i="1"/>
  <c r="MS568" i="1" s="1"/>
  <c r="MS569" i="1" s="1"/>
  <c r="MS570" i="1" s="1"/>
  <c r="MS571" i="1" s="1"/>
  <c r="MS572" i="1" s="1"/>
  <c r="MR567" i="1"/>
  <c r="MR568" i="1" s="1"/>
  <c r="MR569" i="1" s="1"/>
  <c r="MR570" i="1" s="1"/>
  <c r="MR571" i="1" s="1"/>
  <c r="MR572" i="1" s="1"/>
  <c r="MK567" i="1"/>
  <c r="MK568" i="1" s="1"/>
  <c r="MK569" i="1" s="1"/>
  <c r="MK570" i="1" s="1"/>
  <c r="MK571" i="1" s="1"/>
  <c r="MK572" i="1" s="1"/>
  <c r="MJ567" i="1"/>
  <c r="MJ568" i="1" s="1"/>
  <c r="MJ569" i="1" s="1"/>
  <c r="MJ570" i="1" s="1"/>
  <c r="MJ571" i="1" s="1"/>
  <c r="MJ572" i="1" s="1"/>
  <c r="MI567" i="1"/>
  <c r="MI568" i="1" s="1"/>
  <c r="MI569" i="1" s="1"/>
  <c r="MI570" i="1" s="1"/>
  <c r="MI571" i="1" s="1"/>
  <c r="MI572" i="1" s="1"/>
  <c r="MH567" i="1"/>
  <c r="MH568" i="1" s="1"/>
  <c r="MH569" i="1" s="1"/>
  <c r="MH570" i="1" s="1"/>
  <c r="MH571" i="1" s="1"/>
  <c r="MH572" i="1" s="1"/>
  <c r="MG567" i="1"/>
  <c r="MG568" i="1" s="1"/>
  <c r="MG569" i="1" s="1"/>
  <c r="MG570" i="1" s="1"/>
  <c r="MG571" i="1" s="1"/>
  <c r="MG572" i="1" s="1"/>
  <c r="MF567" i="1"/>
  <c r="MF568" i="1" s="1"/>
  <c r="MF569" i="1" s="1"/>
  <c r="MF570" i="1" s="1"/>
  <c r="MF571" i="1" s="1"/>
  <c r="MF572" i="1" s="1"/>
  <c r="ME567" i="1"/>
  <c r="ME568" i="1" s="1"/>
  <c r="ME569" i="1" s="1"/>
  <c r="ME570" i="1" s="1"/>
  <c r="ME571" i="1" s="1"/>
  <c r="ME572" i="1" s="1"/>
  <c r="MD567" i="1"/>
  <c r="MD568" i="1" s="1"/>
  <c r="MD569" i="1" s="1"/>
  <c r="MD570" i="1" s="1"/>
  <c r="MD571" i="1" s="1"/>
  <c r="MD572" i="1" s="1"/>
  <c r="LY563" i="1"/>
  <c r="JZ561" i="1"/>
  <c r="JZ560" i="1"/>
  <c r="JZ559" i="1"/>
  <c r="UH558" i="1"/>
  <c r="UI558" i="1" s="1"/>
  <c r="UF558" i="1"/>
  <c r="ACT557" i="1"/>
  <c r="ACS557" i="1"/>
  <c r="ACR557" i="1"/>
  <c r="ACQ557" i="1"/>
  <c r="ABN557" i="1"/>
  <c r="ABO557" i="1" s="1"/>
  <c r="ABP557" i="1" s="1"/>
  <c r="ABQ557" i="1" s="1"/>
  <c r="ABR557" i="1" s="1"/>
  <c r="ABS557" i="1" s="1"/>
  <c r="ABT557" i="1" s="1"/>
  <c r="ABL557" i="1"/>
  <c r="AAO556" i="1"/>
  <c r="AAP556" i="1" s="1"/>
  <c r="AAQ556" i="1" s="1"/>
  <c r="AAR556" i="1" s="1"/>
  <c r="AAS556" i="1" s="1"/>
  <c r="AAT556" i="1" s="1"/>
  <c r="AAU556" i="1" s="1"/>
  <c r="AAV556" i="1" s="1"/>
  <c r="AAW556" i="1" s="1"/>
  <c r="AAX556" i="1" s="1"/>
  <c r="AAY556" i="1" s="1"/>
  <c r="AAZ556" i="1" s="1"/>
  <c r="ABA556" i="1" s="1"/>
  <c r="ABB556" i="1" s="1"/>
  <c r="ABC556" i="1" s="1"/>
  <c r="ABD556" i="1" s="1"/>
  <c r="ABE556" i="1" s="1"/>
  <c r="ABF556" i="1" s="1"/>
  <c r="ABG556" i="1" s="1"/>
  <c r="ZH556" i="1"/>
  <c r="ZG556" i="1"/>
  <c r="ZF556" i="1"/>
  <c r="ZE556" i="1"/>
  <c r="ZD556" i="1"/>
  <c r="ZC556" i="1"/>
  <c r="ZB556" i="1"/>
  <c r="ZA556" i="1"/>
  <c r="YZ556" i="1"/>
  <c r="YY556" i="1"/>
  <c r="WT556" i="1"/>
  <c r="WU556" i="1" s="1"/>
  <c r="WV556" i="1" s="1"/>
  <c r="WR556" i="1"/>
  <c r="UH555" i="1"/>
  <c r="UI555" i="1" s="1"/>
  <c r="UF555" i="1"/>
  <c r="ACT554" i="1"/>
  <c r="ACS554" i="1"/>
  <c r="ACR554" i="1"/>
  <c r="ACQ554" i="1"/>
  <c r="ABL554" i="1"/>
  <c r="ABN554" i="1" s="1"/>
  <c r="ABO554" i="1" s="1"/>
  <c r="ABP554" i="1" s="1"/>
  <c r="ABQ554" i="1" s="1"/>
  <c r="ABR554" i="1" s="1"/>
  <c r="ABS554" i="1" s="1"/>
  <c r="ABT554" i="1" s="1"/>
  <c r="AAO553" i="1"/>
  <c r="AAP553" i="1" s="1"/>
  <c r="AAQ553" i="1" s="1"/>
  <c r="AAR553" i="1" s="1"/>
  <c r="AAS553" i="1" s="1"/>
  <c r="AAT553" i="1" s="1"/>
  <c r="AAU553" i="1" s="1"/>
  <c r="AAV553" i="1" s="1"/>
  <c r="AAW553" i="1" s="1"/>
  <c r="AAX553" i="1" s="1"/>
  <c r="AAY553" i="1" s="1"/>
  <c r="AAZ553" i="1" s="1"/>
  <c r="ABA553" i="1" s="1"/>
  <c r="ABB553" i="1" s="1"/>
  <c r="ABC553" i="1" s="1"/>
  <c r="ABD553" i="1" s="1"/>
  <c r="ABE553" i="1" s="1"/>
  <c r="ABF553" i="1" s="1"/>
  <c r="ABG553" i="1" s="1"/>
  <c r="ZH553" i="1"/>
  <c r="ZG553" i="1"/>
  <c r="ZF553" i="1"/>
  <c r="ZE553" i="1"/>
  <c r="ZD553" i="1"/>
  <c r="ZC553" i="1"/>
  <c r="ZB553" i="1"/>
  <c r="ZA553" i="1"/>
  <c r="YZ553" i="1"/>
  <c r="YY553" i="1"/>
  <c r="WT553" i="1"/>
  <c r="WU553" i="1" s="1"/>
  <c r="WV553" i="1" s="1"/>
  <c r="WW553" i="1" s="1"/>
  <c r="WX553" i="1" s="1"/>
  <c r="WY553" i="1" s="1"/>
  <c r="WZ553" i="1" s="1"/>
  <c r="XA553" i="1" s="1"/>
  <c r="XB553" i="1" s="1"/>
  <c r="XC553" i="1" s="1"/>
  <c r="XD553" i="1" s="1"/>
  <c r="XE553" i="1" s="1"/>
  <c r="XF553" i="1" s="1"/>
  <c r="XG553" i="1" s="1"/>
  <c r="XH553" i="1" s="1"/>
  <c r="XI553" i="1" s="1"/>
  <c r="XJ553" i="1" s="1"/>
  <c r="XK553" i="1" s="1"/>
  <c r="XL553" i="1" s="1"/>
  <c r="WR553" i="1"/>
  <c r="JZ552" i="1"/>
  <c r="MS518" i="1"/>
  <c r="MS519" i="1" s="1"/>
  <c r="MR518" i="1"/>
  <c r="MR519" i="1" s="1"/>
  <c r="ME518" i="1"/>
  <c r="ME519" i="1" s="1"/>
  <c r="MF518" i="1"/>
  <c r="MF519" i="1" s="1"/>
  <c r="MG518" i="1"/>
  <c r="MG519" i="1" s="1"/>
  <c r="MH518" i="1"/>
  <c r="MH519" i="1" s="1"/>
  <c r="MI518" i="1"/>
  <c r="MI519" i="1" s="1"/>
  <c r="MJ518" i="1"/>
  <c r="MJ519" i="1" s="1"/>
  <c r="MK518" i="1"/>
  <c r="MK519" i="1" s="1"/>
  <c r="MD518" i="1"/>
  <c r="MD519" i="1" s="1"/>
  <c r="JZ551" i="1"/>
  <c r="X531" i="1"/>
  <c r="Y540" i="1" s="1" a="1"/>
  <c r="Y540" i="1" s="1"/>
  <c r="JZ550" i="1"/>
  <c r="JZ549" i="1"/>
  <c r="JZ548" i="1"/>
  <c r="JZ547" i="1"/>
  <c r="JZ546" i="1"/>
  <c r="JZ545" i="1"/>
  <c r="JZ544" i="1"/>
  <c r="JZ543" i="1"/>
  <c r="JZ542" i="1"/>
  <c r="JZ541" i="1"/>
  <c r="JZ540" i="1"/>
  <c r="U534" i="1"/>
  <c r="DF534" i="1" s="1"/>
  <c r="DH533" i="1"/>
  <c r="DG533" i="1"/>
  <c r="DF533" i="1"/>
  <c r="DE533" i="1"/>
  <c r="DD533" i="1"/>
  <c r="DC533" i="1"/>
  <c r="DB533" i="1"/>
  <c r="DA533" i="1"/>
  <c r="CZ533" i="1"/>
  <c r="CY533" i="1"/>
  <c r="CX533" i="1"/>
  <c r="CW533" i="1"/>
  <c r="CV533" i="1"/>
  <c r="CU533" i="1"/>
  <c r="CT533" i="1"/>
  <c r="CS533" i="1"/>
  <c r="CR533" i="1"/>
  <c r="CQ533" i="1"/>
  <c r="CP533" i="1"/>
  <c r="CO533" i="1"/>
  <c r="CN533" i="1"/>
  <c r="CM533" i="1"/>
  <c r="CL533" i="1"/>
  <c r="BE533" i="1"/>
  <c r="DH532" i="1"/>
  <c r="DG532" i="1"/>
  <c r="DF532" i="1"/>
  <c r="DE532" i="1"/>
  <c r="DD532" i="1"/>
  <c r="DC532" i="1"/>
  <c r="DB532" i="1"/>
  <c r="DA532" i="1"/>
  <c r="CZ532" i="1"/>
  <c r="CY532" i="1"/>
  <c r="CX532" i="1"/>
  <c r="CW532" i="1"/>
  <c r="CV532" i="1"/>
  <c r="CU532" i="1"/>
  <c r="CT532" i="1"/>
  <c r="CS532" i="1"/>
  <c r="CR532" i="1"/>
  <c r="CQ532" i="1"/>
  <c r="CP532" i="1"/>
  <c r="CO532" i="1"/>
  <c r="CN532" i="1"/>
  <c r="CM532" i="1"/>
  <c r="CL532" i="1"/>
  <c r="BE532" i="1"/>
  <c r="Y530" i="1" a="1"/>
  <c r="Y530" i="1" s="1"/>
  <c r="U530" i="1"/>
  <c r="IQ530" i="1" s="1"/>
  <c r="DH529" i="1"/>
  <c r="DG529" i="1"/>
  <c r="DF529" i="1"/>
  <c r="DE529" i="1"/>
  <c r="DD529" i="1"/>
  <c r="DC529" i="1"/>
  <c r="DB529" i="1"/>
  <c r="DA529" i="1"/>
  <c r="CZ529" i="1"/>
  <c r="CY529" i="1"/>
  <c r="CX529" i="1"/>
  <c r="CW529" i="1"/>
  <c r="CV529" i="1"/>
  <c r="CU529" i="1"/>
  <c r="CT529" i="1"/>
  <c r="CS529" i="1"/>
  <c r="CR529" i="1"/>
  <c r="CQ529" i="1"/>
  <c r="CP529" i="1"/>
  <c r="CO529" i="1"/>
  <c r="CN529" i="1"/>
  <c r="CM529" i="1"/>
  <c r="CL529" i="1"/>
  <c r="BE529" i="1"/>
  <c r="DH528" i="1"/>
  <c r="DG528" i="1"/>
  <c r="DF528" i="1"/>
  <c r="DE528" i="1"/>
  <c r="DD528" i="1"/>
  <c r="DC528" i="1"/>
  <c r="DB528" i="1"/>
  <c r="DA528" i="1"/>
  <c r="CZ528" i="1"/>
  <c r="CY528" i="1"/>
  <c r="CX528" i="1"/>
  <c r="CW528" i="1"/>
  <c r="CV528" i="1"/>
  <c r="CU528" i="1"/>
  <c r="CT528" i="1"/>
  <c r="CS528" i="1"/>
  <c r="CR528" i="1"/>
  <c r="CQ528" i="1"/>
  <c r="CP528" i="1"/>
  <c r="CO528" i="1"/>
  <c r="CN528" i="1"/>
  <c r="CM528" i="1"/>
  <c r="CL528" i="1"/>
  <c r="BE528" i="1"/>
  <c r="DH527" i="1"/>
  <c r="DG527" i="1"/>
  <c r="DF527" i="1"/>
  <c r="DE527" i="1"/>
  <c r="DD527" i="1"/>
  <c r="DC527" i="1"/>
  <c r="DB527" i="1"/>
  <c r="DA527" i="1"/>
  <c r="CZ527" i="1"/>
  <c r="CY527" i="1"/>
  <c r="CX527" i="1"/>
  <c r="CW527" i="1"/>
  <c r="CV527" i="1"/>
  <c r="CU527" i="1"/>
  <c r="CT527" i="1"/>
  <c r="CS527" i="1"/>
  <c r="CR527" i="1"/>
  <c r="CQ527" i="1"/>
  <c r="CP527" i="1"/>
  <c r="CO527" i="1"/>
  <c r="CN527" i="1"/>
  <c r="CM527" i="1"/>
  <c r="CL527" i="1"/>
  <c r="BE527" i="1"/>
  <c r="DH526" i="1"/>
  <c r="DG526" i="1"/>
  <c r="DF526" i="1"/>
  <c r="DE526" i="1"/>
  <c r="DD526" i="1"/>
  <c r="DC526" i="1"/>
  <c r="DB526" i="1"/>
  <c r="DA526" i="1"/>
  <c r="CZ526" i="1"/>
  <c r="CY526" i="1"/>
  <c r="CX526" i="1"/>
  <c r="CW526" i="1"/>
  <c r="CV526" i="1"/>
  <c r="CU526" i="1"/>
  <c r="CT526" i="1"/>
  <c r="CS526" i="1"/>
  <c r="CR526" i="1"/>
  <c r="CQ526" i="1"/>
  <c r="CP526" i="1"/>
  <c r="CO526" i="1"/>
  <c r="CN526" i="1"/>
  <c r="CM526" i="1"/>
  <c r="CL526" i="1"/>
  <c r="BE526" i="1"/>
  <c r="DH525" i="1"/>
  <c r="DG525" i="1"/>
  <c r="DF525" i="1"/>
  <c r="DE525" i="1"/>
  <c r="DD525" i="1"/>
  <c r="DC525" i="1"/>
  <c r="DB525" i="1"/>
  <c r="DA525" i="1"/>
  <c r="CZ525" i="1"/>
  <c r="CY525" i="1"/>
  <c r="CX525" i="1"/>
  <c r="CW525" i="1"/>
  <c r="CV525" i="1"/>
  <c r="CU525" i="1"/>
  <c r="CT525" i="1"/>
  <c r="CS525" i="1"/>
  <c r="CR525" i="1"/>
  <c r="CQ525" i="1"/>
  <c r="CP525" i="1"/>
  <c r="CO525" i="1"/>
  <c r="CN525" i="1"/>
  <c r="CM525" i="1"/>
  <c r="CL525" i="1"/>
  <c r="BE525" i="1"/>
  <c r="DH524" i="1"/>
  <c r="DG524" i="1"/>
  <c r="DF524" i="1"/>
  <c r="DE524" i="1"/>
  <c r="DD524" i="1"/>
  <c r="DC524" i="1"/>
  <c r="DB524" i="1"/>
  <c r="DA524" i="1"/>
  <c r="CZ524" i="1"/>
  <c r="CY524" i="1"/>
  <c r="CX524" i="1"/>
  <c r="CW524" i="1"/>
  <c r="CV524" i="1"/>
  <c r="CU524" i="1"/>
  <c r="CT524" i="1"/>
  <c r="CS524" i="1"/>
  <c r="CR524" i="1"/>
  <c r="CQ524" i="1"/>
  <c r="CP524" i="1"/>
  <c r="CO524" i="1"/>
  <c r="CN524" i="1"/>
  <c r="CM524" i="1"/>
  <c r="CL524" i="1"/>
  <c r="BE524" i="1"/>
  <c r="DH523" i="1"/>
  <c r="DG523" i="1"/>
  <c r="AI523" i="1" a="1"/>
  <c r="AI523" i="1" s="1"/>
  <c r="AK523" i="1" s="1"/>
  <c r="BP523" i="1" s="1"/>
  <c r="BR523" i="1" s="1"/>
  <c r="AD523" i="1" a="1"/>
  <c r="AD523" i="1" s="1"/>
  <c r="DF523" i="1"/>
  <c r="DE523" i="1"/>
  <c r="DD523" i="1"/>
  <c r="DC523" i="1"/>
  <c r="DB523" i="1"/>
  <c r="DA523" i="1"/>
  <c r="CZ523" i="1"/>
  <c r="CY523" i="1"/>
  <c r="CX523" i="1"/>
  <c r="CW523" i="1"/>
  <c r="CV523" i="1"/>
  <c r="CU523" i="1"/>
  <c r="CT523" i="1"/>
  <c r="CS523" i="1"/>
  <c r="CR523" i="1"/>
  <c r="CQ523" i="1"/>
  <c r="CP523" i="1"/>
  <c r="CO523" i="1"/>
  <c r="CN523" i="1"/>
  <c r="CM523" i="1"/>
  <c r="CL523" i="1"/>
  <c r="BE523" i="1"/>
  <c r="UH447" i="1"/>
  <c r="UI447" i="1" s="1"/>
  <c r="UF447" i="1"/>
  <c r="U491" i="1"/>
  <c r="IO491" i="1" s="1"/>
  <c r="DH490" i="1"/>
  <c r="DG490" i="1"/>
  <c r="DF490" i="1"/>
  <c r="DE490" i="1"/>
  <c r="DD490" i="1"/>
  <c r="DC490" i="1"/>
  <c r="DB490" i="1"/>
  <c r="DA490" i="1"/>
  <c r="CZ490" i="1"/>
  <c r="CY490" i="1"/>
  <c r="CX490" i="1"/>
  <c r="CW490" i="1"/>
  <c r="CV490" i="1"/>
  <c r="CU490" i="1"/>
  <c r="CT490" i="1"/>
  <c r="CS490" i="1"/>
  <c r="CR490" i="1"/>
  <c r="CQ490" i="1"/>
  <c r="CP490" i="1"/>
  <c r="CO490" i="1"/>
  <c r="CN490" i="1"/>
  <c r="CM490" i="1"/>
  <c r="CL490" i="1"/>
  <c r="BE490" i="1"/>
  <c r="DH489" i="1"/>
  <c r="DG489" i="1"/>
  <c r="DF489" i="1"/>
  <c r="DE489" i="1"/>
  <c r="DD489" i="1"/>
  <c r="DC489" i="1"/>
  <c r="DB489" i="1"/>
  <c r="DA489" i="1"/>
  <c r="CZ489" i="1"/>
  <c r="CY489" i="1"/>
  <c r="CX489" i="1"/>
  <c r="CW489" i="1"/>
  <c r="CV489" i="1"/>
  <c r="CU489" i="1"/>
  <c r="CT489" i="1"/>
  <c r="CS489" i="1"/>
  <c r="CR489" i="1"/>
  <c r="CQ489" i="1"/>
  <c r="CP489" i="1"/>
  <c r="CO489" i="1"/>
  <c r="CN489" i="1"/>
  <c r="CM489" i="1"/>
  <c r="CL489" i="1"/>
  <c r="BE489" i="1"/>
  <c r="DH488" i="1"/>
  <c r="DG488" i="1"/>
  <c r="DF488" i="1"/>
  <c r="DE488" i="1"/>
  <c r="DD488" i="1"/>
  <c r="DC488" i="1"/>
  <c r="DB488" i="1"/>
  <c r="DA488" i="1"/>
  <c r="CZ488" i="1"/>
  <c r="CY488" i="1"/>
  <c r="CX488" i="1"/>
  <c r="CW488" i="1"/>
  <c r="CV488" i="1"/>
  <c r="CU488" i="1"/>
  <c r="CT488" i="1"/>
  <c r="CS488" i="1"/>
  <c r="CR488" i="1"/>
  <c r="CQ488" i="1"/>
  <c r="CP488" i="1"/>
  <c r="CO488" i="1"/>
  <c r="CN488" i="1"/>
  <c r="CM488" i="1"/>
  <c r="CL488" i="1"/>
  <c r="BE488" i="1"/>
  <c r="DH487" i="1"/>
  <c r="DG487" i="1"/>
  <c r="DF487" i="1"/>
  <c r="DE487" i="1"/>
  <c r="DD487" i="1"/>
  <c r="DC487" i="1"/>
  <c r="DB487" i="1"/>
  <c r="DA487" i="1"/>
  <c r="CZ487" i="1"/>
  <c r="CY487" i="1"/>
  <c r="CX487" i="1"/>
  <c r="CW487" i="1"/>
  <c r="CV487" i="1"/>
  <c r="CU487" i="1"/>
  <c r="CT487" i="1"/>
  <c r="CS487" i="1"/>
  <c r="CR487" i="1"/>
  <c r="CQ487" i="1"/>
  <c r="CP487" i="1"/>
  <c r="CO487" i="1"/>
  <c r="CN487" i="1"/>
  <c r="CM487" i="1"/>
  <c r="CL487" i="1"/>
  <c r="BE487" i="1"/>
  <c r="DH486" i="1"/>
  <c r="DG486" i="1"/>
  <c r="DF486" i="1"/>
  <c r="DE486" i="1"/>
  <c r="DD486" i="1"/>
  <c r="DC486" i="1"/>
  <c r="DB486" i="1"/>
  <c r="DA486" i="1"/>
  <c r="CZ486" i="1"/>
  <c r="CY486" i="1"/>
  <c r="CX486" i="1"/>
  <c r="CW486" i="1"/>
  <c r="CV486" i="1"/>
  <c r="CU486" i="1"/>
  <c r="CT486" i="1"/>
  <c r="CS486" i="1"/>
  <c r="CR486" i="1"/>
  <c r="CQ486" i="1"/>
  <c r="CP486" i="1"/>
  <c r="CO486" i="1"/>
  <c r="CN486" i="1"/>
  <c r="CM486" i="1"/>
  <c r="CL486" i="1"/>
  <c r="BE486" i="1"/>
  <c r="DH485" i="1"/>
  <c r="DG485" i="1"/>
  <c r="DF485" i="1"/>
  <c r="DE485" i="1"/>
  <c r="DD485" i="1"/>
  <c r="DC485" i="1"/>
  <c r="DB485" i="1"/>
  <c r="DA485" i="1"/>
  <c r="CZ485" i="1"/>
  <c r="CY485" i="1"/>
  <c r="CX485" i="1"/>
  <c r="CW485" i="1"/>
  <c r="CV485" i="1"/>
  <c r="CU485" i="1"/>
  <c r="CT485" i="1"/>
  <c r="CS485" i="1"/>
  <c r="CR485" i="1"/>
  <c r="CQ485" i="1"/>
  <c r="CP485" i="1"/>
  <c r="CO485" i="1"/>
  <c r="CN485" i="1"/>
  <c r="CM485" i="1"/>
  <c r="CL485" i="1"/>
  <c r="BE485" i="1"/>
  <c r="DH484" i="1"/>
  <c r="DG484" i="1"/>
  <c r="DF484" i="1"/>
  <c r="DE484" i="1"/>
  <c r="DD484" i="1"/>
  <c r="DC484" i="1"/>
  <c r="DB484" i="1"/>
  <c r="DA484" i="1"/>
  <c r="CZ484" i="1"/>
  <c r="CY484" i="1"/>
  <c r="CX484" i="1"/>
  <c r="CW484" i="1"/>
  <c r="CV484" i="1"/>
  <c r="CU484" i="1"/>
  <c r="CT484" i="1"/>
  <c r="CS484" i="1"/>
  <c r="CR484" i="1"/>
  <c r="CQ484" i="1"/>
  <c r="CP484" i="1"/>
  <c r="CO484" i="1"/>
  <c r="CN484" i="1"/>
  <c r="CM484" i="1"/>
  <c r="CL484" i="1"/>
  <c r="BE484" i="1"/>
  <c r="DH483" i="1"/>
  <c r="DG483" i="1"/>
  <c r="DF483" i="1"/>
  <c r="DE483" i="1"/>
  <c r="DD483" i="1"/>
  <c r="DC483" i="1"/>
  <c r="DB483" i="1"/>
  <c r="DA483" i="1"/>
  <c r="CZ483" i="1"/>
  <c r="CY483" i="1"/>
  <c r="CX483" i="1"/>
  <c r="CW483" i="1"/>
  <c r="CV483" i="1"/>
  <c r="CU483" i="1"/>
  <c r="CT483" i="1"/>
  <c r="CS483" i="1"/>
  <c r="CR483" i="1"/>
  <c r="CQ483" i="1"/>
  <c r="CP483" i="1"/>
  <c r="CO483" i="1"/>
  <c r="CN483" i="1"/>
  <c r="CM483" i="1"/>
  <c r="CL483" i="1"/>
  <c r="BE483" i="1"/>
  <c r="DH482" i="1"/>
  <c r="DG482" i="1"/>
  <c r="DF482" i="1"/>
  <c r="DE482" i="1"/>
  <c r="DD482" i="1"/>
  <c r="DC482" i="1"/>
  <c r="DB482" i="1"/>
  <c r="DA482" i="1"/>
  <c r="CZ482" i="1"/>
  <c r="CY482" i="1"/>
  <c r="CX482" i="1"/>
  <c r="CW482" i="1"/>
  <c r="CV482" i="1"/>
  <c r="CU482" i="1"/>
  <c r="CT482" i="1"/>
  <c r="CS482" i="1"/>
  <c r="CR482" i="1"/>
  <c r="CQ482" i="1"/>
  <c r="CP482" i="1"/>
  <c r="CO482" i="1"/>
  <c r="CN482" i="1"/>
  <c r="CM482" i="1"/>
  <c r="CL482" i="1"/>
  <c r="BE482" i="1"/>
  <c r="DH481" i="1"/>
  <c r="DG481" i="1"/>
  <c r="DF481" i="1"/>
  <c r="DE481" i="1"/>
  <c r="DD481" i="1"/>
  <c r="DC481" i="1"/>
  <c r="DB481" i="1"/>
  <c r="DA481" i="1"/>
  <c r="CZ481" i="1"/>
  <c r="CY481" i="1"/>
  <c r="CX481" i="1"/>
  <c r="CW481" i="1"/>
  <c r="CV481" i="1"/>
  <c r="CU481" i="1"/>
  <c r="CT481" i="1"/>
  <c r="CS481" i="1"/>
  <c r="CR481" i="1"/>
  <c r="CQ481" i="1"/>
  <c r="CP481" i="1"/>
  <c r="CO481" i="1"/>
  <c r="CN481" i="1"/>
  <c r="CM481" i="1"/>
  <c r="CL481" i="1"/>
  <c r="BE481" i="1"/>
  <c r="DH480" i="1"/>
  <c r="DG480" i="1"/>
  <c r="DF480" i="1"/>
  <c r="DE480" i="1"/>
  <c r="DD480" i="1"/>
  <c r="DC480" i="1"/>
  <c r="DB480" i="1"/>
  <c r="DA480" i="1"/>
  <c r="CZ480" i="1"/>
  <c r="CY480" i="1"/>
  <c r="CX480" i="1"/>
  <c r="CW480" i="1"/>
  <c r="CV480" i="1"/>
  <c r="CU480" i="1"/>
  <c r="CT480" i="1"/>
  <c r="CS480" i="1"/>
  <c r="CR480" i="1"/>
  <c r="CQ480" i="1"/>
  <c r="CP480" i="1"/>
  <c r="CO480" i="1"/>
  <c r="CN480" i="1"/>
  <c r="CM480" i="1"/>
  <c r="CL480" i="1"/>
  <c r="BE480" i="1"/>
  <c r="DH479" i="1"/>
  <c r="DG479" i="1"/>
  <c r="DF479" i="1"/>
  <c r="DE479" i="1"/>
  <c r="DD479" i="1"/>
  <c r="DC479" i="1"/>
  <c r="DB479" i="1"/>
  <c r="DA479" i="1"/>
  <c r="CZ479" i="1"/>
  <c r="CY479" i="1"/>
  <c r="CX479" i="1"/>
  <c r="CW479" i="1"/>
  <c r="CV479" i="1"/>
  <c r="CU479" i="1"/>
  <c r="CT479" i="1"/>
  <c r="CS479" i="1"/>
  <c r="CR479" i="1"/>
  <c r="CQ479" i="1"/>
  <c r="CP479" i="1"/>
  <c r="CO479" i="1"/>
  <c r="CN479" i="1"/>
  <c r="CM479" i="1"/>
  <c r="CL479" i="1"/>
  <c r="BE479" i="1"/>
  <c r="DH478" i="1"/>
  <c r="DG478" i="1"/>
  <c r="DF478" i="1"/>
  <c r="DE478" i="1"/>
  <c r="DD478" i="1"/>
  <c r="DC478" i="1"/>
  <c r="DB478" i="1"/>
  <c r="DA478" i="1"/>
  <c r="CZ478" i="1"/>
  <c r="CY478" i="1"/>
  <c r="CX478" i="1"/>
  <c r="CW478" i="1"/>
  <c r="CV478" i="1"/>
  <c r="CU478" i="1"/>
  <c r="CT478" i="1"/>
  <c r="CS478" i="1"/>
  <c r="CR478" i="1"/>
  <c r="CQ478" i="1"/>
  <c r="CP478" i="1"/>
  <c r="CO478" i="1"/>
  <c r="CN478" i="1"/>
  <c r="CM478" i="1"/>
  <c r="CL478" i="1"/>
  <c r="BE478" i="1"/>
  <c r="DH477" i="1"/>
  <c r="DG477" i="1"/>
  <c r="DF477" i="1"/>
  <c r="DE477" i="1"/>
  <c r="DD477" i="1"/>
  <c r="DC477" i="1"/>
  <c r="DB477" i="1"/>
  <c r="DA477" i="1"/>
  <c r="CZ477" i="1"/>
  <c r="CY477" i="1"/>
  <c r="CX477" i="1"/>
  <c r="CW477" i="1"/>
  <c r="CV477" i="1"/>
  <c r="CU477" i="1"/>
  <c r="CT477" i="1"/>
  <c r="CS477" i="1"/>
  <c r="CR477" i="1"/>
  <c r="CQ477" i="1"/>
  <c r="CP477" i="1"/>
  <c r="CO477" i="1"/>
  <c r="CN477" i="1"/>
  <c r="CM477" i="1"/>
  <c r="CL477" i="1"/>
  <c r="BE477" i="1"/>
  <c r="DH476" i="1"/>
  <c r="DG476" i="1"/>
  <c r="DF476" i="1"/>
  <c r="DE476" i="1"/>
  <c r="DD476" i="1"/>
  <c r="DC476" i="1"/>
  <c r="DB476" i="1"/>
  <c r="DA476" i="1"/>
  <c r="CZ476" i="1"/>
  <c r="CY476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BE476" i="1"/>
  <c r="DH475" i="1"/>
  <c r="DG475" i="1"/>
  <c r="DF475" i="1"/>
  <c r="DE475" i="1"/>
  <c r="DD475" i="1"/>
  <c r="DC475" i="1"/>
  <c r="DB475" i="1"/>
  <c r="DA475" i="1"/>
  <c r="CZ475" i="1"/>
  <c r="CY475" i="1"/>
  <c r="CX475" i="1"/>
  <c r="CW475" i="1"/>
  <c r="CV475" i="1"/>
  <c r="CU475" i="1"/>
  <c r="CT475" i="1"/>
  <c r="CS475" i="1"/>
  <c r="CR475" i="1"/>
  <c r="CQ475" i="1"/>
  <c r="CP475" i="1"/>
  <c r="CO475" i="1"/>
  <c r="CN475" i="1"/>
  <c r="CM475" i="1"/>
  <c r="CL475" i="1"/>
  <c r="BE475" i="1"/>
  <c r="DH474" i="1"/>
  <c r="DG474" i="1"/>
  <c r="DF474" i="1"/>
  <c r="DE474" i="1"/>
  <c r="DD474" i="1"/>
  <c r="DC474" i="1"/>
  <c r="DB474" i="1"/>
  <c r="DA474" i="1"/>
  <c r="CZ474" i="1"/>
  <c r="CY474" i="1"/>
  <c r="CX474" i="1"/>
  <c r="CW474" i="1"/>
  <c r="CV474" i="1"/>
  <c r="CU474" i="1"/>
  <c r="CT474" i="1"/>
  <c r="CS474" i="1"/>
  <c r="CR474" i="1"/>
  <c r="CQ474" i="1"/>
  <c r="CP474" i="1"/>
  <c r="CO474" i="1"/>
  <c r="CN474" i="1"/>
  <c r="CM474" i="1"/>
  <c r="CL474" i="1"/>
  <c r="BE474" i="1"/>
  <c r="DH473" i="1"/>
  <c r="DG473" i="1"/>
  <c r="DF473" i="1"/>
  <c r="DE473" i="1"/>
  <c r="DD473" i="1"/>
  <c r="DC473" i="1"/>
  <c r="DB473" i="1"/>
  <c r="DA473" i="1"/>
  <c r="CZ473" i="1"/>
  <c r="CY473" i="1"/>
  <c r="CX473" i="1"/>
  <c r="CW473" i="1"/>
  <c r="CV473" i="1"/>
  <c r="CU473" i="1"/>
  <c r="CT473" i="1"/>
  <c r="CS473" i="1"/>
  <c r="CR473" i="1"/>
  <c r="CQ473" i="1"/>
  <c r="CP473" i="1"/>
  <c r="CO473" i="1"/>
  <c r="CN473" i="1"/>
  <c r="CM473" i="1"/>
  <c r="CL473" i="1"/>
  <c r="BE473" i="1"/>
  <c r="DH472" i="1"/>
  <c r="DG472" i="1"/>
  <c r="DF472" i="1"/>
  <c r="DE472" i="1"/>
  <c r="DD472" i="1"/>
  <c r="DC472" i="1"/>
  <c r="DB472" i="1"/>
  <c r="DA472" i="1"/>
  <c r="CZ472" i="1"/>
  <c r="CY472" i="1"/>
  <c r="CX472" i="1"/>
  <c r="CW472" i="1"/>
  <c r="CV472" i="1"/>
  <c r="CU472" i="1"/>
  <c r="CT472" i="1"/>
  <c r="CS472" i="1"/>
  <c r="CR472" i="1"/>
  <c r="CQ472" i="1"/>
  <c r="CP472" i="1"/>
  <c r="CO472" i="1"/>
  <c r="CN472" i="1"/>
  <c r="CM472" i="1"/>
  <c r="CL472" i="1"/>
  <c r="BE472" i="1"/>
  <c r="DH471" i="1"/>
  <c r="DG471" i="1"/>
  <c r="DF471" i="1"/>
  <c r="DE471" i="1"/>
  <c r="DD471" i="1"/>
  <c r="DC471" i="1"/>
  <c r="DB471" i="1"/>
  <c r="DA471" i="1"/>
  <c r="CZ471" i="1"/>
  <c r="CY471" i="1"/>
  <c r="CX471" i="1"/>
  <c r="CW471" i="1"/>
  <c r="CV471" i="1"/>
  <c r="CU471" i="1"/>
  <c r="CT471" i="1"/>
  <c r="CS471" i="1"/>
  <c r="CR471" i="1"/>
  <c r="CQ471" i="1"/>
  <c r="CP471" i="1"/>
  <c r="CO471" i="1"/>
  <c r="CN471" i="1"/>
  <c r="CM471" i="1"/>
  <c r="CL471" i="1"/>
  <c r="BE471" i="1"/>
  <c r="DH470" i="1"/>
  <c r="DG470" i="1"/>
  <c r="DF470" i="1"/>
  <c r="DE470" i="1"/>
  <c r="DD470" i="1"/>
  <c r="DC470" i="1"/>
  <c r="DB470" i="1"/>
  <c r="DA470" i="1"/>
  <c r="CZ470" i="1"/>
  <c r="CY470" i="1"/>
  <c r="CX470" i="1"/>
  <c r="CW470" i="1"/>
  <c r="CV470" i="1"/>
  <c r="CU470" i="1"/>
  <c r="CT470" i="1"/>
  <c r="CS470" i="1"/>
  <c r="CR470" i="1"/>
  <c r="CQ470" i="1"/>
  <c r="CP470" i="1"/>
  <c r="CO470" i="1"/>
  <c r="CN470" i="1"/>
  <c r="CM470" i="1"/>
  <c r="CL470" i="1"/>
  <c r="BE470" i="1"/>
  <c r="DH469" i="1"/>
  <c r="DG469" i="1"/>
  <c r="DF469" i="1"/>
  <c r="DE469" i="1"/>
  <c r="DD469" i="1"/>
  <c r="DC469" i="1"/>
  <c r="DB469" i="1"/>
  <c r="DA469" i="1"/>
  <c r="CZ469" i="1"/>
  <c r="CY469" i="1"/>
  <c r="CX469" i="1"/>
  <c r="CW469" i="1"/>
  <c r="CV469" i="1"/>
  <c r="CU469" i="1"/>
  <c r="CT469" i="1"/>
  <c r="CS469" i="1"/>
  <c r="CR469" i="1"/>
  <c r="CQ469" i="1"/>
  <c r="CP469" i="1"/>
  <c r="CO469" i="1"/>
  <c r="CN469" i="1"/>
  <c r="CM469" i="1"/>
  <c r="CL469" i="1"/>
  <c r="BE469" i="1"/>
  <c r="DH468" i="1"/>
  <c r="DG468" i="1"/>
  <c r="DF468" i="1"/>
  <c r="DE468" i="1"/>
  <c r="DD468" i="1"/>
  <c r="DC468" i="1"/>
  <c r="DB468" i="1"/>
  <c r="DA468" i="1"/>
  <c r="CZ468" i="1"/>
  <c r="CY468" i="1"/>
  <c r="CX468" i="1"/>
  <c r="CW468" i="1"/>
  <c r="CV468" i="1"/>
  <c r="CU468" i="1"/>
  <c r="CT468" i="1"/>
  <c r="CS468" i="1"/>
  <c r="CR468" i="1"/>
  <c r="CQ468" i="1"/>
  <c r="CP468" i="1"/>
  <c r="CO468" i="1"/>
  <c r="CN468" i="1"/>
  <c r="CM468" i="1"/>
  <c r="CL468" i="1"/>
  <c r="BE468" i="1"/>
  <c r="DH467" i="1"/>
  <c r="DG467" i="1"/>
  <c r="DF467" i="1"/>
  <c r="DE467" i="1"/>
  <c r="DD467" i="1"/>
  <c r="DC467" i="1"/>
  <c r="DB467" i="1"/>
  <c r="DA467" i="1"/>
  <c r="CZ467" i="1"/>
  <c r="CY467" i="1"/>
  <c r="CX467" i="1"/>
  <c r="CW467" i="1"/>
  <c r="CV467" i="1"/>
  <c r="CU467" i="1"/>
  <c r="CT467" i="1"/>
  <c r="CS467" i="1"/>
  <c r="CR467" i="1"/>
  <c r="CQ467" i="1"/>
  <c r="CP467" i="1"/>
  <c r="CO467" i="1"/>
  <c r="CN467" i="1"/>
  <c r="CM467" i="1"/>
  <c r="CL467" i="1"/>
  <c r="BE467" i="1"/>
  <c r="BE455" i="1"/>
  <c r="CL455" i="1"/>
  <c r="CM455" i="1"/>
  <c r="CN455" i="1"/>
  <c r="CO455" i="1"/>
  <c r="CP455" i="1"/>
  <c r="CQ455" i="1"/>
  <c r="CR455" i="1"/>
  <c r="CS455" i="1"/>
  <c r="CT455" i="1"/>
  <c r="CU455" i="1"/>
  <c r="CV455" i="1"/>
  <c r="CW455" i="1"/>
  <c r="CX455" i="1"/>
  <c r="CY455" i="1"/>
  <c r="CZ455" i="1"/>
  <c r="DA455" i="1"/>
  <c r="DB455" i="1"/>
  <c r="DC455" i="1"/>
  <c r="DD455" i="1"/>
  <c r="DE455" i="1"/>
  <c r="DF455" i="1"/>
  <c r="DG455" i="1"/>
  <c r="DH455" i="1"/>
  <c r="BE456" i="1"/>
  <c r="CL456" i="1"/>
  <c r="CM456" i="1"/>
  <c r="CN456" i="1"/>
  <c r="CO456" i="1"/>
  <c r="CP456" i="1"/>
  <c r="CQ456" i="1"/>
  <c r="CR456" i="1"/>
  <c r="CS456" i="1"/>
  <c r="CT456" i="1"/>
  <c r="CU456" i="1"/>
  <c r="CV456" i="1"/>
  <c r="CW456" i="1"/>
  <c r="CX456" i="1"/>
  <c r="CY456" i="1"/>
  <c r="CZ456" i="1"/>
  <c r="DA456" i="1"/>
  <c r="DB456" i="1"/>
  <c r="DC456" i="1"/>
  <c r="DD456" i="1"/>
  <c r="DE456" i="1"/>
  <c r="DF456" i="1"/>
  <c r="DG456" i="1"/>
  <c r="DH456" i="1"/>
  <c r="BE457" i="1"/>
  <c r="CL457" i="1"/>
  <c r="CM457" i="1"/>
  <c r="CN457" i="1"/>
  <c r="CO457" i="1"/>
  <c r="CP457" i="1"/>
  <c r="CQ457" i="1"/>
  <c r="CR457" i="1"/>
  <c r="CS457" i="1"/>
  <c r="CT457" i="1"/>
  <c r="CU457" i="1"/>
  <c r="CV457" i="1"/>
  <c r="CW457" i="1"/>
  <c r="CX457" i="1"/>
  <c r="CY457" i="1"/>
  <c r="CZ457" i="1"/>
  <c r="DA457" i="1"/>
  <c r="DB457" i="1"/>
  <c r="DC457" i="1"/>
  <c r="DD457" i="1"/>
  <c r="DE457" i="1"/>
  <c r="DF457" i="1"/>
  <c r="DG457" i="1"/>
  <c r="DH457" i="1"/>
  <c r="BE458" i="1"/>
  <c r="CL458" i="1"/>
  <c r="CM458" i="1"/>
  <c r="CN458" i="1"/>
  <c r="CO458" i="1"/>
  <c r="CP458" i="1"/>
  <c r="CQ458" i="1"/>
  <c r="CR458" i="1"/>
  <c r="CS458" i="1"/>
  <c r="CT458" i="1"/>
  <c r="CU458" i="1"/>
  <c r="CV458" i="1"/>
  <c r="CW458" i="1"/>
  <c r="CX458" i="1"/>
  <c r="CY458" i="1"/>
  <c r="CZ458" i="1"/>
  <c r="DA458" i="1"/>
  <c r="DB458" i="1"/>
  <c r="DC458" i="1"/>
  <c r="DD458" i="1"/>
  <c r="DE458" i="1"/>
  <c r="DF458" i="1"/>
  <c r="DG458" i="1"/>
  <c r="DH458" i="1"/>
  <c r="BE459" i="1"/>
  <c r="CL459" i="1"/>
  <c r="CM459" i="1"/>
  <c r="CN459" i="1"/>
  <c r="CO459" i="1"/>
  <c r="CP459" i="1"/>
  <c r="CQ459" i="1"/>
  <c r="CR459" i="1"/>
  <c r="CS459" i="1"/>
  <c r="CT459" i="1"/>
  <c r="CU459" i="1"/>
  <c r="CV459" i="1"/>
  <c r="CW459" i="1"/>
  <c r="CX459" i="1"/>
  <c r="CY459" i="1"/>
  <c r="CZ459" i="1"/>
  <c r="DA459" i="1"/>
  <c r="DB459" i="1"/>
  <c r="DC459" i="1"/>
  <c r="DD459" i="1"/>
  <c r="DE459" i="1"/>
  <c r="DF459" i="1"/>
  <c r="DG459" i="1"/>
  <c r="DH459" i="1"/>
  <c r="BE460" i="1"/>
  <c r="CL460" i="1"/>
  <c r="CM460" i="1"/>
  <c r="CN460" i="1"/>
  <c r="CO460" i="1"/>
  <c r="CP460" i="1"/>
  <c r="CQ460" i="1"/>
  <c r="CR460" i="1"/>
  <c r="CS460" i="1"/>
  <c r="CT460" i="1"/>
  <c r="CU460" i="1"/>
  <c r="CV460" i="1"/>
  <c r="CW460" i="1"/>
  <c r="CX460" i="1"/>
  <c r="CY460" i="1"/>
  <c r="CZ460" i="1"/>
  <c r="DA460" i="1"/>
  <c r="DB460" i="1"/>
  <c r="DC460" i="1"/>
  <c r="DD460" i="1"/>
  <c r="DE460" i="1"/>
  <c r="DF460" i="1"/>
  <c r="DG460" i="1"/>
  <c r="DH460" i="1"/>
  <c r="BE461" i="1"/>
  <c r="CL461" i="1"/>
  <c r="CM461" i="1"/>
  <c r="CN461" i="1"/>
  <c r="CO461" i="1"/>
  <c r="CP461" i="1"/>
  <c r="CQ461" i="1"/>
  <c r="CR461" i="1"/>
  <c r="CS461" i="1"/>
  <c r="CT461" i="1"/>
  <c r="CU461" i="1"/>
  <c r="CV461" i="1"/>
  <c r="CW461" i="1"/>
  <c r="CX461" i="1"/>
  <c r="CY461" i="1"/>
  <c r="CZ461" i="1"/>
  <c r="DA461" i="1"/>
  <c r="DB461" i="1"/>
  <c r="DC461" i="1"/>
  <c r="DD461" i="1"/>
  <c r="DE461" i="1"/>
  <c r="DF461" i="1"/>
  <c r="DG461" i="1"/>
  <c r="DH461" i="1"/>
  <c r="BE462" i="1"/>
  <c r="CL462" i="1"/>
  <c r="CM462" i="1"/>
  <c r="CN462" i="1"/>
  <c r="CO462" i="1"/>
  <c r="CP462" i="1"/>
  <c r="CQ462" i="1"/>
  <c r="CR462" i="1"/>
  <c r="CS462" i="1"/>
  <c r="CT462" i="1"/>
  <c r="CU462" i="1"/>
  <c r="CV462" i="1"/>
  <c r="CW462" i="1"/>
  <c r="CX462" i="1"/>
  <c r="CY462" i="1"/>
  <c r="CZ462" i="1"/>
  <c r="DA462" i="1"/>
  <c r="DB462" i="1"/>
  <c r="DC462" i="1"/>
  <c r="DD462" i="1"/>
  <c r="DE462" i="1"/>
  <c r="DF462" i="1"/>
  <c r="DG462" i="1"/>
  <c r="DH462" i="1"/>
  <c r="BE463" i="1"/>
  <c r="CL463" i="1"/>
  <c r="CM463" i="1"/>
  <c r="CN463" i="1"/>
  <c r="CO463" i="1"/>
  <c r="CP463" i="1"/>
  <c r="CQ463" i="1"/>
  <c r="CR463" i="1"/>
  <c r="CS463" i="1"/>
  <c r="CT463" i="1"/>
  <c r="CU463" i="1"/>
  <c r="CV463" i="1"/>
  <c r="CW463" i="1"/>
  <c r="CX463" i="1"/>
  <c r="CY463" i="1"/>
  <c r="CZ463" i="1"/>
  <c r="DA463" i="1"/>
  <c r="DB463" i="1"/>
  <c r="DC463" i="1"/>
  <c r="DD463" i="1"/>
  <c r="DE463" i="1"/>
  <c r="DF463" i="1"/>
  <c r="DG463" i="1"/>
  <c r="DH463" i="1"/>
  <c r="BE464" i="1"/>
  <c r="CL464" i="1"/>
  <c r="CM464" i="1"/>
  <c r="CN464" i="1"/>
  <c r="CO464" i="1"/>
  <c r="CP464" i="1"/>
  <c r="CQ464" i="1"/>
  <c r="CR464" i="1"/>
  <c r="CS464" i="1"/>
  <c r="CT464" i="1"/>
  <c r="CU464" i="1"/>
  <c r="CV464" i="1"/>
  <c r="CW464" i="1"/>
  <c r="CX464" i="1"/>
  <c r="CY464" i="1"/>
  <c r="CZ464" i="1"/>
  <c r="DA464" i="1"/>
  <c r="DB464" i="1"/>
  <c r="DC464" i="1"/>
  <c r="DD464" i="1"/>
  <c r="DE464" i="1"/>
  <c r="DF464" i="1"/>
  <c r="DG464" i="1"/>
  <c r="DH464" i="1"/>
  <c r="BE465" i="1"/>
  <c r="CL465" i="1"/>
  <c r="CM465" i="1"/>
  <c r="CN465" i="1"/>
  <c r="CO465" i="1"/>
  <c r="CP465" i="1"/>
  <c r="CQ465" i="1"/>
  <c r="CR465" i="1"/>
  <c r="CS465" i="1"/>
  <c r="CT465" i="1"/>
  <c r="CU465" i="1"/>
  <c r="CV465" i="1"/>
  <c r="CW465" i="1"/>
  <c r="CX465" i="1"/>
  <c r="CY465" i="1"/>
  <c r="CZ465" i="1"/>
  <c r="DA465" i="1"/>
  <c r="DB465" i="1"/>
  <c r="DC465" i="1"/>
  <c r="DD465" i="1"/>
  <c r="DE465" i="1"/>
  <c r="DF465" i="1"/>
  <c r="DG465" i="1"/>
  <c r="DH465" i="1"/>
  <c r="BE466" i="1"/>
  <c r="CL466" i="1"/>
  <c r="CM466" i="1"/>
  <c r="CN466" i="1"/>
  <c r="CO466" i="1"/>
  <c r="CP466" i="1"/>
  <c r="CQ466" i="1"/>
  <c r="CR466" i="1"/>
  <c r="CS466" i="1"/>
  <c r="CT466" i="1"/>
  <c r="CU466" i="1"/>
  <c r="CV466" i="1"/>
  <c r="CW466" i="1"/>
  <c r="CX466" i="1"/>
  <c r="CY466" i="1"/>
  <c r="CZ466" i="1"/>
  <c r="DA466" i="1"/>
  <c r="DB466" i="1"/>
  <c r="DC466" i="1"/>
  <c r="DD466" i="1"/>
  <c r="DE466" i="1"/>
  <c r="DF466" i="1"/>
  <c r="DG466" i="1"/>
  <c r="DH466" i="1"/>
  <c r="DH454" i="1"/>
  <c r="DG454" i="1"/>
  <c r="DF454" i="1"/>
  <c r="DE454" i="1"/>
  <c r="DD454" i="1"/>
  <c r="DC454" i="1"/>
  <c r="DB454" i="1"/>
  <c r="DA454" i="1"/>
  <c r="CZ454" i="1"/>
  <c r="CY454" i="1"/>
  <c r="CX454" i="1"/>
  <c r="CW454" i="1"/>
  <c r="CV454" i="1"/>
  <c r="CU454" i="1"/>
  <c r="CT454" i="1"/>
  <c r="CS454" i="1"/>
  <c r="CR454" i="1"/>
  <c r="CQ454" i="1"/>
  <c r="CP454" i="1"/>
  <c r="CO454" i="1"/>
  <c r="CN454" i="1"/>
  <c r="CM454" i="1"/>
  <c r="CL454" i="1"/>
  <c r="BE454" i="1"/>
  <c r="DH453" i="1"/>
  <c r="DG453" i="1"/>
  <c r="DF453" i="1"/>
  <c r="DE453" i="1"/>
  <c r="DD453" i="1"/>
  <c r="DC453" i="1"/>
  <c r="DB453" i="1"/>
  <c r="DA453" i="1"/>
  <c r="CZ453" i="1"/>
  <c r="CY453" i="1"/>
  <c r="CX453" i="1"/>
  <c r="CW453" i="1"/>
  <c r="CV453" i="1"/>
  <c r="CU453" i="1"/>
  <c r="CT453" i="1"/>
  <c r="CS453" i="1"/>
  <c r="CR453" i="1"/>
  <c r="CQ453" i="1"/>
  <c r="CP453" i="1"/>
  <c r="CO453" i="1"/>
  <c r="CN453" i="1"/>
  <c r="CM453" i="1"/>
  <c r="CL453" i="1"/>
  <c r="BE453" i="1"/>
  <c r="DH452" i="1"/>
  <c r="DG452" i="1"/>
  <c r="DF452" i="1"/>
  <c r="DE452" i="1"/>
  <c r="DD452" i="1"/>
  <c r="DC452" i="1"/>
  <c r="DB452" i="1"/>
  <c r="DA452" i="1"/>
  <c r="CZ452" i="1"/>
  <c r="CY452" i="1"/>
  <c r="CX452" i="1"/>
  <c r="CW452" i="1"/>
  <c r="CV452" i="1"/>
  <c r="CU452" i="1"/>
  <c r="CT452" i="1"/>
  <c r="CS452" i="1"/>
  <c r="CR452" i="1"/>
  <c r="CQ452" i="1"/>
  <c r="CP452" i="1"/>
  <c r="CO452" i="1"/>
  <c r="CN452" i="1"/>
  <c r="CM452" i="1"/>
  <c r="CL452" i="1"/>
  <c r="BE452" i="1"/>
  <c r="DH451" i="1"/>
  <c r="DG451" i="1"/>
  <c r="DF451" i="1"/>
  <c r="DE451" i="1"/>
  <c r="DD451" i="1"/>
  <c r="DC451" i="1"/>
  <c r="DB451" i="1"/>
  <c r="DA451" i="1"/>
  <c r="CZ451" i="1"/>
  <c r="CY451" i="1"/>
  <c r="CX451" i="1"/>
  <c r="CW451" i="1"/>
  <c r="CV451" i="1"/>
  <c r="CU451" i="1"/>
  <c r="CT451" i="1"/>
  <c r="CS451" i="1"/>
  <c r="CR451" i="1"/>
  <c r="CQ451" i="1"/>
  <c r="CP451" i="1"/>
  <c r="CO451" i="1"/>
  <c r="CN451" i="1"/>
  <c r="CM451" i="1"/>
  <c r="CL451" i="1"/>
  <c r="BE451" i="1"/>
  <c r="DH450" i="1"/>
  <c r="DG450" i="1"/>
  <c r="DF450" i="1"/>
  <c r="DE450" i="1"/>
  <c r="DD450" i="1"/>
  <c r="DC450" i="1"/>
  <c r="DB450" i="1"/>
  <c r="DA450" i="1"/>
  <c r="CZ450" i="1"/>
  <c r="CY450" i="1"/>
  <c r="CX450" i="1"/>
  <c r="CW450" i="1"/>
  <c r="CV450" i="1"/>
  <c r="CU450" i="1"/>
  <c r="CT450" i="1"/>
  <c r="CS450" i="1"/>
  <c r="CR450" i="1"/>
  <c r="CQ450" i="1"/>
  <c r="CP450" i="1"/>
  <c r="CO450" i="1"/>
  <c r="CN450" i="1"/>
  <c r="CM450" i="1"/>
  <c r="CL450" i="1"/>
  <c r="BE450" i="1"/>
  <c r="BE449" i="1"/>
  <c r="CL449" i="1"/>
  <c r="CM449" i="1"/>
  <c r="CN449" i="1"/>
  <c r="CO449" i="1"/>
  <c r="CP449" i="1"/>
  <c r="CQ449" i="1"/>
  <c r="CR449" i="1"/>
  <c r="CS449" i="1"/>
  <c r="CT449" i="1"/>
  <c r="CU449" i="1"/>
  <c r="CV449" i="1"/>
  <c r="CW449" i="1"/>
  <c r="CX449" i="1"/>
  <c r="CY449" i="1"/>
  <c r="CZ449" i="1"/>
  <c r="DA449" i="1"/>
  <c r="DB449" i="1"/>
  <c r="DC449" i="1"/>
  <c r="DD449" i="1"/>
  <c r="DE449" i="1"/>
  <c r="DF449" i="1"/>
  <c r="DG449" i="1"/>
  <c r="DH449" i="1"/>
  <c r="DH448" i="1"/>
  <c r="DG448" i="1"/>
  <c r="DF448" i="1"/>
  <c r="DE448" i="1"/>
  <c r="DD448" i="1"/>
  <c r="DC448" i="1"/>
  <c r="DB448" i="1"/>
  <c r="DA448" i="1"/>
  <c r="CZ448" i="1"/>
  <c r="CY448" i="1"/>
  <c r="CX448" i="1"/>
  <c r="CW448" i="1"/>
  <c r="CV448" i="1"/>
  <c r="CU448" i="1"/>
  <c r="CT448" i="1"/>
  <c r="CS448" i="1"/>
  <c r="CR448" i="1"/>
  <c r="CQ448" i="1"/>
  <c r="CP448" i="1"/>
  <c r="CO448" i="1"/>
  <c r="CN448" i="1"/>
  <c r="CM448" i="1"/>
  <c r="CL448" i="1"/>
  <c r="BE448" i="1"/>
  <c r="JZ446" i="1"/>
  <c r="JZ445" i="1"/>
  <c r="UH444" i="1"/>
  <c r="UI444" i="1" s="1"/>
  <c r="UF444" i="1"/>
  <c r="SB443" i="1"/>
  <c r="SC443" i="1" s="1"/>
  <c r="SD443" i="1" s="1"/>
  <c r="SE443" i="1" s="1"/>
  <c r="SF443" i="1" s="1"/>
  <c r="SG443" i="1" s="1"/>
  <c r="SH443" i="1" s="1"/>
  <c r="SI443" i="1" s="1"/>
  <c r="SJ443" i="1" s="1"/>
  <c r="SK443" i="1" s="1"/>
  <c r="SL443" i="1" s="1"/>
  <c r="SM443" i="1" s="1"/>
  <c r="SN443" i="1" s="1"/>
  <c r="SO443" i="1" s="1"/>
  <c r="SP443" i="1" s="1"/>
  <c r="SQ443" i="1" s="1"/>
  <c r="SR443" i="1" s="1"/>
  <c r="SS443" i="1" s="1"/>
  <c r="ST443" i="1" s="1"/>
  <c r="SU443" i="1" s="1"/>
  <c r="SV443" i="1" s="1"/>
  <c r="SW443" i="1" s="1"/>
  <c r="SX443" i="1" s="1"/>
  <c r="SY443" i="1" s="1"/>
  <c r="RZ443" i="1"/>
  <c r="QS443" i="1"/>
  <c r="QU443" i="1" s="1"/>
  <c r="QW443" i="1" s="1"/>
  <c r="QY443" i="1" s="1"/>
  <c r="RA443" i="1" s="1"/>
  <c r="QR443" i="1"/>
  <c r="QT443" i="1" s="1"/>
  <c r="QV443" i="1" s="1"/>
  <c r="QX443" i="1" s="1"/>
  <c r="QZ443" i="1" s="1"/>
  <c r="KJ442" i="1"/>
  <c r="KK442" i="1" s="1"/>
  <c r="JZ442" i="1"/>
  <c r="OL441" i="1"/>
  <c r="OL440" i="1"/>
  <c r="PM439" i="1" a="1"/>
  <c r="PM439" i="1" s="1"/>
  <c r="OL439" i="1"/>
  <c r="SB438" i="1"/>
  <c r="SC438" i="1" s="1"/>
  <c r="SD438" i="1" s="1"/>
  <c r="SE438" i="1" s="1"/>
  <c r="SF438" i="1" s="1"/>
  <c r="SG438" i="1" s="1"/>
  <c r="SH438" i="1" s="1"/>
  <c r="SI438" i="1" s="1"/>
  <c r="SJ438" i="1" s="1"/>
  <c r="SK438" i="1" s="1"/>
  <c r="SL438" i="1" s="1"/>
  <c r="SM438" i="1" s="1"/>
  <c r="SN438" i="1" s="1"/>
  <c r="SO438" i="1" s="1"/>
  <c r="SP438" i="1" s="1"/>
  <c r="SQ438" i="1" s="1"/>
  <c r="SR438" i="1" s="1"/>
  <c r="SS438" i="1" s="1"/>
  <c r="ST438" i="1" s="1"/>
  <c r="SU438" i="1" s="1"/>
  <c r="SV438" i="1" s="1"/>
  <c r="SW438" i="1" s="1"/>
  <c r="SX438" i="1" s="1"/>
  <c r="SY438" i="1" s="1"/>
  <c r="RZ438" i="1"/>
  <c r="QS438" i="1"/>
  <c r="QU438" i="1" s="1"/>
  <c r="QW438" i="1" s="1"/>
  <c r="QY438" i="1" s="1"/>
  <c r="RA438" i="1" s="1"/>
  <c r="QR438" i="1"/>
  <c r="QT438" i="1" s="1"/>
  <c r="QV438" i="1" s="1"/>
  <c r="QX438" i="1" s="1"/>
  <c r="QZ438" i="1" s="1"/>
  <c r="KJ437" i="1"/>
  <c r="KK437" i="1" s="1"/>
  <c r="JZ437" i="1"/>
  <c r="OL436" i="1"/>
  <c r="OL435" i="1"/>
  <c r="PM434" i="1" a="1"/>
  <c r="PM434" i="1" s="1"/>
  <c r="OL434" i="1"/>
  <c r="SB433" i="1"/>
  <c r="SC433" i="1" s="1"/>
  <c r="SD433" i="1" s="1"/>
  <c r="SE433" i="1" s="1"/>
  <c r="SF433" i="1" s="1"/>
  <c r="SG433" i="1" s="1"/>
  <c r="SH433" i="1" s="1"/>
  <c r="SI433" i="1" s="1"/>
  <c r="SJ433" i="1" s="1"/>
  <c r="SK433" i="1" s="1"/>
  <c r="SL433" i="1" s="1"/>
  <c r="SM433" i="1" s="1"/>
  <c r="SN433" i="1" s="1"/>
  <c r="SO433" i="1" s="1"/>
  <c r="SP433" i="1" s="1"/>
  <c r="SQ433" i="1" s="1"/>
  <c r="SR433" i="1" s="1"/>
  <c r="SS433" i="1" s="1"/>
  <c r="ST433" i="1" s="1"/>
  <c r="SU433" i="1" s="1"/>
  <c r="SV433" i="1" s="1"/>
  <c r="SW433" i="1" s="1"/>
  <c r="SX433" i="1" s="1"/>
  <c r="SY433" i="1" s="1"/>
  <c r="RZ433" i="1"/>
  <c r="QS433" i="1"/>
  <c r="QU433" i="1" s="1"/>
  <c r="QW433" i="1" s="1"/>
  <c r="QY433" i="1" s="1"/>
  <c r="RA433" i="1" s="1"/>
  <c r="QR433" i="1"/>
  <c r="QT433" i="1" s="1"/>
  <c r="QV433" i="1" s="1"/>
  <c r="QX433" i="1" s="1"/>
  <c r="QZ433" i="1" s="1"/>
  <c r="KJ432" i="1"/>
  <c r="KK432" i="1" s="1"/>
  <c r="JZ432" i="1"/>
  <c r="OL431" i="1"/>
  <c r="OL430" i="1"/>
  <c r="PM429" i="1" a="1"/>
  <c r="PM429" i="1" s="1"/>
  <c r="OL429" i="1"/>
  <c r="SB202" i="1"/>
  <c r="SC202" i="1" s="1"/>
  <c r="SD202" i="1" s="1"/>
  <c r="SE202" i="1" s="1"/>
  <c r="SF202" i="1" s="1"/>
  <c r="SG202" i="1" s="1"/>
  <c r="SH202" i="1" s="1"/>
  <c r="SI202" i="1" s="1"/>
  <c r="SJ202" i="1" s="1"/>
  <c r="SK202" i="1" s="1"/>
  <c r="SL202" i="1" s="1"/>
  <c r="SM202" i="1" s="1"/>
  <c r="SN202" i="1" s="1"/>
  <c r="SO202" i="1" s="1"/>
  <c r="SP202" i="1" s="1"/>
  <c r="SQ202" i="1" s="1"/>
  <c r="SR202" i="1" s="1"/>
  <c r="SS202" i="1" s="1"/>
  <c r="ST202" i="1" s="1"/>
  <c r="SU202" i="1" s="1"/>
  <c r="SV202" i="1" s="1"/>
  <c r="SW202" i="1" s="1"/>
  <c r="SX202" i="1" s="1"/>
  <c r="SY202" i="1" s="1"/>
  <c r="SB197" i="1"/>
  <c r="SC197" i="1" s="1"/>
  <c r="SD197" i="1" s="1"/>
  <c r="SE197" i="1" s="1"/>
  <c r="SF197" i="1" s="1"/>
  <c r="SG197" i="1" s="1"/>
  <c r="SH197" i="1" s="1"/>
  <c r="SI197" i="1" s="1"/>
  <c r="SJ197" i="1" s="1"/>
  <c r="SK197" i="1" s="1"/>
  <c r="SL197" i="1" s="1"/>
  <c r="SM197" i="1" s="1"/>
  <c r="SN197" i="1" s="1"/>
  <c r="SO197" i="1" s="1"/>
  <c r="SP197" i="1" s="1"/>
  <c r="SQ197" i="1" s="1"/>
  <c r="SR197" i="1" s="1"/>
  <c r="SS197" i="1" s="1"/>
  <c r="ST197" i="1" s="1"/>
  <c r="SU197" i="1" s="1"/>
  <c r="SV197" i="1" s="1"/>
  <c r="SW197" i="1" s="1"/>
  <c r="SX197" i="1" s="1"/>
  <c r="SY197" i="1" s="1"/>
  <c r="SB192" i="1"/>
  <c r="SC192" i="1" s="1"/>
  <c r="SD192" i="1" s="1"/>
  <c r="SE192" i="1" s="1"/>
  <c r="SF192" i="1" s="1"/>
  <c r="SG192" i="1" s="1"/>
  <c r="SH192" i="1" s="1"/>
  <c r="SI192" i="1" s="1"/>
  <c r="SJ192" i="1" s="1"/>
  <c r="SK192" i="1" s="1"/>
  <c r="SL192" i="1" s="1"/>
  <c r="SM192" i="1" s="1"/>
  <c r="SN192" i="1" s="1"/>
  <c r="SO192" i="1" s="1"/>
  <c r="SP192" i="1" s="1"/>
  <c r="SQ192" i="1" s="1"/>
  <c r="SR192" i="1" s="1"/>
  <c r="SS192" i="1" s="1"/>
  <c r="ST192" i="1" s="1"/>
  <c r="SU192" i="1" s="1"/>
  <c r="SV192" i="1" s="1"/>
  <c r="SW192" i="1" s="1"/>
  <c r="SX192" i="1" s="1"/>
  <c r="SY192" i="1" s="1"/>
  <c r="SB187" i="1"/>
  <c r="SC187" i="1" s="1"/>
  <c r="SD187" i="1" s="1"/>
  <c r="SE187" i="1" s="1"/>
  <c r="SF187" i="1" s="1"/>
  <c r="SG187" i="1" s="1"/>
  <c r="SH187" i="1" s="1"/>
  <c r="SI187" i="1" s="1"/>
  <c r="SJ187" i="1" s="1"/>
  <c r="SK187" i="1" s="1"/>
  <c r="SL187" i="1" s="1"/>
  <c r="SM187" i="1" s="1"/>
  <c r="SN187" i="1" s="1"/>
  <c r="SO187" i="1" s="1"/>
  <c r="SP187" i="1" s="1"/>
  <c r="SQ187" i="1" s="1"/>
  <c r="SR187" i="1" s="1"/>
  <c r="SS187" i="1" s="1"/>
  <c r="ST187" i="1" s="1"/>
  <c r="SU187" i="1" s="1"/>
  <c r="SV187" i="1" s="1"/>
  <c r="SW187" i="1" s="1"/>
  <c r="SX187" i="1" s="1"/>
  <c r="SY187" i="1" s="1"/>
  <c r="SB428" i="1"/>
  <c r="SC428" i="1" s="1"/>
  <c r="SD428" i="1" s="1"/>
  <c r="SE428" i="1" s="1"/>
  <c r="SF428" i="1" s="1"/>
  <c r="SG428" i="1" s="1"/>
  <c r="SH428" i="1" s="1"/>
  <c r="SI428" i="1" s="1"/>
  <c r="SJ428" i="1" s="1"/>
  <c r="SK428" i="1" s="1"/>
  <c r="SL428" i="1" s="1"/>
  <c r="SM428" i="1" s="1"/>
  <c r="SN428" i="1" s="1"/>
  <c r="SO428" i="1" s="1"/>
  <c r="SP428" i="1" s="1"/>
  <c r="SQ428" i="1" s="1"/>
  <c r="SR428" i="1" s="1"/>
  <c r="SS428" i="1" s="1"/>
  <c r="ST428" i="1" s="1"/>
  <c r="SU428" i="1" s="1"/>
  <c r="SV428" i="1" s="1"/>
  <c r="SW428" i="1" s="1"/>
  <c r="SX428" i="1" s="1"/>
  <c r="SY428" i="1" s="1"/>
  <c r="PM424" i="1" a="1"/>
  <c r="PM424" i="1" s="1"/>
  <c r="RZ428" i="1"/>
  <c r="QS428" i="1"/>
  <c r="QU428" i="1" s="1"/>
  <c r="QW428" i="1" s="1"/>
  <c r="QY428" i="1" s="1"/>
  <c r="RA428" i="1" s="1"/>
  <c r="QR428" i="1"/>
  <c r="QT428" i="1" s="1"/>
  <c r="QV428" i="1" s="1"/>
  <c r="QX428" i="1" s="1"/>
  <c r="QZ428" i="1" s="1"/>
  <c r="KJ427" i="1"/>
  <c r="KK427" i="1" s="1"/>
  <c r="JZ427" i="1"/>
  <c r="OL426" i="1"/>
  <c r="OL425" i="1"/>
  <c r="OL424" i="1"/>
  <c r="X378" i="1"/>
  <c r="JZ423" i="1"/>
  <c r="JZ422" i="1"/>
  <c r="JZ421" i="1"/>
  <c r="JZ420" i="1"/>
  <c r="JZ419" i="1"/>
  <c r="JZ418" i="1"/>
  <c r="JZ417" i="1"/>
  <c r="JZ416" i="1"/>
  <c r="JZ415" i="1"/>
  <c r="JZ414" i="1"/>
  <c r="JZ413" i="1"/>
  <c r="JZ412" i="1"/>
  <c r="JZ411" i="1"/>
  <c r="JZ410" i="1"/>
  <c r="JZ409" i="1"/>
  <c r="JZ408" i="1"/>
  <c r="JZ407" i="1"/>
  <c r="JZ406" i="1"/>
  <c r="JZ405" i="1"/>
  <c r="JZ404" i="1"/>
  <c r="JZ403" i="1"/>
  <c r="JZ402" i="1"/>
  <c r="JZ401" i="1"/>
  <c r="JZ400" i="1"/>
  <c r="JZ399" i="1"/>
  <c r="JZ398" i="1"/>
  <c r="JZ397" i="1"/>
  <c r="JZ396" i="1"/>
  <c r="JZ395" i="1"/>
  <c r="JZ394" i="1"/>
  <c r="JZ393" i="1"/>
  <c r="JZ392" i="1"/>
  <c r="JZ391" i="1"/>
  <c r="JZ390" i="1"/>
  <c r="JZ389" i="1"/>
  <c r="JZ388" i="1"/>
  <c r="JZ387" i="1"/>
  <c r="JZ386" i="1"/>
  <c r="JZ385" i="1"/>
  <c r="JZ384" i="1"/>
  <c r="JZ383" i="1"/>
  <c r="JZ382" i="1"/>
  <c r="JZ381" i="1"/>
  <c r="JZ380" i="1"/>
  <c r="JZ379" i="1"/>
  <c r="JZ378" i="1"/>
  <c r="JZ377" i="1"/>
  <c r="MS370" i="1"/>
  <c r="MS371" i="1" s="1"/>
  <c r="MS372" i="1" s="1"/>
  <c r="MS373" i="1" s="1"/>
  <c r="MS375" i="1" s="1"/>
  <c r="MS376" i="1" s="1"/>
  <c r="MR370" i="1"/>
  <c r="MR371" i="1" s="1"/>
  <c r="MR372" i="1" s="1"/>
  <c r="MR373" i="1" s="1"/>
  <c r="MR375" i="1" s="1"/>
  <c r="MR376" i="1" s="1"/>
  <c r="MK370" i="1"/>
  <c r="MK371" i="1" s="1"/>
  <c r="MK372" i="1" s="1"/>
  <c r="MK373" i="1" s="1"/>
  <c r="MK375" i="1" s="1"/>
  <c r="MK376" i="1" s="1"/>
  <c r="MJ370" i="1"/>
  <c r="MJ371" i="1" s="1"/>
  <c r="MJ372" i="1" s="1"/>
  <c r="MJ373" i="1" s="1"/>
  <c r="MJ375" i="1" s="1"/>
  <c r="MJ376" i="1" s="1"/>
  <c r="MI370" i="1"/>
  <c r="MI371" i="1" s="1"/>
  <c r="MI372" i="1" s="1"/>
  <c r="MI373" i="1" s="1"/>
  <c r="MI375" i="1" s="1"/>
  <c r="MI376" i="1" s="1"/>
  <c r="MH370" i="1"/>
  <c r="MH371" i="1" s="1"/>
  <c r="MH372" i="1" s="1"/>
  <c r="MH373" i="1" s="1"/>
  <c r="MH375" i="1" s="1"/>
  <c r="MH376" i="1" s="1"/>
  <c r="MG370" i="1"/>
  <c r="MG371" i="1" s="1"/>
  <c r="MG372" i="1" s="1"/>
  <c r="MG373" i="1" s="1"/>
  <c r="MG375" i="1" s="1"/>
  <c r="MG376" i="1" s="1"/>
  <c r="MF370" i="1"/>
  <c r="MF371" i="1" s="1"/>
  <c r="MF372" i="1" s="1"/>
  <c r="MF373" i="1" s="1"/>
  <c r="MF375" i="1" s="1"/>
  <c r="MF376" i="1" s="1"/>
  <c r="ME370" i="1"/>
  <c r="ME371" i="1" s="1"/>
  <c r="ME372" i="1" s="1"/>
  <c r="ME373" i="1" s="1"/>
  <c r="ME375" i="1" s="1"/>
  <c r="ME376" i="1" s="1"/>
  <c r="MD370" i="1"/>
  <c r="MD371" i="1" s="1"/>
  <c r="MD372" i="1" s="1"/>
  <c r="MD373" i="1" s="1"/>
  <c r="MD375" i="1" s="1"/>
  <c r="MD376" i="1" s="1"/>
  <c r="VS366" i="1"/>
  <c r="VT366" i="1" s="1"/>
  <c r="VU366" i="1" s="1"/>
  <c r="VQ366" i="1"/>
  <c r="MJ521" i="1" l="1"/>
  <c r="MJ522" i="1" s="1"/>
  <c r="MJ520" i="1"/>
  <c r="MG520" i="1"/>
  <c r="MG521" i="1" s="1"/>
  <c r="MG522" i="1" s="1"/>
  <c r="MF520" i="1"/>
  <c r="MF521" i="1" s="1"/>
  <c r="MF522" i="1" s="1"/>
  <c r="ME521" i="1"/>
  <c r="ME522" i="1" s="1"/>
  <c r="ME520" i="1"/>
  <c r="MR520" i="1"/>
  <c r="MR521" i="1" s="1"/>
  <c r="MR522" i="1" s="1"/>
  <c r="MH520" i="1"/>
  <c r="MH521" i="1" s="1"/>
  <c r="MH522" i="1" s="1"/>
  <c r="MS521" i="1"/>
  <c r="MS522" i="1" s="1"/>
  <c r="MS520" i="1"/>
  <c r="MD520" i="1"/>
  <c r="MD521" i="1" s="1"/>
  <c r="MD522" i="1" s="1"/>
  <c r="MI520" i="1"/>
  <c r="MI521" i="1" s="1"/>
  <c r="MI522" i="1" s="1"/>
  <c r="MK521" i="1"/>
  <c r="MK522" i="1" s="1"/>
  <c r="MK520" i="1"/>
  <c r="X380" i="1"/>
  <c r="X381" i="1" s="1"/>
  <c r="X383" i="1" s="1"/>
  <c r="X384" i="1" s="1"/>
  <c r="BR2" i="1"/>
  <c r="RI565" i="1"/>
  <c r="QM565" i="1"/>
  <c r="RH564" i="1"/>
  <c r="QL564" i="1"/>
  <c r="QM564" i="1"/>
  <c r="RI564" i="1"/>
  <c r="RH565" i="1"/>
  <c r="QL565" i="1"/>
  <c r="AL597" i="1"/>
  <c r="AEH597" i="1" s="1"/>
  <c r="AH598" i="1"/>
  <c r="AI598" i="1" s="1" a="1"/>
  <c r="AI598" i="1" s="1"/>
  <c r="AK597" i="1"/>
  <c r="AEG597" i="1" s="1"/>
  <c r="BS448" i="1"/>
  <c r="CK448" i="1" s="1"/>
  <c r="CI448" i="1"/>
  <c r="DH534" i="1"/>
  <c r="BP448" i="1"/>
  <c r="BR448" i="1" s="1"/>
  <c r="AK32" i="1"/>
  <c r="BP32" i="1" s="1"/>
  <c r="AL34" i="1"/>
  <c r="EX34" i="1" s="1"/>
  <c r="AK43" i="1"/>
  <c r="HE43" i="1" s="1"/>
  <c r="AL2" i="1"/>
  <c r="BQ2" i="1" s="1"/>
  <c r="BS2" i="1" s="1"/>
  <c r="AK22" i="1"/>
  <c r="BP22" i="1" s="1"/>
  <c r="AK12" i="1"/>
  <c r="BP12" i="1" s="1"/>
  <c r="AK225" i="1"/>
  <c r="EW225" i="1" s="1"/>
  <c r="AL523" i="1"/>
  <c r="BQ523" i="1" s="1"/>
  <c r="BS523" i="1" s="1"/>
  <c r="WW556" i="1"/>
  <c r="WX556" i="1" s="1"/>
  <c r="WY556" i="1" s="1"/>
  <c r="WZ556" i="1" s="1"/>
  <c r="XA556" i="1" s="1"/>
  <c r="XB556" i="1" s="1"/>
  <c r="XC556" i="1" s="1"/>
  <c r="XD556" i="1" s="1"/>
  <c r="XE556" i="1" s="1"/>
  <c r="XF556" i="1" s="1"/>
  <c r="XG556" i="1" s="1"/>
  <c r="XH556" i="1" s="1"/>
  <c r="XI556" i="1" s="1"/>
  <c r="XJ556" i="1" s="1"/>
  <c r="XK556" i="1" s="1"/>
  <c r="XL556" i="1" s="1"/>
  <c r="IM530" i="1"/>
  <c r="II530" i="1"/>
  <c r="IN530" i="1"/>
  <c r="U531" i="1"/>
  <c r="HY531" i="1" s="1"/>
  <c r="CO534" i="1"/>
  <c r="CU534" i="1"/>
  <c r="HZ530" i="1"/>
  <c r="IA530" i="1"/>
  <c r="U535" i="1"/>
  <c r="CM535" i="1" s="1"/>
  <c r="IB530" i="1"/>
  <c r="IK530" i="1"/>
  <c r="BE534" i="1"/>
  <c r="IL530" i="1"/>
  <c r="CM534" i="1"/>
  <c r="X541" i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CV534" i="1"/>
  <c r="CY534" i="1"/>
  <c r="DA534" i="1"/>
  <c r="HY530" i="1"/>
  <c r="DG534" i="1"/>
  <c r="CW534" i="1"/>
  <c r="CL534" i="1"/>
  <c r="CX534" i="1"/>
  <c r="CN534" i="1"/>
  <c r="CZ534" i="1"/>
  <c r="CP534" i="1"/>
  <c r="DB534" i="1"/>
  <c r="CQ534" i="1"/>
  <c r="DC534" i="1"/>
  <c r="CR534" i="1"/>
  <c r="DD534" i="1"/>
  <c r="CS534" i="1"/>
  <c r="DE534" i="1"/>
  <c r="CT534" i="1"/>
  <c r="IF530" i="1"/>
  <c r="IG530" i="1"/>
  <c r="IH530" i="1"/>
  <c r="IJ530" i="1"/>
  <c r="IC530" i="1"/>
  <c r="IO530" i="1"/>
  <c r="GT530" i="1"/>
  <c r="ID530" i="1"/>
  <c r="IP530" i="1"/>
  <c r="IE530" i="1"/>
  <c r="CG448" i="1"/>
  <c r="U492" i="1"/>
  <c r="IF492" i="1" s="1"/>
  <c r="GT491" i="1"/>
  <c r="ID491" i="1"/>
  <c r="IP491" i="1"/>
  <c r="IE491" i="1"/>
  <c r="IQ491" i="1"/>
  <c r="IF491" i="1"/>
  <c r="IG491" i="1"/>
  <c r="IH491" i="1"/>
  <c r="II491" i="1"/>
  <c r="HZ491" i="1"/>
  <c r="IL491" i="1"/>
  <c r="IJ491" i="1"/>
  <c r="HY491" i="1"/>
  <c r="IK491" i="1"/>
  <c r="IA491" i="1"/>
  <c r="IM491" i="1"/>
  <c r="IB491" i="1"/>
  <c r="IN491" i="1"/>
  <c r="IC491" i="1"/>
  <c r="PN439" i="1"/>
  <c r="PO439" i="1" s="1"/>
  <c r="PP439" i="1" s="1"/>
  <c r="PQ439" i="1" s="1"/>
  <c r="PR439" i="1" s="1"/>
  <c r="PN434" i="1"/>
  <c r="PO434" i="1" s="1"/>
  <c r="PP434" i="1" s="1"/>
  <c r="PQ434" i="1" s="1"/>
  <c r="PR434" i="1" s="1"/>
  <c r="PN429" i="1"/>
  <c r="PO429" i="1" s="1"/>
  <c r="PP429" i="1" s="1"/>
  <c r="PQ429" i="1" s="1"/>
  <c r="PR429" i="1" s="1"/>
  <c r="PN424" i="1"/>
  <c r="X386" i="1"/>
  <c r="KJ368" i="1"/>
  <c r="KK368" i="1" s="1"/>
  <c r="JZ368" i="1"/>
  <c r="UH367" i="1"/>
  <c r="UI367" i="1" s="1"/>
  <c r="UF367" i="1"/>
  <c r="CZ357" i="1"/>
  <c r="CW357" i="1"/>
  <c r="CV357" i="1"/>
  <c r="CT357" i="1"/>
  <c r="CS357" i="1"/>
  <c r="CR357" i="1"/>
  <c r="CQ357" i="1"/>
  <c r="CP357" i="1"/>
  <c r="CO357" i="1"/>
  <c r="CN357" i="1"/>
  <c r="CM357" i="1"/>
  <c r="CL357" i="1"/>
  <c r="DH357" i="1"/>
  <c r="DG357" i="1"/>
  <c r="DF357" i="1"/>
  <c r="DE357" i="1"/>
  <c r="DD357" i="1"/>
  <c r="DC357" i="1"/>
  <c r="DB357" i="1"/>
  <c r="DA357" i="1"/>
  <c r="CY357" i="1"/>
  <c r="CX357" i="1"/>
  <c r="CU357" i="1"/>
  <c r="BE357" i="1"/>
  <c r="IQ356" i="1"/>
  <c r="IP356" i="1"/>
  <c r="IO356" i="1"/>
  <c r="IN356" i="1"/>
  <c r="IM356" i="1"/>
  <c r="IL356" i="1"/>
  <c r="IK356" i="1"/>
  <c r="IJ356" i="1"/>
  <c r="II356" i="1"/>
  <c r="IH356" i="1"/>
  <c r="IG356" i="1"/>
  <c r="IF356" i="1"/>
  <c r="IE356" i="1"/>
  <c r="ID356" i="1"/>
  <c r="IC356" i="1"/>
  <c r="IB356" i="1"/>
  <c r="IA356" i="1"/>
  <c r="HZ356" i="1"/>
  <c r="HY356" i="1"/>
  <c r="GT356" i="1"/>
  <c r="IQ355" i="1"/>
  <c r="IP355" i="1"/>
  <c r="IO355" i="1"/>
  <c r="IN355" i="1"/>
  <c r="IM355" i="1"/>
  <c r="IL355" i="1"/>
  <c r="IK355" i="1"/>
  <c r="IJ355" i="1"/>
  <c r="II355" i="1"/>
  <c r="IH355" i="1"/>
  <c r="IG355" i="1"/>
  <c r="IF355" i="1"/>
  <c r="IE355" i="1"/>
  <c r="ID355" i="1"/>
  <c r="IC355" i="1"/>
  <c r="IB355" i="1"/>
  <c r="IA355" i="1"/>
  <c r="HZ355" i="1"/>
  <c r="HY355" i="1"/>
  <c r="GT355" i="1"/>
  <c r="AI351" i="1" a="1"/>
  <c r="AI351" i="1" s="1"/>
  <c r="JZ350" i="1"/>
  <c r="JZ349" i="1"/>
  <c r="JZ348" i="1"/>
  <c r="X341" i="1"/>
  <c r="JZ347" i="1"/>
  <c r="JZ346" i="1"/>
  <c r="JZ341" i="1"/>
  <c r="JZ342" i="1"/>
  <c r="JZ343" i="1"/>
  <c r="JZ344" i="1"/>
  <c r="JZ345" i="1"/>
  <c r="JZ340" i="1"/>
  <c r="MS334" i="1"/>
  <c r="MS335" i="1" s="1"/>
  <c r="MS336" i="1" s="1"/>
  <c r="MS337" i="1" s="1"/>
  <c r="MS338" i="1" s="1"/>
  <c r="MS339" i="1" s="1"/>
  <c r="MR334" i="1"/>
  <c r="MR335" i="1" s="1"/>
  <c r="MR336" i="1" s="1"/>
  <c r="MR337" i="1" s="1"/>
  <c r="MR338" i="1" s="1"/>
  <c r="MR339" i="1" s="1"/>
  <c r="MK334" i="1"/>
  <c r="MK335" i="1" s="1"/>
  <c r="MK336" i="1" s="1"/>
  <c r="MK337" i="1" s="1"/>
  <c r="MK338" i="1" s="1"/>
  <c r="MK339" i="1" s="1"/>
  <c r="MJ334" i="1"/>
  <c r="MJ335" i="1" s="1"/>
  <c r="MJ336" i="1" s="1"/>
  <c r="MJ337" i="1" s="1"/>
  <c r="MJ338" i="1" s="1"/>
  <c r="MJ339" i="1" s="1"/>
  <c r="MI334" i="1"/>
  <c r="MI335" i="1" s="1"/>
  <c r="MI336" i="1" s="1"/>
  <c r="MI337" i="1" s="1"/>
  <c r="MI338" i="1" s="1"/>
  <c r="MI339" i="1" s="1"/>
  <c r="MH334" i="1"/>
  <c r="MH335" i="1" s="1"/>
  <c r="MH336" i="1" s="1"/>
  <c r="MH337" i="1" s="1"/>
  <c r="MH338" i="1" s="1"/>
  <c r="MH339" i="1" s="1"/>
  <c r="MG334" i="1"/>
  <c r="MG335" i="1" s="1"/>
  <c r="MG336" i="1" s="1"/>
  <c r="MG337" i="1" s="1"/>
  <c r="MG338" i="1" s="1"/>
  <c r="MG339" i="1" s="1"/>
  <c r="MF334" i="1"/>
  <c r="MF335" i="1" s="1"/>
  <c r="MF336" i="1" s="1"/>
  <c r="MF337" i="1" s="1"/>
  <c r="MF338" i="1" s="1"/>
  <c r="MF339" i="1" s="1"/>
  <c r="ME334" i="1"/>
  <c r="ME335" i="1" s="1"/>
  <c r="ME336" i="1" s="1"/>
  <c r="ME337" i="1" s="1"/>
  <c r="ME338" i="1" s="1"/>
  <c r="ME339" i="1" s="1"/>
  <c r="MD334" i="1"/>
  <c r="MD335" i="1" s="1"/>
  <c r="MD336" i="1" s="1"/>
  <c r="MD337" i="1" s="1"/>
  <c r="MD338" i="1" s="1"/>
  <c r="MD339" i="1" s="1"/>
  <c r="CW331" i="1"/>
  <c r="CV331" i="1"/>
  <c r="DH331" i="1"/>
  <c r="DG331" i="1"/>
  <c r="CT331" i="1"/>
  <c r="CS331" i="1"/>
  <c r="CR331" i="1"/>
  <c r="CQ331" i="1"/>
  <c r="CP331" i="1"/>
  <c r="CN331" i="1"/>
  <c r="CM331" i="1"/>
  <c r="CL331" i="1"/>
  <c r="BE331" i="1"/>
  <c r="CU331" i="1"/>
  <c r="CX331" i="1"/>
  <c r="CY331" i="1"/>
  <c r="CZ331" i="1"/>
  <c r="DA331" i="1"/>
  <c r="DB331" i="1"/>
  <c r="DC331" i="1"/>
  <c r="DD331" i="1"/>
  <c r="DE331" i="1"/>
  <c r="DF331" i="1"/>
  <c r="CL535" i="1" l="1"/>
  <c r="BR12" i="1"/>
  <c r="BR32" i="1"/>
  <c r="BR22" i="1"/>
  <c r="RJ565" i="1"/>
  <c r="QN565" i="1"/>
  <c r="RK564" i="1"/>
  <c r="QO564" i="1"/>
  <c r="RM564" i="1" s="1"/>
  <c r="QN564" i="1"/>
  <c r="RJ564" i="1"/>
  <c r="QO565" i="1"/>
  <c r="RM565" i="1" s="1"/>
  <c r="RK565" i="1"/>
  <c r="AK598" i="1"/>
  <c r="AEG598" i="1" s="1"/>
  <c r="AH599" i="1"/>
  <c r="AI599" i="1" s="1" a="1"/>
  <c r="AI599" i="1" s="1"/>
  <c r="AL598" i="1"/>
  <c r="AEH598" i="1" s="1"/>
  <c r="CH448" i="1"/>
  <c r="AL351" i="1"/>
  <c r="AK351" i="1"/>
  <c r="X560" i="1"/>
  <c r="X561" i="1" s="1"/>
  <c r="Y559" i="1" a="1"/>
  <c r="Y559" i="1" s="1"/>
  <c r="DF535" i="1"/>
  <c r="IK531" i="1"/>
  <c r="IJ531" i="1"/>
  <c r="IF531" i="1"/>
  <c r="ID531" i="1"/>
  <c r="IN531" i="1"/>
  <c r="IM531" i="1"/>
  <c r="IG531" i="1"/>
  <c r="ID492" i="1"/>
  <c r="IO531" i="1"/>
  <c r="IC531" i="1"/>
  <c r="IB531" i="1"/>
  <c r="IA531" i="1"/>
  <c r="IL531" i="1"/>
  <c r="HZ531" i="1"/>
  <c r="GT531" i="1"/>
  <c r="IQ531" i="1"/>
  <c r="HZ492" i="1"/>
  <c r="II531" i="1"/>
  <c r="IJ492" i="1"/>
  <c r="IE531" i="1"/>
  <c r="IH492" i="1"/>
  <c r="DD535" i="1"/>
  <c r="CQ535" i="1"/>
  <c r="BE535" i="1"/>
  <c r="CS535" i="1"/>
  <c r="CX535" i="1"/>
  <c r="CR535" i="1"/>
  <c r="DC535" i="1"/>
  <c r="DB535" i="1"/>
  <c r="CV535" i="1"/>
  <c r="CP535" i="1"/>
  <c r="DG535" i="1"/>
  <c r="DA535" i="1"/>
  <c r="IP492" i="1"/>
  <c r="CU535" i="1"/>
  <c r="CO535" i="1"/>
  <c r="GT492" i="1"/>
  <c r="CT535" i="1"/>
  <c r="CY535" i="1"/>
  <c r="DE535" i="1"/>
  <c r="IO492" i="1"/>
  <c r="IC492" i="1"/>
  <c r="II492" i="1"/>
  <c r="IN492" i="1"/>
  <c r="IB492" i="1"/>
  <c r="IK492" i="1"/>
  <c r="IP531" i="1"/>
  <c r="IH531" i="1"/>
  <c r="HY492" i="1"/>
  <c r="IM492" i="1"/>
  <c r="IA492" i="1"/>
  <c r="DH535" i="1"/>
  <c r="U536" i="1"/>
  <c r="CZ535" i="1"/>
  <c r="CW535" i="1"/>
  <c r="CN535" i="1"/>
  <c r="IG492" i="1"/>
  <c r="IE492" i="1"/>
  <c r="IL492" i="1"/>
  <c r="IQ492" i="1"/>
  <c r="U493" i="1"/>
  <c r="X387" i="1"/>
  <c r="CJ448" i="1"/>
  <c r="PO424" i="1"/>
  <c r="PP424" i="1" s="1"/>
  <c r="PQ424" i="1" s="1"/>
  <c r="PR424" i="1" s="1"/>
  <c r="X342" i="1"/>
  <c r="BE330" i="1"/>
  <c r="CL330" i="1"/>
  <c r="CM330" i="1"/>
  <c r="CN330" i="1"/>
  <c r="CP330" i="1"/>
  <c r="CQ330" i="1"/>
  <c r="CR330" i="1"/>
  <c r="CS330" i="1"/>
  <c r="CT330" i="1"/>
  <c r="CU330" i="1"/>
  <c r="CV330" i="1"/>
  <c r="CW330" i="1"/>
  <c r="CX330" i="1"/>
  <c r="CY330" i="1"/>
  <c r="CZ330" i="1"/>
  <c r="DA330" i="1"/>
  <c r="DB330" i="1"/>
  <c r="DC330" i="1"/>
  <c r="DD330" i="1"/>
  <c r="DE330" i="1"/>
  <c r="DF330" i="1"/>
  <c r="DG330" i="1"/>
  <c r="DH330" i="1"/>
  <c r="CT329" i="1"/>
  <c r="CS329" i="1"/>
  <c r="DG329" i="1"/>
  <c r="DH329" i="1"/>
  <c r="DA329" i="1"/>
  <c r="DB329" i="1"/>
  <c r="DF329" i="1"/>
  <c r="DE329" i="1"/>
  <c r="DD329" i="1"/>
  <c r="DC329" i="1"/>
  <c r="CZ329" i="1"/>
  <c r="CY329" i="1"/>
  <c r="CX329" i="1"/>
  <c r="CW329" i="1"/>
  <c r="CV329" i="1"/>
  <c r="CU329" i="1"/>
  <c r="CR329" i="1"/>
  <c r="CQ329" i="1"/>
  <c r="CP329" i="1"/>
  <c r="CN329" i="1"/>
  <c r="CM329" i="1"/>
  <c r="CL329" i="1"/>
  <c r="BE329" i="1"/>
  <c r="RL564" i="1" l="1"/>
  <c r="Z564" i="1" a="1"/>
  <c r="Z564" i="1" s="1"/>
  <c r="RL565" i="1"/>
  <c r="Z565" i="1" a="1"/>
  <c r="Z565" i="1" s="1"/>
  <c r="AK599" i="1"/>
  <c r="AEG599" i="1" s="1"/>
  <c r="AH600" i="1"/>
  <c r="AI600" i="1" s="1" a="1"/>
  <c r="AI600" i="1" s="1"/>
  <c r="AL599" i="1"/>
  <c r="AEH599" i="1" s="1"/>
  <c r="BP351" i="1"/>
  <c r="CF351" i="1"/>
  <c r="CG351" i="1"/>
  <c r="BQ351" i="1"/>
  <c r="AB559" i="1"/>
  <c r="KD559" i="1" s="1"/>
  <c r="AA559" i="1"/>
  <c r="KC559" i="1" s="1"/>
  <c r="U537" i="1"/>
  <c r="DC536" i="1"/>
  <c r="CQ536" i="1"/>
  <c r="DB536" i="1"/>
  <c r="CP536" i="1"/>
  <c r="DA536" i="1"/>
  <c r="CO536" i="1"/>
  <c r="CZ536" i="1"/>
  <c r="CN536" i="1"/>
  <c r="CY536" i="1"/>
  <c r="CM536" i="1"/>
  <c r="CX536" i="1"/>
  <c r="CL536" i="1"/>
  <c r="CW536" i="1"/>
  <c r="BE536" i="1"/>
  <c r="DH536" i="1"/>
  <c r="CV536" i="1"/>
  <c r="DG536" i="1"/>
  <c r="CU536" i="1"/>
  <c r="DF536" i="1"/>
  <c r="CT536" i="1"/>
  <c r="CR536" i="1"/>
  <c r="DE536" i="1"/>
  <c r="CS536" i="1"/>
  <c r="DD536" i="1"/>
  <c r="X390" i="1"/>
  <c r="IQ493" i="1"/>
  <c r="U494" i="1"/>
  <c r="II493" i="1"/>
  <c r="IG493" i="1"/>
  <c r="IM493" i="1"/>
  <c r="IB493" i="1"/>
  <c r="IN493" i="1"/>
  <c r="IC493" i="1"/>
  <c r="IF493" i="1"/>
  <c r="IO493" i="1"/>
  <c r="IA493" i="1"/>
  <c r="IH493" i="1"/>
  <c r="GT493" i="1"/>
  <c r="IL493" i="1"/>
  <c r="IJ493" i="1"/>
  <c r="ID493" i="1"/>
  <c r="HY493" i="1"/>
  <c r="IP493" i="1"/>
  <c r="IK493" i="1"/>
  <c r="IE493" i="1"/>
  <c r="HZ493" i="1"/>
  <c r="X343" i="1"/>
  <c r="X344" i="1" s="1"/>
  <c r="X345" i="1" s="1"/>
  <c r="IW328" i="1"/>
  <c r="IV328" i="1"/>
  <c r="GT328" i="1"/>
  <c r="HG328" i="1"/>
  <c r="HH328" i="1"/>
  <c r="HY328" i="1"/>
  <c r="HZ328" i="1"/>
  <c r="IA328" i="1"/>
  <c r="IB328" i="1"/>
  <c r="IG328" i="1"/>
  <c r="IH328" i="1"/>
  <c r="II328" i="1"/>
  <c r="IJ328" i="1"/>
  <c r="IK328" i="1"/>
  <c r="IL328" i="1"/>
  <c r="HH327" i="1"/>
  <c r="HG327" i="1"/>
  <c r="IL327" i="1"/>
  <c r="IK327" i="1"/>
  <c r="IJ327" i="1"/>
  <c r="II327" i="1"/>
  <c r="IH327" i="1"/>
  <c r="IG327" i="1"/>
  <c r="HZ327" i="1"/>
  <c r="HY327" i="1"/>
  <c r="IB327" i="1"/>
  <c r="IA327" i="1"/>
  <c r="GT327" i="1"/>
  <c r="AK600" i="1" l="1"/>
  <c r="AEG600" i="1" s="1"/>
  <c r="AL600" i="1"/>
  <c r="AEH600" i="1" s="1"/>
  <c r="CI351" i="1"/>
  <c r="BS351" i="1"/>
  <c r="CK351" i="1" s="1"/>
  <c r="CH351" i="1"/>
  <c r="BR351" i="1"/>
  <c r="CJ351" i="1" s="1"/>
  <c r="CL537" i="1"/>
  <c r="DD537" i="1"/>
  <c r="CW537" i="1"/>
  <c r="CR537" i="1"/>
  <c r="BE537" i="1"/>
  <c r="CO537" i="1"/>
  <c r="DH537" i="1"/>
  <c r="DC537" i="1"/>
  <c r="CV537" i="1"/>
  <c r="CQ537" i="1"/>
  <c r="DA537" i="1"/>
  <c r="DB537" i="1"/>
  <c r="CZ537" i="1"/>
  <c r="DG537" i="1"/>
  <c r="CP537" i="1"/>
  <c r="CN537" i="1"/>
  <c r="CU537" i="1"/>
  <c r="CY537" i="1"/>
  <c r="DF537" i="1"/>
  <c r="CM537" i="1"/>
  <c r="CT537" i="1"/>
  <c r="U538" i="1"/>
  <c r="DE537" i="1"/>
  <c r="CX537" i="1"/>
  <c r="CS537" i="1"/>
  <c r="IP494" i="1"/>
  <c r="II494" i="1"/>
  <c r="U495" i="1"/>
  <c r="IH494" i="1"/>
  <c r="IG494" i="1"/>
  <c r="IE494" i="1"/>
  <c r="IA494" i="1"/>
  <c r="IQ494" i="1"/>
  <c r="IM494" i="1"/>
  <c r="IJ494" i="1"/>
  <c r="IC494" i="1"/>
  <c r="IO494" i="1"/>
  <c r="GT494" i="1"/>
  <c r="ID494" i="1"/>
  <c r="IN494" i="1"/>
  <c r="IF494" i="1"/>
  <c r="IB494" i="1"/>
  <c r="HY494" i="1"/>
  <c r="IK494" i="1"/>
  <c r="HZ494" i="1"/>
  <c r="IL494" i="1"/>
  <c r="X391" i="1"/>
  <c r="Y346" i="1" a="1"/>
  <c r="Y346" i="1" s="1"/>
  <c r="X347" i="1"/>
  <c r="X349" i="1" s="1"/>
  <c r="LY326" i="1"/>
  <c r="MA230" i="1"/>
  <c r="LZ232" i="1"/>
  <c r="LZ231" i="1"/>
  <c r="LZ230" i="1"/>
  <c r="MA231" i="1"/>
  <c r="MA232" i="1"/>
  <c r="UX325" i="1"/>
  <c r="UW325" i="1"/>
  <c r="VD325" i="1"/>
  <c r="UN325" i="1"/>
  <c r="LO324" i="1"/>
  <c r="LO323" i="1"/>
  <c r="LR322" i="1"/>
  <c r="LS322" i="1" s="1"/>
  <c r="LT322" i="1" s="1"/>
  <c r="LO322" i="1"/>
  <c r="LS321" i="1"/>
  <c r="LT321" i="1" s="1"/>
  <c r="LO321" i="1"/>
  <c r="VD318" i="1"/>
  <c r="VE318" i="1" s="1"/>
  <c r="VF318" i="1" s="1"/>
  <c r="UX318" i="1"/>
  <c r="UW318" i="1"/>
  <c r="UN318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CZ538" i="1"/>
  <c r="DG538" i="1"/>
  <c r="CP538" i="1"/>
  <c r="CW538" i="1"/>
  <c r="CN538" i="1"/>
  <c r="CU538" i="1"/>
  <c r="CO538" i="1"/>
  <c r="DF538" i="1"/>
  <c r="CY538" i="1"/>
  <c r="CT538" i="1"/>
  <c r="CM538" i="1"/>
  <c r="DA538" i="1"/>
  <c r="CX538" i="1"/>
  <c r="DE538" i="1"/>
  <c r="CR538" i="1"/>
  <c r="CL538" i="1"/>
  <c r="CS538" i="1"/>
  <c r="U539" i="1"/>
  <c r="KI540" i="1" s="1" a="1"/>
  <c r="KI540" i="1" s="1"/>
  <c r="DD538" i="1"/>
  <c r="BE538" i="1"/>
  <c r="DC538" i="1"/>
  <c r="CV538" i="1"/>
  <c r="DB538" i="1"/>
  <c r="DH538" i="1"/>
  <c r="CQ538" i="1"/>
  <c r="X393" i="1"/>
  <c r="X394" i="1" s="1"/>
  <c r="X396" i="1" s="1"/>
  <c r="X397" i="1" s="1"/>
  <c r="X399" i="1" s="1"/>
  <c r="X400" i="1" s="1"/>
  <c r="DH495" i="1"/>
  <c r="U496" i="1"/>
  <c r="CS495" i="1"/>
  <c r="CR495" i="1"/>
  <c r="DE495" i="1"/>
  <c r="CQ495" i="1"/>
  <c r="DD495" i="1"/>
  <c r="CP495" i="1"/>
  <c r="DA495" i="1"/>
  <c r="CO495" i="1"/>
  <c r="CZ495" i="1"/>
  <c r="CN495" i="1"/>
  <c r="CY495" i="1"/>
  <c r="CM495" i="1"/>
  <c r="CX495" i="1"/>
  <c r="CL495" i="1"/>
  <c r="CW495" i="1"/>
  <c r="BE495" i="1"/>
  <c r="CV495" i="1"/>
  <c r="CU495" i="1"/>
  <c r="CT495" i="1"/>
  <c r="DB495" i="1"/>
  <c r="DC495" i="1"/>
  <c r="DF495" i="1"/>
  <c r="DG495" i="1"/>
  <c r="X350" i="1"/>
  <c r="X356" i="1" s="1"/>
  <c r="LR323" i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Y316" i="1" a="1"/>
  <c r="Y316" i="1" s="1"/>
  <c r="X317" i="1"/>
  <c r="JZ317" i="1"/>
  <c r="JZ316" i="1"/>
  <c r="UF315" i="1"/>
  <c r="UF314" i="1"/>
  <c r="UF313" i="1"/>
  <c r="UF312" i="1"/>
  <c r="UF311" i="1"/>
  <c r="UF309" i="1"/>
  <c r="UF310" i="1"/>
  <c r="UF308" i="1"/>
  <c r="UG308" i="1"/>
  <c r="UG309" i="1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CV539" i="1"/>
  <c r="CO539" i="1"/>
  <c r="DG539" i="1"/>
  <c r="DB539" i="1"/>
  <c r="CZ539" i="1"/>
  <c r="DF539" i="1"/>
  <c r="CL539" i="1"/>
  <c r="CN539" i="1"/>
  <c r="CT539" i="1"/>
  <c r="CY539" i="1"/>
  <c r="DE539" i="1"/>
  <c r="DA539" i="1"/>
  <c r="CM539" i="1"/>
  <c r="CS539" i="1"/>
  <c r="CX539" i="1"/>
  <c r="CW539" i="1"/>
  <c r="CR539" i="1"/>
  <c r="CP539" i="1"/>
  <c r="BE539" i="1"/>
  <c r="DC539" i="1"/>
  <c r="CU539" i="1"/>
  <c r="DH539" i="1"/>
  <c r="CQ539" i="1"/>
  <c r="DD539" i="1"/>
  <c r="DH496" i="1"/>
  <c r="U497" i="1"/>
  <c r="DB496" i="1"/>
  <c r="CW496" i="1"/>
  <c r="CP496" i="1"/>
  <c r="CO496" i="1"/>
  <c r="CV496" i="1"/>
  <c r="DA496" i="1"/>
  <c r="CQ496" i="1"/>
  <c r="DC496" i="1"/>
  <c r="CR496" i="1"/>
  <c r="BE496" i="1"/>
  <c r="DG496" i="1"/>
  <c r="CX496" i="1"/>
  <c r="CS496" i="1"/>
  <c r="CL496" i="1"/>
  <c r="CU496" i="1"/>
  <c r="CM496" i="1"/>
  <c r="DE496" i="1"/>
  <c r="CY496" i="1"/>
  <c r="DD496" i="1"/>
  <c r="CN496" i="1"/>
  <c r="CT496" i="1"/>
  <c r="CZ496" i="1"/>
  <c r="DF496" i="1"/>
  <c r="X402" i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5" i="1" s="1"/>
  <c r="X416" i="1" s="1"/>
  <c r="X417" i="1" s="1"/>
  <c r="X418" i="1" s="1"/>
  <c r="X419" i="1" s="1"/>
  <c r="X421" i="1" s="1"/>
  <c r="X422" i="1" s="1"/>
  <c r="X423" i="1" s="1"/>
  <c r="X425" i="1" s="1"/>
  <c r="X426" i="1" s="1"/>
  <c r="X428" i="1" s="1"/>
  <c r="QE428" i="1" s="1"/>
  <c r="X320" i="1"/>
  <c r="X322" i="1" s="1"/>
  <c r="X323" i="1" s="1"/>
  <c r="Y319" i="1" a="1"/>
  <c r="Y319" i="1" s="1"/>
  <c r="UH308" i="1"/>
  <c r="UI308" i="1" s="1"/>
  <c r="LR324" i="1"/>
  <c r="LS324" i="1" s="1"/>
  <c r="LT324" i="1" s="1"/>
  <c r="LS323" i="1"/>
  <c r="LT323" i="1" s="1"/>
  <c r="UH309" i="1"/>
  <c r="UI309" i="1" s="1"/>
  <c r="UG310" i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UH307" i="1"/>
  <c r="UI307" i="1" s="1"/>
  <c r="UF307" i="1"/>
  <c r="GT281" i="1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RT428" i="1"/>
  <c r="RR428" i="1"/>
  <c r="RQ428" i="1"/>
  <c r="RP428" i="1"/>
  <c r="RO428" i="1"/>
  <c r="RN428" i="1"/>
  <c r="RY428" i="1"/>
  <c r="RX428" i="1"/>
  <c r="RW428" i="1"/>
  <c r="RV428" i="1"/>
  <c r="RS428" i="1"/>
  <c r="RU428" i="1"/>
  <c r="X430" i="1"/>
  <c r="X431" i="1" s="1"/>
  <c r="X433" i="1" s="1"/>
  <c r="IQ497" i="1"/>
  <c r="U498" i="1"/>
  <c r="II497" i="1"/>
  <c r="IG497" i="1"/>
  <c r="IE497" i="1"/>
  <c r="IC497" i="1"/>
  <c r="IF497" i="1"/>
  <c r="IO497" i="1"/>
  <c r="IH497" i="1"/>
  <c r="GT497" i="1"/>
  <c r="IJ497" i="1"/>
  <c r="ID497" i="1"/>
  <c r="HY497" i="1"/>
  <c r="IP497" i="1"/>
  <c r="IN497" i="1"/>
  <c r="IK497" i="1"/>
  <c r="IB497" i="1"/>
  <c r="HZ497" i="1"/>
  <c r="IL497" i="1"/>
  <c r="IA497" i="1"/>
  <c r="IM497" i="1"/>
  <c r="Y424" i="1" a="1"/>
  <c r="Y424" i="1" s="1"/>
  <c r="AB319" i="1"/>
  <c r="AA319" i="1"/>
  <c r="X324" i="1"/>
  <c r="X328" i="1" s="1"/>
  <c r="UH310" i="1"/>
  <c r="UI310" i="1" s="1"/>
  <c r="UG311" i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HS267" i="1"/>
  <c r="HT267" i="1"/>
  <c r="HS271" i="1"/>
  <c r="HT271" i="1"/>
  <c r="HS275" i="1"/>
  <c r="HT275" i="1"/>
  <c r="HS279" i="1"/>
  <c r="HT279" i="1"/>
  <c r="MS287" i="1"/>
  <c r="MS288" i="1" s="1"/>
  <c r="MS289" i="1" s="1"/>
  <c r="MS290" i="1" s="1"/>
  <c r="MS291" i="1" s="1"/>
  <c r="MS292" i="1" s="1"/>
  <c r="MS293" i="1" s="1"/>
  <c r="MS294" i="1" s="1"/>
  <c r="MR287" i="1"/>
  <c r="MR288" i="1" s="1"/>
  <c r="MR289" i="1" s="1"/>
  <c r="MR290" i="1" s="1"/>
  <c r="MR291" i="1" s="1"/>
  <c r="MR292" i="1" s="1"/>
  <c r="MR293" i="1" s="1"/>
  <c r="MR294" i="1" s="1"/>
  <c r="MK287" i="1"/>
  <c r="MK288" i="1" s="1"/>
  <c r="MK289" i="1" s="1"/>
  <c r="MK290" i="1" s="1"/>
  <c r="MK291" i="1" s="1"/>
  <c r="MK292" i="1" s="1"/>
  <c r="MK293" i="1" s="1"/>
  <c r="MK294" i="1" s="1"/>
  <c r="MJ287" i="1"/>
  <c r="MJ288" i="1" s="1"/>
  <c r="MJ289" i="1" s="1"/>
  <c r="MJ290" i="1" s="1"/>
  <c r="MJ291" i="1" s="1"/>
  <c r="MJ292" i="1" s="1"/>
  <c r="MJ293" i="1" s="1"/>
  <c r="MJ294" i="1" s="1"/>
  <c r="MI287" i="1"/>
  <c r="MI288" i="1" s="1"/>
  <c r="MI289" i="1" s="1"/>
  <c r="MI290" i="1" s="1"/>
  <c r="MI291" i="1" s="1"/>
  <c r="MI292" i="1" s="1"/>
  <c r="MI293" i="1" s="1"/>
  <c r="MI294" i="1" s="1"/>
  <c r="MH287" i="1"/>
  <c r="MH288" i="1" s="1"/>
  <c r="MH289" i="1" s="1"/>
  <c r="MH290" i="1" s="1"/>
  <c r="MH291" i="1" s="1"/>
  <c r="MH292" i="1" s="1"/>
  <c r="MH293" i="1" s="1"/>
  <c r="MH294" i="1" s="1"/>
  <c r="MG287" i="1"/>
  <c r="MG288" i="1" s="1"/>
  <c r="MG289" i="1" s="1"/>
  <c r="MG290" i="1" s="1"/>
  <c r="MG291" i="1" s="1"/>
  <c r="MG292" i="1" s="1"/>
  <c r="MG293" i="1" s="1"/>
  <c r="MG294" i="1" s="1"/>
  <c r="MF287" i="1"/>
  <c r="MF288" i="1" s="1"/>
  <c r="MF289" i="1" s="1"/>
  <c r="MF290" i="1" s="1"/>
  <c r="MF291" i="1" s="1"/>
  <c r="MF292" i="1" s="1"/>
  <c r="MF293" i="1" s="1"/>
  <c r="MF294" i="1" s="1"/>
  <c r="ME287" i="1"/>
  <c r="ME288" i="1" s="1"/>
  <c r="ME289" i="1" s="1"/>
  <c r="ME290" i="1" s="1"/>
  <c r="ME291" i="1" s="1"/>
  <c r="ME292" i="1" s="1"/>
  <c r="ME293" i="1" s="1"/>
  <c r="ME294" i="1" s="1"/>
  <c r="MD287" i="1"/>
  <c r="MD288" i="1" s="1"/>
  <c r="MD289" i="1" s="1"/>
  <c r="MD290" i="1" s="1"/>
  <c r="MD291" i="1" s="1"/>
  <c r="MD292" i="1" s="1"/>
  <c r="MD293" i="1" s="1"/>
  <c r="MD294" i="1" s="1"/>
  <c r="BE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BE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BE283" i="1"/>
  <c r="GT269" i="1"/>
  <c r="HY269" i="1"/>
  <c r="HZ269" i="1"/>
  <c r="IA269" i="1"/>
  <c r="IB269" i="1"/>
  <c r="IC269" i="1"/>
  <c r="ID269" i="1"/>
  <c r="IE269" i="1"/>
  <c r="IF269" i="1"/>
  <c r="IG269" i="1"/>
  <c r="IH269" i="1"/>
  <c r="II269" i="1"/>
  <c r="IJ269" i="1"/>
  <c r="IK269" i="1"/>
  <c r="IL269" i="1"/>
  <c r="IM269" i="1"/>
  <c r="IN269" i="1"/>
  <c r="IO269" i="1"/>
  <c r="IP269" i="1"/>
  <c r="IQ269" i="1"/>
  <c r="BE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GT271" i="1"/>
  <c r="HY271" i="1"/>
  <c r="HZ271" i="1"/>
  <c r="IA271" i="1"/>
  <c r="IB271" i="1"/>
  <c r="IC271" i="1"/>
  <c r="ID271" i="1"/>
  <c r="IE271" i="1"/>
  <c r="IF271" i="1"/>
  <c r="IG271" i="1"/>
  <c r="IH271" i="1"/>
  <c r="II271" i="1"/>
  <c r="IJ271" i="1"/>
  <c r="IK271" i="1"/>
  <c r="IL271" i="1"/>
  <c r="IM271" i="1"/>
  <c r="IN271" i="1"/>
  <c r="IO271" i="1"/>
  <c r="IP271" i="1"/>
  <c r="IQ271" i="1"/>
  <c r="BE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GT273" i="1"/>
  <c r="HY273" i="1"/>
  <c r="HZ273" i="1"/>
  <c r="IA273" i="1"/>
  <c r="IB273" i="1"/>
  <c r="IC273" i="1"/>
  <c r="ID273" i="1"/>
  <c r="IE273" i="1"/>
  <c r="IF273" i="1"/>
  <c r="IG273" i="1"/>
  <c r="IH273" i="1"/>
  <c r="II273" i="1"/>
  <c r="IJ273" i="1"/>
  <c r="IK273" i="1"/>
  <c r="IL273" i="1"/>
  <c r="IM273" i="1"/>
  <c r="IN273" i="1"/>
  <c r="IO273" i="1"/>
  <c r="IP273" i="1"/>
  <c r="IQ273" i="1"/>
  <c r="BE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GT275" i="1"/>
  <c r="HY275" i="1"/>
  <c r="HZ275" i="1"/>
  <c r="IA275" i="1"/>
  <c r="IB275" i="1"/>
  <c r="IC275" i="1"/>
  <c r="ID275" i="1"/>
  <c r="IE275" i="1"/>
  <c r="IF275" i="1"/>
  <c r="IG275" i="1"/>
  <c r="IH275" i="1"/>
  <c r="II275" i="1"/>
  <c r="IJ275" i="1"/>
  <c r="IK275" i="1"/>
  <c r="IL275" i="1"/>
  <c r="IM275" i="1"/>
  <c r="IN275" i="1"/>
  <c r="IO275" i="1"/>
  <c r="IP275" i="1"/>
  <c r="IQ275" i="1"/>
  <c r="BE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GT277" i="1"/>
  <c r="HY277" i="1"/>
  <c r="HZ277" i="1"/>
  <c r="IA277" i="1"/>
  <c r="IB277" i="1"/>
  <c r="IC277" i="1"/>
  <c r="ID277" i="1"/>
  <c r="IE277" i="1"/>
  <c r="IF277" i="1"/>
  <c r="IG277" i="1"/>
  <c r="IH277" i="1"/>
  <c r="II277" i="1"/>
  <c r="IJ277" i="1"/>
  <c r="IK277" i="1"/>
  <c r="IL277" i="1"/>
  <c r="IM277" i="1"/>
  <c r="IN277" i="1"/>
  <c r="IO277" i="1"/>
  <c r="IP277" i="1"/>
  <c r="IQ277" i="1"/>
  <c r="BE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GT279" i="1"/>
  <c r="HY279" i="1"/>
  <c r="HZ279" i="1"/>
  <c r="IA279" i="1"/>
  <c r="IB279" i="1"/>
  <c r="IC279" i="1"/>
  <c r="ID279" i="1"/>
  <c r="IE279" i="1"/>
  <c r="IF279" i="1"/>
  <c r="IG279" i="1"/>
  <c r="IH279" i="1"/>
  <c r="II279" i="1"/>
  <c r="IJ279" i="1"/>
  <c r="IK279" i="1"/>
  <c r="IL279" i="1"/>
  <c r="IM279" i="1"/>
  <c r="IN279" i="1"/>
  <c r="IO279" i="1"/>
  <c r="IP279" i="1"/>
  <c r="IQ279" i="1"/>
  <c r="BE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HY281" i="1"/>
  <c r="HZ281" i="1"/>
  <c r="IA281" i="1"/>
  <c r="IB281" i="1"/>
  <c r="IC281" i="1"/>
  <c r="ID281" i="1"/>
  <c r="IE281" i="1"/>
  <c r="IF281" i="1"/>
  <c r="IG281" i="1"/>
  <c r="IH281" i="1"/>
  <c r="II281" i="1"/>
  <c r="IJ281" i="1"/>
  <c r="IK281" i="1"/>
  <c r="IL281" i="1"/>
  <c r="IM281" i="1"/>
  <c r="IN281" i="1"/>
  <c r="IO281" i="1"/>
  <c r="IP281" i="1"/>
  <c r="IQ281" i="1"/>
  <c r="BE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AI267" i="1" a="1"/>
  <c r="AI267" i="1" s="1"/>
  <c r="AC268" i="1"/>
  <c r="AD267" i="1" a="1"/>
  <c r="AD267" i="1" s="1"/>
  <c r="AF267" i="1" s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BE268" i="1"/>
  <c r="IQ267" i="1"/>
  <c r="IP267" i="1"/>
  <c r="IO267" i="1"/>
  <c r="IN267" i="1"/>
  <c r="IM267" i="1"/>
  <c r="IL267" i="1"/>
  <c r="IK267" i="1"/>
  <c r="IJ267" i="1"/>
  <c r="II267" i="1"/>
  <c r="IH267" i="1"/>
  <c r="IG267" i="1"/>
  <c r="IF267" i="1"/>
  <c r="IE267" i="1"/>
  <c r="ID267" i="1"/>
  <c r="IC267" i="1"/>
  <c r="IB267" i="1"/>
  <c r="IA267" i="1"/>
  <c r="HZ267" i="1"/>
  <c r="HY267" i="1"/>
  <c r="GT267" i="1"/>
  <c r="JZ247" i="1"/>
  <c r="JZ248" i="1"/>
  <c r="JZ249" i="1"/>
  <c r="JZ250" i="1"/>
  <c r="JZ251" i="1"/>
  <c r="JZ252" i="1"/>
  <c r="JZ253" i="1"/>
  <c r="JZ254" i="1"/>
  <c r="JZ255" i="1"/>
  <c r="JZ256" i="1"/>
  <c r="JZ257" i="1"/>
  <c r="JZ258" i="1"/>
  <c r="JZ259" i="1"/>
  <c r="JZ260" i="1"/>
  <c r="JZ261" i="1"/>
  <c r="JZ262" i="1"/>
  <c r="JZ263" i="1"/>
  <c r="JZ264" i="1"/>
  <c r="JZ265" i="1"/>
  <c r="JZ266" i="1"/>
  <c r="JZ243" i="1"/>
  <c r="JZ244" i="1"/>
  <c r="JZ245" i="1"/>
  <c r="JZ246" i="1"/>
  <c r="JZ239" i="1"/>
  <c r="JZ240" i="1"/>
  <c r="JZ241" i="1"/>
  <c r="JZ242" i="1"/>
  <c r="JZ235" i="1"/>
  <c r="JZ236" i="1"/>
  <c r="JZ237" i="1"/>
  <c r="JZ238" i="1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JZ234" i="1"/>
  <c r="JZ233" i="1"/>
  <c r="LY231" i="1"/>
  <c r="AE231" i="1" s="1" a="1"/>
  <c r="AE231" i="1" s="1"/>
  <c r="LY232" i="1"/>
  <c r="AE232" i="1" s="1" a="1"/>
  <c r="AE232" i="1" s="1"/>
  <c r="MM230" i="1"/>
  <c r="LY230" i="1"/>
  <c r="AE230" i="1" s="1" a="1"/>
  <c r="AE230" i="1" s="1"/>
  <c r="FM228" i="1"/>
  <c r="FM229" i="1"/>
  <c r="AN228" i="1"/>
  <c r="AO228" i="1"/>
  <c r="ER228" i="1"/>
  <c r="EY228" i="1"/>
  <c r="EZ228" i="1"/>
  <c r="FI228" i="1"/>
  <c r="FN228" i="1"/>
  <c r="FO228" i="1"/>
  <c r="FP228" i="1"/>
  <c r="FT228" i="1"/>
  <c r="FU228" i="1"/>
  <c r="AN229" i="1"/>
  <c r="AO229" i="1"/>
  <c r="ER229" i="1"/>
  <c r="EY229" i="1"/>
  <c r="EZ229" i="1"/>
  <c r="FI229" i="1"/>
  <c r="FN229" i="1"/>
  <c r="FO229" i="1"/>
  <c r="FP229" i="1"/>
  <c r="FT229" i="1"/>
  <c r="FU229" i="1"/>
  <c r="AN226" i="1"/>
  <c r="AO226" i="1"/>
  <c r="ER226" i="1"/>
  <c r="ES226" i="1"/>
  <c r="EU226" i="1" s="1"/>
  <c r="FC226" i="1" s="1"/>
  <c r="ET226" i="1"/>
  <c r="FB226" i="1" s="1"/>
  <c r="EY226" i="1"/>
  <c r="EZ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AN227" i="1"/>
  <c r="AO227" i="1"/>
  <c r="ER227" i="1"/>
  <c r="ES227" i="1"/>
  <c r="EU227" i="1" s="1"/>
  <c r="FC227" i="1" s="1"/>
  <c r="ET227" i="1"/>
  <c r="EV227" i="1" s="1"/>
  <c r="FD227" i="1" s="1"/>
  <c r="EY227" i="1"/>
  <c r="EZ227" i="1"/>
  <c r="FI227" i="1"/>
  <c r="FJ227" i="1"/>
  <c r="FK227" i="1"/>
  <c r="FL227" i="1"/>
  <c r="FM227" i="1"/>
  <c r="FN227" i="1"/>
  <c r="FO227" i="1"/>
  <c r="FP227" i="1"/>
  <c r="FQ227" i="1"/>
  <c r="FR227" i="1"/>
  <c r="FS227" i="1"/>
  <c r="FT227" i="1"/>
  <c r="FU227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F225" i="1"/>
  <c r="FE225" i="1"/>
  <c r="EZ225" i="1"/>
  <c r="EY225" i="1"/>
  <c r="FH225" i="1"/>
  <c r="ET225" i="1"/>
  <c r="EV225" i="1" s="1"/>
  <c r="FD225" i="1" s="1"/>
  <c r="ES225" i="1"/>
  <c r="EU225" i="1" s="1"/>
  <c r="FC225" i="1" s="1"/>
  <c r="ER225" i="1"/>
  <c r="AO225" i="1"/>
  <c r="AN225" i="1"/>
  <c r="JZ224" i="1"/>
  <c r="JZ223" i="1"/>
  <c r="Y43" i="1" a="1"/>
  <c r="Y43" i="1" s="1"/>
  <c r="X44" i="1"/>
  <c r="JZ222" i="1"/>
  <c r="JZ221" i="1"/>
  <c r="JZ220" i="1"/>
  <c r="JZ219" i="1"/>
  <c r="JZ218" i="1"/>
  <c r="KJ217" i="1"/>
  <c r="KK217" i="1" s="1"/>
  <c r="JZ217" i="1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AC269" i="1"/>
  <c r="AC270" i="1" s="1"/>
  <c r="CD270" i="1" s="1"/>
  <c r="KB319" i="1"/>
  <c r="KF319" i="1" s="1"/>
  <c r="KD319" i="1"/>
  <c r="KA319" i="1"/>
  <c r="KE319" i="1" s="1"/>
  <c r="KC319" i="1"/>
  <c r="FG225" i="1"/>
  <c r="AE225" i="1" s="1" a="1"/>
  <c r="AE225" i="1" s="1"/>
  <c r="AD226" i="1" s="1" a="1"/>
  <c r="AD226" i="1" s="1"/>
  <c r="AL267" i="1"/>
  <c r="HF267" i="1" s="1"/>
  <c r="AK267" i="1"/>
  <c r="DH498" i="1"/>
  <c r="U499" i="1"/>
  <c r="DF498" i="1"/>
  <c r="DA498" i="1"/>
  <c r="CV498" i="1"/>
  <c r="CP498" i="1"/>
  <c r="DB498" i="1"/>
  <c r="CW498" i="1"/>
  <c r="CQ498" i="1"/>
  <c r="CX498" i="1"/>
  <c r="DC498" i="1"/>
  <c r="CO498" i="1"/>
  <c r="DG498" i="1"/>
  <c r="CM498" i="1"/>
  <c r="CR498" i="1"/>
  <c r="BE498" i="1"/>
  <c r="CU498" i="1"/>
  <c r="CY498" i="1"/>
  <c r="DD498" i="1"/>
  <c r="CL498" i="1"/>
  <c r="CS498" i="1"/>
  <c r="CN498" i="1"/>
  <c r="DE498" i="1"/>
  <c r="CZ498" i="1"/>
  <c r="CT498" i="1"/>
  <c r="QE433" i="1"/>
  <c r="X435" i="1"/>
  <c r="X436" i="1" s="1"/>
  <c r="X438" i="1" s="1"/>
  <c r="X45" i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UH311" i="1"/>
  <c r="UI311" i="1" s="1"/>
  <c r="UG312" i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AG267" i="1"/>
  <c r="GU267" i="1"/>
  <c r="FA225" i="1"/>
  <c r="FB225" i="1"/>
  <c r="HI267" i="1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FB227" i="1"/>
  <c r="FA226" i="1"/>
  <c r="FA227" i="1"/>
  <c r="EV226" i="1"/>
  <c r="FD226" i="1" s="1"/>
  <c r="KJ216" i="1"/>
  <c r="KK216" i="1" s="1"/>
  <c r="JZ216" i="1"/>
  <c r="OL215" i="1"/>
  <c r="KJ214" i="1"/>
  <c r="KK214" i="1" s="1"/>
  <c r="JZ214" i="1"/>
  <c r="OL213" i="1"/>
  <c r="KJ212" i="1"/>
  <c r="KK212" i="1" s="1"/>
  <c r="JZ212" i="1"/>
  <c r="OL211" i="1"/>
  <c r="KJ210" i="1"/>
  <c r="KK210" i="1" s="1"/>
  <c r="JZ210" i="1"/>
  <c r="OL209" i="1"/>
  <c r="KJ208" i="1"/>
  <c r="KK208" i="1" s="1"/>
  <c r="JZ208" i="1"/>
  <c r="OL207" i="1"/>
  <c r="OL205" i="1"/>
  <c r="JZ206" i="1"/>
  <c r="KJ206" i="1"/>
  <c r="KK206" i="1" s="1"/>
  <c r="KJ204" i="1"/>
  <c r="KK204" i="1" s="1"/>
  <c r="JZ204" i="1"/>
  <c r="OL203" i="1"/>
  <c r="RZ202" i="1"/>
  <c r="QS202" i="1"/>
  <c r="QU202" i="1" s="1"/>
  <c r="QW202" i="1" s="1"/>
  <c r="QY202" i="1" s="1"/>
  <c r="RA202" i="1" s="1"/>
  <c r="QR202" i="1"/>
  <c r="QT202" i="1" s="1"/>
  <c r="QV202" i="1" s="1"/>
  <c r="QX202" i="1" s="1"/>
  <c r="QZ202" i="1" s="1"/>
  <c r="KJ201" i="1"/>
  <c r="KK201" i="1" s="1"/>
  <c r="JZ201" i="1"/>
  <c r="OL200" i="1"/>
  <c r="OL199" i="1"/>
  <c r="OL198" i="1"/>
  <c r="RZ197" i="1"/>
  <c r="QS197" i="1"/>
  <c r="QU197" i="1" s="1"/>
  <c r="QW197" i="1" s="1"/>
  <c r="QY197" i="1" s="1"/>
  <c r="RA197" i="1" s="1"/>
  <c r="QR197" i="1"/>
  <c r="QT197" i="1" s="1"/>
  <c r="QV197" i="1" s="1"/>
  <c r="QX197" i="1" s="1"/>
  <c r="QZ197" i="1" s="1"/>
  <c r="KJ196" i="1"/>
  <c r="KK196" i="1" s="1"/>
  <c r="JZ196" i="1"/>
  <c r="OL195" i="1"/>
  <c r="OL194" i="1"/>
  <c r="OL193" i="1"/>
  <c r="RZ192" i="1"/>
  <c r="QS192" i="1"/>
  <c r="QU192" i="1" s="1"/>
  <c r="QW192" i="1" s="1"/>
  <c r="QY192" i="1" s="1"/>
  <c r="RA192" i="1" s="1"/>
  <c r="QR192" i="1"/>
  <c r="QT192" i="1" s="1"/>
  <c r="QV192" i="1" s="1"/>
  <c r="QX192" i="1" s="1"/>
  <c r="QZ192" i="1" s="1"/>
  <c r="KJ191" i="1"/>
  <c r="KK191" i="1" s="1"/>
  <c r="JZ191" i="1"/>
  <c r="OL190" i="1"/>
  <c r="OL189" i="1"/>
  <c r="OL188" i="1"/>
  <c r="RZ187" i="1"/>
  <c r="QR187" i="1"/>
  <c r="QT187" i="1" s="1"/>
  <c r="QV187" i="1" s="1"/>
  <c r="QX187" i="1" s="1"/>
  <c r="QZ187" i="1" s="1"/>
  <c r="QS187" i="1"/>
  <c r="QU187" i="1" s="1"/>
  <c r="QW187" i="1" s="1"/>
  <c r="QY187" i="1" s="1"/>
  <c r="RA187" i="1" s="1"/>
  <c r="JZ186" i="1"/>
  <c r="OL184" i="1"/>
  <c r="OL185" i="1"/>
  <c r="OL183" i="1"/>
  <c r="JZ182" i="1"/>
  <c r="JZ181" i="1"/>
  <c r="MZ180" i="1"/>
  <c r="NA180" i="1"/>
  <c r="NB180" i="1"/>
  <c r="NK180" i="1" s="1"/>
  <c r="NI180" i="1"/>
  <c r="NB179" i="1"/>
  <c r="ND179" i="1" s="1"/>
  <c r="NM179" i="1" s="1"/>
  <c r="NA179" i="1"/>
  <c r="NI179" i="1"/>
  <c r="MZ179" i="1"/>
  <c r="LY178" i="1"/>
  <c r="MC178" i="1"/>
  <c r="MC177" i="1"/>
  <c r="ML178" i="1"/>
  <c r="MM178" i="1" s="1"/>
  <c r="MN178" i="1" s="1"/>
  <c r="MO178" i="1" s="1"/>
  <c r="LZ178" i="1"/>
  <c r="KU169" i="1"/>
  <c r="LY177" i="1"/>
  <c r="MM177" i="1"/>
  <c r="MN177" i="1" s="1"/>
  <c r="MO177" i="1" s="1"/>
  <c r="LR171" i="1"/>
  <c r="LS171" i="1" s="1"/>
  <c r="LT171" i="1" s="1"/>
  <c r="LO176" i="1"/>
  <c r="LO175" i="1"/>
  <c r="LO174" i="1"/>
  <c r="LO173" i="1"/>
  <c r="LO172" i="1"/>
  <c r="LO171" i="1"/>
  <c r="LS170" i="1"/>
  <c r="LT170" i="1" s="1"/>
  <c r="LO170" i="1"/>
  <c r="KT169" i="1"/>
  <c r="KX169" i="1"/>
  <c r="JZ168" i="1"/>
  <c r="JZ167" i="1"/>
  <c r="JZ166" i="1"/>
  <c r="JZ165" i="1"/>
  <c r="JZ164" i="1"/>
  <c r="JZ163" i="1"/>
  <c r="JZ162" i="1"/>
  <c r="JZ161" i="1"/>
  <c r="JZ160" i="1"/>
  <c r="JZ159" i="1"/>
  <c r="JZ158" i="1"/>
  <c r="JZ157" i="1"/>
  <c r="JZ156" i="1"/>
  <c r="JZ155" i="1"/>
  <c r="JZ154" i="1"/>
  <c r="JZ153" i="1"/>
  <c r="JZ152" i="1"/>
  <c r="JZ151" i="1"/>
  <c r="JZ150" i="1"/>
  <c r="JZ149" i="1"/>
  <c r="JZ148" i="1"/>
  <c r="JZ147" i="1"/>
  <c r="JZ146" i="1"/>
  <c r="JZ145" i="1"/>
  <c r="JZ144" i="1"/>
  <c r="JZ143" i="1"/>
  <c r="JZ142" i="1"/>
  <c r="JZ141" i="1"/>
  <c r="JZ140" i="1"/>
  <c r="JZ139" i="1"/>
  <c r="JZ138" i="1"/>
  <c r="JZ137" i="1"/>
  <c r="JZ136" i="1"/>
  <c r="JZ135" i="1"/>
  <c r="JZ134" i="1"/>
  <c r="JZ133" i="1"/>
  <c r="JZ132" i="1"/>
  <c r="JZ131" i="1"/>
  <c r="JZ130" i="1"/>
  <c r="JZ129" i="1"/>
  <c r="JZ128" i="1"/>
  <c r="JZ127" i="1"/>
  <c r="JZ126" i="1"/>
  <c r="JZ125" i="1"/>
  <c r="JZ124" i="1"/>
  <c r="JZ123" i="1"/>
  <c r="JZ122" i="1"/>
  <c r="JZ121" i="1"/>
  <c r="JZ120" i="1"/>
  <c r="JZ119" i="1"/>
  <c r="JZ118" i="1"/>
  <c r="JZ117" i="1"/>
  <c r="JZ116" i="1"/>
  <c r="JZ115" i="1"/>
  <c r="JZ114" i="1"/>
  <c r="JZ113" i="1"/>
  <c r="JZ112" i="1"/>
  <c r="JZ111" i="1"/>
  <c r="JZ110" i="1"/>
  <c r="JZ109" i="1"/>
  <c r="JZ108" i="1"/>
  <c r="JZ107" i="1"/>
  <c r="JZ106" i="1"/>
  <c r="JZ105" i="1"/>
  <c r="JZ104" i="1"/>
  <c r="JZ103" i="1"/>
  <c r="JZ102" i="1"/>
  <c r="JZ101" i="1"/>
  <c r="JZ100" i="1"/>
  <c r="JZ99" i="1"/>
  <c r="JZ98" i="1"/>
  <c r="JZ97" i="1"/>
  <c r="JZ96" i="1"/>
  <c r="JZ95" i="1"/>
  <c r="JZ94" i="1"/>
  <c r="JZ93" i="1"/>
  <c r="JZ92" i="1"/>
  <c r="JZ91" i="1"/>
  <c r="JZ90" i="1"/>
  <c r="JZ89" i="1"/>
  <c r="JZ88" i="1"/>
  <c r="JZ87" i="1"/>
  <c r="JZ86" i="1"/>
  <c r="JZ85" i="1"/>
  <c r="JZ84" i="1"/>
  <c r="JZ83" i="1"/>
  <c r="JZ82" i="1"/>
  <c r="JZ81" i="1"/>
  <c r="JZ80" i="1"/>
  <c r="JZ79" i="1"/>
  <c r="JZ78" i="1"/>
  <c r="JZ77" i="1"/>
  <c r="JZ76" i="1"/>
  <c r="JZ75" i="1"/>
  <c r="JZ74" i="1"/>
  <c r="JZ73" i="1"/>
  <c r="JZ72" i="1"/>
  <c r="JZ71" i="1"/>
  <c r="JZ70" i="1"/>
  <c r="JZ69" i="1"/>
  <c r="JZ68" i="1"/>
  <c r="JZ67" i="1"/>
  <c r="JZ66" i="1"/>
  <c r="JZ65" i="1"/>
  <c r="JZ64" i="1"/>
  <c r="JZ63" i="1"/>
  <c r="JZ62" i="1"/>
  <c r="JZ61" i="1"/>
  <c r="JZ60" i="1"/>
  <c r="JZ59" i="1"/>
  <c r="JZ58" i="1"/>
  <c r="JZ57" i="1"/>
  <c r="JZ56" i="1"/>
  <c r="U44" i="1"/>
  <c r="GU45" i="1"/>
  <c r="GW45" i="1" s="1"/>
  <c r="GV45" i="1"/>
  <c r="GX45" i="1" s="1"/>
  <c r="HI45" i="1"/>
  <c r="HJ45" i="1"/>
  <c r="GU46" i="1"/>
  <c r="GW46" i="1" s="1"/>
  <c r="GV46" i="1"/>
  <c r="GX46" i="1" s="1"/>
  <c r="HI46" i="1"/>
  <c r="HJ46" i="1"/>
  <c r="GU47" i="1"/>
  <c r="GW47" i="1" s="1"/>
  <c r="GV47" i="1"/>
  <c r="GX47" i="1" s="1"/>
  <c r="HI47" i="1"/>
  <c r="HJ47" i="1"/>
  <c r="GU48" i="1"/>
  <c r="GW48" i="1" s="1"/>
  <c r="GV48" i="1"/>
  <c r="GX48" i="1" s="1"/>
  <c r="HI48" i="1"/>
  <c r="HJ48" i="1"/>
  <c r="GU49" i="1"/>
  <c r="GW49" i="1" s="1"/>
  <c r="GV49" i="1"/>
  <c r="GX49" i="1" s="1"/>
  <c r="HI49" i="1"/>
  <c r="HJ49" i="1"/>
  <c r="GU50" i="1"/>
  <c r="GW50" i="1" s="1"/>
  <c r="GV50" i="1"/>
  <c r="GX50" i="1" s="1"/>
  <c r="HI50" i="1"/>
  <c r="HJ50" i="1"/>
  <c r="GU51" i="1"/>
  <c r="GW51" i="1" s="1"/>
  <c r="GV51" i="1"/>
  <c r="GX51" i="1" s="1"/>
  <c r="HI51" i="1"/>
  <c r="HJ51" i="1"/>
  <c r="GU52" i="1"/>
  <c r="GW52" i="1" s="1"/>
  <c r="GV52" i="1"/>
  <c r="GX52" i="1" s="1"/>
  <c r="HI52" i="1"/>
  <c r="HJ52" i="1"/>
  <c r="GU53" i="1"/>
  <c r="GW53" i="1" s="1"/>
  <c r="GV53" i="1"/>
  <c r="GX53" i="1" s="1"/>
  <c r="HI53" i="1"/>
  <c r="HJ53" i="1"/>
  <c r="GU54" i="1"/>
  <c r="GW54" i="1" s="1"/>
  <c r="GV54" i="1"/>
  <c r="GX54" i="1" s="1"/>
  <c r="HI54" i="1"/>
  <c r="HJ54" i="1"/>
  <c r="GU55" i="1"/>
  <c r="GW55" i="1" s="1"/>
  <c r="GV55" i="1"/>
  <c r="GX55" i="1" s="1"/>
  <c r="HI55" i="1"/>
  <c r="HJ55" i="1"/>
  <c r="IF43" i="1"/>
  <c r="IZ44" i="1"/>
  <c r="IZ45" i="1" s="1"/>
  <c r="IZ46" i="1" s="1"/>
  <c r="IZ47" i="1" s="1"/>
  <c r="IZ48" i="1" s="1"/>
  <c r="IZ49" i="1" s="1"/>
  <c r="IZ50" i="1" s="1"/>
  <c r="IZ51" i="1" s="1"/>
  <c r="IZ52" i="1" s="1"/>
  <c r="IZ53" i="1" s="1"/>
  <c r="IZ54" i="1" s="1"/>
  <c r="IZ55" i="1" s="1"/>
  <c r="JA44" i="1"/>
  <c r="JA45" i="1" s="1"/>
  <c r="JA46" i="1" s="1"/>
  <c r="JA47" i="1" s="1"/>
  <c r="JA48" i="1" s="1"/>
  <c r="JA49" i="1" s="1"/>
  <c r="JA50" i="1" s="1"/>
  <c r="JA51" i="1" s="1"/>
  <c r="JA52" i="1" s="1"/>
  <c r="JA53" i="1" s="1"/>
  <c r="JA54" i="1" s="1"/>
  <c r="JA55" i="1" s="1"/>
  <c r="JB44" i="1"/>
  <c r="JB45" i="1" s="1"/>
  <c r="JB46" i="1" s="1"/>
  <c r="JB47" i="1" s="1"/>
  <c r="JB48" i="1" s="1"/>
  <c r="JB49" i="1" s="1"/>
  <c r="JB50" i="1" s="1"/>
  <c r="JB51" i="1" s="1"/>
  <c r="JB52" i="1" s="1"/>
  <c r="JB53" i="1" s="1"/>
  <c r="JB54" i="1" s="1"/>
  <c r="JB55" i="1" s="1"/>
  <c r="JC44" i="1"/>
  <c r="JC45" i="1" s="1"/>
  <c r="JC46" i="1" s="1"/>
  <c r="JC47" i="1" s="1"/>
  <c r="JC48" i="1" s="1"/>
  <c r="JC49" i="1" s="1"/>
  <c r="JC50" i="1" s="1"/>
  <c r="JC51" i="1" s="1"/>
  <c r="JC52" i="1" s="1"/>
  <c r="JC53" i="1" s="1"/>
  <c r="JC54" i="1" s="1"/>
  <c r="JC55" i="1" s="1"/>
  <c r="JD44" i="1"/>
  <c r="JD45" i="1" s="1"/>
  <c r="JD46" i="1" s="1"/>
  <c r="JD47" i="1" s="1"/>
  <c r="JD48" i="1" s="1"/>
  <c r="JD49" i="1" s="1"/>
  <c r="JD50" i="1" s="1"/>
  <c r="JD51" i="1" s="1"/>
  <c r="JD52" i="1" s="1"/>
  <c r="JD53" i="1" s="1"/>
  <c r="JD54" i="1" s="1"/>
  <c r="JD55" i="1" s="1"/>
  <c r="JE44" i="1"/>
  <c r="JE45" i="1" s="1"/>
  <c r="JE46" i="1" s="1"/>
  <c r="JE47" i="1" s="1"/>
  <c r="JE48" i="1" s="1"/>
  <c r="JE49" i="1" s="1"/>
  <c r="JE50" i="1" s="1"/>
  <c r="JE51" i="1" s="1"/>
  <c r="JE52" i="1" s="1"/>
  <c r="JE53" i="1" s="1"/>
  <c r="JE54" i="1" s="1"/>
  <c r="JE55" i="1" s="1"/>
  <c r="JF44" i="1"/>
  <c r="JF45" i="1" s="1"/>
  <c r="JF46" i="1" s="1"/>
  <c r="JF47" i="1" s="1"/>
  <c r="JF48" i="1" s="1"/>
  <c r="JF49" i="1" s="1"/>
  <c r="JF50" i="1" s="1"/>
  <c r="JF51" i="1" s="1"/>
  <c r="JF52" i="1" s="1"/>
  <c r="JF53" i="1" s="1"/>
  <c r="JF54" i="1" s="1"/>
  <c r="JF55" i="1" s="1"/>
  <c r="JG44" i="1"/>
  <c r="JG45" i="1" s="1"/>
  <c r="JG46" i="1" s="1"/>
  <c r="JG47" i="1" s="1"/>
  <c r="JG48" i="1" s="1"/>
  <c r="JG49" i="1" s="1"/>
  <c r="JG50" i="1" s="1"/>
  <c r="JG51" i="1" s="1"/>
  <c r="JG52" i="1" s="1"/>
  <c r="JG53" i="1" s="1"/>
  <c r="JG54" i="1" s="1"/>
  <c r="JG55" i="1" s="1"/>
  <c r="JH44" i="1"/>
  <c r="JH45" i="1" s="1"/>
  <c r="JH46" i="1" s="1"/>
  <c r="JH47" i="1" s="1"/>
  <c r="JH48" i="1" s="1"/>
  <c r="JH49" i="1" s="1"/>
  <c r="JH50" i="1" s="1"/>
  <c r="JH51" i="1" s="1"/>
  <c r="JH52" i="1" s="1"/>
  <c r="JH53" i="1" s="1"/>
  <c r="JH54" i="1" s="1"/>
  <c r="JH55" i="1" s="1"/>
  <c r="JI44" i="1"/>
  <c r="JI45" i="1" s="1"/>
  <c r="JI46" i="1" s="1"/>
  <c r="JI47" i="1" s="1"/>
  <c r="JI48" i="1" s="1"/>
  <c r="JI49" i="1" s="1"/>
  <c r="JI50" i="1" s="1"/>
  <c r="JI51" i="1" s="1"/>
  <c r="JI52" i="1" s="1"/>
  <c r="JI53" i="1" s="1"/>
  <c r="JI54" i="1" s="1"/>
  <c r="JI55" i="1" s="1"/>
  <c r="JJ44" i="1"/>
  <c r="JJ45" i="1" s="1"/>
  <c r="JJ46" i="1" s="1"/>
  <c r="JJ47" i="1" s="1"/>
  <c r="JJ48" i="1" s="1"/>
  <c r="JJ49" i="1" s="1"/>
  <c r="JJ50" i="1" s="1"/>
  <c r="JJ51" i="1" s="1"/>
  <c r="JJ52" i="1" s="1"/>
  <c r="JJ53" i="1" s="1"/>
  <c r="JJ54" i="1" s="1"/>
  <c r="JJ55" i="1" s="1"/>
  <c r="JK44" i="1"/>
  <c r="JK45" i="1" s="1"/>
  <c r="JK46" i="1" s="1"/>
  <c r="JK47" i="1" s="1"/>
  <c r="JK48" i="1" s="1"/>
  <c r="JK49" i="1" s="1"/>
  <c r="JK50" i="1" s="1"/>
  <c r="JK51" i="1" s="1"/>
  <c r="JK52" i="1" s="1"/>
  <c r="JK53" i="1" s="1"/>
  <c r="JK54" i="1" s="1"/>
  <c r="JK55" i="1" s="1"/>
  <c r="JL44" i="1"/>
  <c r="JL45" i="1" s="1"/>
  <c r="JL46" i="1" s="1"/>
  <c r="JL47" i="1" s="1"/>
  <c r="JL48" i="1" s="1"/>
  <c r="JL49" i="1" s="1"/>
  <c r="JL50" i="1" s="1"/>
  <c r="JL51" i="1" s="1"/>
  <c r="JL52" i="1" s="1"/>
  <c r="JL53" i="1" s="1"/>
  <c r="JL54" i="1" s="1"/>
  <c r="JL55" i="1" s="1"/>
  <c r="JM44" i="1"/>
  <c r="JM45" i="1" s="1"/>
  <c r="JM46" i="1" s="1"/>
  <c r="JM47" i="1" s="1"/>
  <c r="JM48" i="1" s="1"/>
  <c r="JM49" i="1" s="1"/>
  <c r="JM50" i="1" s="1"/>
  <c r="JM51" i="1" s="1"/>
  <c r="JM52" i="1" s="1"/>
  <c r="JM53" i="1" s="1"/>
  <c r="JM54" i="1" s="1"/>
  <c r="JM55" i="1" s="1"/>
  <c r="JN44" i="1"/>
  <c r="JN45" i="1" s="1"/>
  <c r="JN46" i="1" s="1"/>
  <c r="JN47" i="1" s="1"/>
  <c r="JN48" i="1" s="1"/>
  <c r="JN49" i="1" s="1"/>
  <c r="JN50" i="1" s="1"/>
  <c r="JN51" i="1" s="1"/>
  <c r="JN52" i="1" s="1"/>
  <c r="JN53" i="1" s="1"/>
  <c r="JN54" i="1" s="1"/>
  <c r="JN55" i="1" s="1"/>
  <c r="JO44" i="1"/>
  <c r="JO45" i="1" s="1"/>
  <c r="JO46" i="1" s="1"/>
  <c r="JO47" i="1" s="1"/>
  <c r="JO48" i="1" s="1"/>
  <c r="JO49" i="1" s="1"/>
  <c r="JO50" i="1" s="1"/>
  <c r="JO51" i="1" s="1"/>
  <c r="JO52" i="1" s="1"/>
  <c r="JO53" i="1" s="1"/>
  <c r="JO54" i="1" s="1"/>
  <c r="JO55" i="1" s="1"/>
  <c r="JP44" i="1"/>
  <c r="JP45" i="1" s="1"/>
  <c r="JP46" i="1" s="1"/>
  <c r="JP47" i="1" s="1"/>
  <c r="JP48" i="1" s="1"/>
  <c r="JP49" i="1" s="1"/>
  <c r="JP50" i="1" s="1"/>
  <c r="JP51" i="1" s="1"/>
  <c r="JP52" i="1" s="1"/>
  <c r="JP53" i="1" s="1"/>
  <c r="JP54" i="1" s="1"/>
  <c r="JP55" i="1" s="1"/>
  <c r="JQ44" i="1"/>
  <c r="JQ45" i="1" s="1"/>
  <c r="JQ46" i="1" s="1"/>
  <c r="JQ47" i="1" s="1"/>
  <c r="JQ48" i="1" s="1"/>
  <c r="JQ49" i="1" s="1"/>
  <c r="JQ50" i="1" s="1"/>
  <c r="JQ51" i="1" s="1"/>
  <c r="JQ52" i="1" s="1"/>
  <c r="JQ53" i="1" s="1"/>
  <c r="JQ54" i="1" s="1"/>
  <c r="JQ55" i="1" s="1"/>
  <c r="JR44" i="1"/>
  <c r="JR45" i="1" s="1"/>
  <c r="JR46" i="1" s="1"/>
  <c r="JR47" i="1" s="1"/>
  <c r="JR48" i="1" s="1"/>
  <c r="JR49" i="1" s="1"/>
  <c r="JR50" i="1" s="1"/>
  <c r="JR51" i="1" s="1"/>
  <c r="JR52" i="1" s="1"/>
  <c r="JR53" i="1" s="1"/>
  <c r="JR54" i="1" s="1"/>
  <c r="JR55" i="1" s="1"/>
  <c r="JS44" i="1"/>
  <c r="JS45" i="1" s="1"/>
  <c r="JS46" i="1" s="1"/>
  <c r="JS47" i="1" s="1"/>
  <c r="JS48" i="1" s="1"/>
  <c r="JS49" i="1" s="1"/>
  <c r="JS50" i="1" s="1"/>
  <c r="JS51" i="1" s="1"/>
  <c r="JS52" i="1" s="1"/>
  <c r="JS53" i="1" s="1"/>
  <c r="JS54" i="1" s="1"/>
  <c r="JS55" i="1" s="1"/>
  <c r="JT44" i="1"/>
  <c r="JT45" i="1" s="1"/>
  <c r="JT46" i="1" s="1"/>
  <c r="JT47" i="1" s="1"/>
  <c r="JT48" i="1" s="1"/>
  <c r="JT49" i="1" s="1"/>
  <c r="JT50" i="1" s="1"/>
  <c r="JT51" i="1" s="1"/>
  <c r="JT52" i="1" s="1"/>
  <c r="JT53" i="1" s="1"/>
  <c r="JT54" i="1" s="1"/>
  <c r="JT55" i="1" s="1"/>
  <c r="JU44" i="1"/>
  <c r="JU45" i="1" s="1"/>
  <c r="JU46" i="1" s="1"/>
  <c r="JU47" i="1" s="1"/>
  <c r="JU48" i="1" s="1"/>
  <c r="JU49" i="1" s="1"/>
  <c r="JU50" i="1" s="1"/>
  <c r="JU51" i="1" s="1"/>
  <c r="JU52" i="1" s="1"/>
  <c r="JU53" i="1" s="1"/>
  <c r="JU54" i="1" s="1"/>
  <c r="JU55" i="1" s="1"/>
  <c r="JV44" i="1"/>
  <c r="JV45" i="1" s="1"/>
  <c r="JV46" i="1" s="1"/>
  <c r="JV47" i="1" s="1"/>
  <c r="JV48" i="1" s="1"/>
  <c r="JV49" i="1" s="1"/>
  <c r="JV50" i="1" s="1"/>
  <c r="JV51" i="1" s="1"/>
  <c r="JV52" i="1" s="1"/>
  <c r="JV53" i="1" s="1"/>
  <c r="JV54" i="1" s="1"/>
  <c r="JV55" i="1" s="1"/>
  <c r="JW44" i="1"/>
  <c r="JW45" i="1" s="1"/>
  <c r="JW46" i="1" s="1"/>
  <c r="JW47" i="1" s="1"/>
  <c r="JW48" i="1" s="1"/>
  <c r="JW49" i="1" s="1"/>
  <c r="JW50" i="1" s="1"/>
  <c r="JW51" i="1" s="1"/>
  <c r="JW52" i="1" s="1"/>
  <c r="JW53" i="1" s="1"/>
  <c r="JW54" i="1" s="1"/>
  <c r="JW55" i="1" s="1"/>
  <c r="JX44" i="1"/>
  <c r="JX45" i="1" s="1"/>
  <c r="JX46" i="1" s="1"/>
  <c r="JX47" i="1" s="1"/>
  <c r="JX48" i="1" s="1"/>
  <c r="JX49" i="1" s="1"/>
  <c r="JX50" i="1" s="1"/>
  <c r="JX51" i="1" s="1"/>
  <c r="JX52" i="1" s="1"/>
  <c r="JX53" i="1" s="1"/>
  <c r="JX54" i="1" s="1"/>
  <c r="JX55" i="1" s="1"/>
  <c r="JY44" i="1"/>
  <c r="JY45" i="1" s="1"/>
  <c r="JY46" i="1" s="1"/>
  <c r="JY47" i="1" s="1"/>
  <c r="JY48" i="1" s="1"/>
  <c r="JY49" i="1" s="1"/>
  <c r="JY50" i="1" s="1"/>
  <c r="JY51" i="1" s="1"/>
  <c r="JY52" i="1" s="1"/>
  <c r="JY53" i="1" s="1"/>
  <c r="JY54" i="1" s="1"/>
  <c r="JY55" i="1" s="1"/>
  <c r="IY44" i="1"/>
  <c r="IY45" i="1" s="1"/>
  <c r="IY46" i="1" s="1"/>
  <c r="IY47" i="1" s="1"/>
  <c r="IY48" i="1" s="1"/>
  <c r="IY49" i="1" s="1"/>
  <c r="IY50" i="1" s="1"/>
  <c r="IY51" i="1" s="1"/>
  <c r="IY52" i="1" s="1"/>
  <c r="IY53" i="1" s="1"/>
  <c r="IY54" i="1" s="1"/>
  <c r="IY55" i="1" s="1"/>
  <c r="IX44" i="1"/>
  <c r="IX45" i="1" s="1"/>
  <c r="IX46" i="1" s="1"/>
  <c r="IX47" i="1" s="1"/>
  <c r="IX48" i="1" s="1"/>
  <c r="IX49" i="1" s="1"/>
  <c r="IX50" i="1" s="1"/>
  <c r="IX51" i="1" s="1"/>
  <c r="IX52" i="1" s="1"/>
  <c r="IX53" i="1" s="1"/>
  <c r="IX54" i="1" s="1"/>
  <c r="IX55" i="1" s="1"/>
  <c r="IW44" i="1"/>
  <c r="IW45" i="1" s="1"/>
  <c r="IW46" i="1" s="1"/>
  <c r="IW47" i="1" s="1"/>
  <c r="IW48" i="1" s="1"/>
  <c r="IW49" i="1" s="1"/>
  <c r="IW50" i="1" s="1"/>
  <c r="IW51" i="1" s="1"/>
  <c r="IW52" i="1" s="1"/>
  <c r="IW53" i="1" s="1"/>
  <c r="IW54" i="1" s="1"/>
  <c r="IW55" i="1" s="1"/>
  <c r="IV44" i="1"/>
  <c r="IV45" i="1" s="1"/>
  <c r="IV46" i="1" s="1"/>
  <c r="IV47" i="1" s="1"/>
  <c r="IV48" i="1" s="1"/>
  <c r="IV49" i="1" s="1"/>
  <c r="IV50" i="1" s="1"/>
  <c r="IV51" i="1" s="1"/>
  <c r="IV52" i="1" s="1"/>
  <c r="IV53" i="1" s="1"/>
  <c r="IV54" i="1" s="1"/>
  <c r="IV55" i="1" s="1"/>
  <c r="IU44" i="1"/>
  <c r="IU45" i="1" s="1"/>
  <c r="IU46" i="1" s="1"/>
  <c r="IU47" i="1" s="1"/>
  <c r="IU48" i="1" s="1"/>
  <c r="IU49" i="1" s="1"/>
  <c r="IU50" i="1" s="1"/>
  <c r="IU51" i="1" s="1"/>
  <c r="IU52" i="1" s="1"/>
  <c r="IU53" i="1" s="1"/>
  <c r="IU54" i="1" s="1"/>
  <c r="IU55" i="1" s="1"/>
  <c r="IT44" i="1"/>
  <c r="IT45" i="1" s="1"/>
  <c r="IT46" i="1" s="1"/>
  <c r="IT47" i="1" s="1"/>
  <c r="IT48" i="1" s="1"/>
  <c r="IT49" i="1" s="1"/>
  <c r="IT50" i="1" s="1"/>
  <c r="IT51" i="1" s="1"/>
  <c r="IT52" i="1" s="1"/>
  <c r="IT53" i="1" s="1"/>
  <c r="IT54" i="1" s="1"/>
  <c r="IT55" i="1" s="1"/>
  <c r="IS44" i="1"/>
  <c r="IS45" i="1" s="1"/>
  <c r="IS46" i="1" s="1"/>
  <c r="IS47" i="1" s="1"/>
  <c r="IS48" i="1" s="1"/>
  <c r="IS49" i="1" s="1"/>
  <c r="IS50" i="1" s="1"/>
  <c r="IS51" i="1" s="1"/>
  <c r="IS52" i="1" s="1"/>
  <c r="IS53" i="1" s="1"/>
  <c r="IS54" i="1" s="1"/>
  <c r="IS55" i="1" s="1"/>
  <c r="IR44" i="1"/>
  <c r="IR45" i="1" s="1"/>
  <c r="IR46" i="1" s="1"/>
  <c r="IR47" i="1" s="1"/>
  <c r="IR48" i="1" s="1"/>
  <c r="IR49" i="1" s="1"/>
  <c r="IR50" i="1" s="1"/>
  <c r="IR51" i="1" s="1"/>
  <c r="IR52" i="1" s="1"/>
  <c r="IR53" i="1" s="1"/>
  <c r="IR54" i="1" s="1"/>
  <c r="IR55" i="1" s="1"/>
  <c r="GU44" i="1"/>
  <c r="GW44" i="1" s="1"/>
  <c r="GV44" i="1"/>
  <c r="GX44" i="1" s="1"/>
  <c r="HI44" i="1"/>
  <c r="HJ44" i="1"/>
  <c r="IP43" i="1"/>
  <c r="IO43" i="1"/>
  <c r="IN43" i="1"/>
  <c r="IM43" i="1"/>
  <c r="IL43" i="1"/>
  <c r="IK43" i="1"/>
  <c r="IJ43" i="1"/>
  <c r="II43" i="1"/>
  <c r="IH43" i="1"/>
  <c r="IG43" i="1"/>
  <c r="IE43" i="1"/>
  <c r="ID43" i="1"/>
  <c r="IB43" i="1"/>
  <c r="IA43" i="1"/>
  <c r="HZ43" i="1"/>
  <c r="HY43" i="1"/>
  <c r="HX43" i="1"/>
  <c r="HV43" i="1"/>
  <c r="HW43" i="1"/>
  <c r="HU43" i="1"/>
  <c r="GV43" i="1"/>
  <c r="GX43" i="1" s="1"/>
  <c r="HJ43" i="1"/>
  <c r="GU43" i="1"/>
  <c r="GW43" i="1" s="1"/>
  <c r="HI43" i="1"/>
  <c r="GT43" i="1"/>
  <c r="IC43" i="1"/>
  <c r="IQ43" i="1"/>
  <c r="ER36" i="1"/>
  <c r="ES36" i="1"/>
  <c r="EU36" i="1" s="1"/>
  <c r="FC36" i="1" s="1"/>
  <c r="ET36" i="1"/>
  <c r="EV36" i="1" s="1"/>
  <c r="FD36" i="1" s="1"/>
  <c r="EY36" i="1"/>
  <c r="EZ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ER37" i="1"/>
  <c r="ES37" i="1"/>
  <c r="FA37" i="1" s="1"/>
  <c r="ET37" i="1"/>
  <c r="FB37" i="1" s="1"/>
  <c r="EY37" i="1"/>
  <c r="EZ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ER38" i="1"/>
  <c r="ES38" i="1"/>
  <c r="EU38" i="1" s="1"/>
  <c r="FC38" i="1" s="1"/>
  <c r="ET38" i="1"/>
  <c r="EV38" i="1" s="1"/>
  <c r="FD38" i="1" s="1"/>
  <c r="EY38" i="1"/>
  <c r="EZ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ER39" i="1"/>
  <c r="ES39" i="1"/>
  <c r="FA39" i="1" s="1"/>
  <c r="ET39" i="1"/>
  <c r="FB39" i="1" s="1"/>
  <c r="EY39" i="1"/>
  <c r="EZ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ER40" i="1"/>
  <c r="ES40" i="1"/>
  <c r="EU40" i="1" s="1"/>
  <c r="FC40" i="1" s="1"/>
  <c r="ET40" i="1"/>
  <c r="EV40" i="1" s="1"/>
  <c r="FD40" i="1" s="1"/>
  <c r="EY40" i="1"/>
  <c r="EZ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ER41" i="1"/>
  <c r="ES41" i="1"/>
  <c r="FA41" i="1" s="1"/>
  <c r="ET41" i="1"/>
  <c r="FB41" i="1" s="1"/>
  <c r="EY41" i="1"/>
  <c r="EZ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ER42" i="1"/>
  <c r="ES42" i="1"/>
  <c r="EU42" i="1" s="1"/>
  <c r="FC42" i="1" s="1"/>
  <c r="ET42" i="1"/>
  <c r="EV42" i="1" s="1"/>
  <c r="FD42" i="1" s="1"/>
  <c r="EY42" i="1"/>
  <c r="EZ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AR39" i="1"/>
  <c r="AR40" i="1"/>
  <c r="AR41" i="1"/>
  <c r="AR42" i="1"/>
  <c r="AR34" i="1"/>
  <c r="AR35" i="1"/>
  <c r="AR36" i="1"/>
  <c r="AR37" i="1"/>
  <c r="AR38" i="1"/>
  <c r="AN38" i="1"/>
  <c r="AO38" i="1"/>
  <c r="AN39" i="1"/>
  <c r="AO39" i="1"/>
  <c r="AN40" i="1"/>
  <c r="AO40" i="1"/>
  <c r="AN41" i="1"/>
  <c r="AO41" i="1"/>
  <c r="AN42" i="1"/>
  <c r="AO42" i="1"/>
  <c r="AO35" i="1"/>
  <c r="AO36" i="1"/>
  <c r="AO37" i="1"/>
  <c r="AO34" i="1"/>
  <c r="AN35" i="1"/>
  <c r="AN36" i="1"/>
  <c r="AN37" i="1"/>
  <c r="AN34" i="1"/>
  <c r="FN35" i="1"/>
  <c r="FO35" i="1"/>
  <c r="FP35" i="1"/>
  <c r="FQ35" i="1"/>
  <c r="FR35" i="1"/>
  <c r="FS35" i="1"/>
  <c r="FT35" i="1"/>
  <c r="FU35" i="1"/>
  <c r="FT34" i="1"/>
  <c r="FU34" i="1"/>
  <c r="FS34" i="1"/>
  <c r="FR34" i="1"/>
  <c r="FQ34" i="1"/>
  <c r="FO34" i="1"/>
  <c r="FP34" i="1"/>
  <c r="FI35" i="1"/>
  <c r="FJ35" i="1"/>
  <c r="FK35" i="1"/>
  <c r="FL35" i="1"/>
  <c r="FM35" i="1"/>
  <c r="FM34" i="1"/>
  <c r="FL34" i="1"/>
  <c r="FK34" i="1"/>
  <c r="FJ34" i="1"/>
  <c r="FI34" i="1"/>
  <c r="FN34" i="1"/>
  <c r="FF34" i="1"/>
  <c r="FE34" i="1"/>
  <c r="EY35" i="1"/>
  <c r="EZ35" i="1"/>
  <c r="EZ34" i="1"/>
  <c r="EY34" i="1"/>
  <c r="FH34" i="1"/>
  <c r="ET35" i="1"/>
  <c r="EV35" i="1" s="1"/>
  <c r="FD35" i="1" s="1"/>
  <c r="ES35" i="1"/>
  <c r="EU35" i="1" s="1"/>
  <c r="FC35" i="1" s="1"/>
  <c r="ET34" i="1"/>
  <c r="EV34" i="1" s="1"/>
  <c r="FD34" i="1" s="1"/>
  <c r="ES34" i="1"/>
  <c r="EU34" i="1" s="1"/>
  <c r="FC34" i="1" s="1"/>
  <c r="CM3" i="1"/>
  <c r="CN3" i="1"/>
  <c r="CM4" i="1"/>
  <c r="CN4" i="1"/>
  <c r="CM5" i="1"/>
  <c r="CN5" i="1"/>
  <c r="CM6" i="1"/>
  <c r="CN6" i="1"/>
  <c r="CM7" i="1"/>
  <c r="CN7" i="1"/>
  <c r="CM8" i="1"/>
  <c r="CN8" i="1"/>
  <c r="CM9" i="1"/>
  <c r="CN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N2" i="1"/>
  <c r="CM2" i="1"/>
  <c r="CL33" i="1"/>
  <c r="CO3" i="1"/>
  <c r="CP3" i="1"/>
  <c r="CQ3" i="1"/>
  <c r="CR3" i="1"/>
  <c r="CS3" i="1"/>
  <c r="CT3" i="1"/>
  <c r="CO4" i="1"/>
  <c r="CP4" i="1"/>
  <c r="CQ4" i="1"/>
  <c r="CR4" i="1"/>
  <c r="CS4" i="1"/>
  <c r="CT4" i="1"/>
  <c r="CO5" i="1"/>
  <c r="CP5" i="1"/>
  <c r="CQ5" i="1"/>
  <c r="CR5" i="1"/>
  <c r="CS5" i="1"/>
  <c r="CT5" i="1"/>
  <c r="CO6" i="1"/>
  <c r="CP6" i="1"/>
  <c r="CQ6" i="1"/>
  <c r="CR6" i="1"/>
  <c r="CS6" i="1"/>
  <c r="CT6" i="1"/>
  <c r="CO7" i="1"/>
  <c r="CP7" i="1"/>
  <c r="CQ7" i="1"/>
  <c r="CR7" i="1"/>
  <c r="CS7" i="1"/>
  <c r="CT7" i="1"/>
  <c r="CO8" i="1"/>
  <c r="CP8" i="1"/>
  <c r="CQ8" i="1"/>
  <c r="CR8" i="1"/>
  <c r="CS8" i="1"/>
  <c r="CT8" i="1"/>
  <c r="CO9" i="1"/>
  <c r="CP9" i="1"/>
  <c r="CQ9" i="1"/>
  <c r="CR9" i="1"/>
  <c r="CS9" i="1"/>
  <c r="CT9" i="1"/>
  <c r="CO10" i="1"/>
  <c r="CP10" i="1"/>
  <c r="CQ10" i="1"/>
  <c r="CR10" i="1"/>
  <c r="CS10" i="1"/>
  <c r="CT10" i="1"/>
  <c r="CO11" i="1"/>
  <c r="CP11" i="1"/>
  <c r="CQ11" i="1"/>
  <c r="CR11" i="1"/>
  <c r="CS11" i="1"/>
  <c r="CT11" i="1"/>
  <c r="CO12" i="1"/>
  <c r="CP12" i="1"/>
  <c r="CQ12" i="1"/>
  <c r="CR12" i="1"/>
  <c r="CS12" i="1"/>
  <c r="CT12" i="1"/>
  <c r="CO13" i="1"/>
  <c r="CP13" i="1"/>
  <c r="CQ13" i="1"/>
  <c r="CR13" i="1"/>
  <c r="CS13" i="1"/>
  <c r="CT13" i="1"/>
  <c r="CO14" i="1"/>
  <c r="CP14" i="1"/>
  <c r="CQ14" i="1"/>
  <c r="CR14" i="1"/>
  <c r="CS14" i="1"/>
  <c r="CT14" i="1"/>
  <c r="CO15" i="1"/>
  <c r="CP15" i="1"/>
  <c r="CQ15" i="1"/>
  <c r="CR15" i="1"/>
  <c r="CS15" i="1"/>
  <c r="CT15" i="1"/>
  <c r="CO16" i="1"/>
  <c r="CP16" i="1"/>
  <c r="CQ16" i="1"/>
  <c r="CR16" i="1"/>
  <c r="CS16" i="1"/>
  <c r="CT16" i="1"/>
  <c r="CO17" i="1"/>
  <c r="CP17" i="1"/>
  <c r="CQ17" i="1"/>
  <c r="CR17" i="1"/>
  <c r="CS17" i="1"/>
  <c r="CT17" i="1"/>
  <c r="CO18" i="1"/>
  <c r="CP18" i="1"/>
  <c r="CQ18" i="1"/>
  <c r="CR18" i="1"/>
  <c r="CS18" i="1"/>
  <c r="CT18" i="1"/>
  <c r="CO19" i="1"/>
  <c r="CP19" i="1"/>
  <c r="CQ19" i="1"/>
  <c r="CR19" i="1"/>
  <c r="CS19" i="1"/>
  <c r="CT19" i="1"/>
  <c r="CO20" i="1"/>
  <c r="CP20" i="1"/>
  <c r="CQ20" i="1"/>
  <c r="CR20" i="1"/>
  <c r="CS20" i="1"/>
  <c r="CT20" i="1"/>
  <c r="CO21" i="1"/>
  <c r="CP21" i="1"/>
  <c r="CQ21" i="1"/>
  <c r="CR21" i="1"/>
  <c r="CS21" i="1"/>
  <c r="CT21" i="1"/>
  <c r="CO22" i="1"/>
  <c r="CP22" i="1"/>
  <c r="CQ22" i="1"/>
  <c r="CR22" i="1"/>
  <c r="CS22" i="1"/>
  <c r="CT22" i="1"/>
  <c r="CO23" i="1"/>
  <c r="CP23" i="1"/>
  <c r="CQ23" i="1"/>
  <c r="CR23" i="1"/>
  <c r="CS23" i="1"/>
  <c r="CT23" i="1"/>
  <c r="CO24" i="1"/>
  <c r="CP24" i="1"/>
  <c r="CQ24" i="1"/>
  <c r="CR24" i="1"/>
  <c r="CS24" i="1"/>
  <c r="CT24" i="1"/>
  <c r="CO25" i="1"/>
  <c r="CP25" i="1"/>
  <c r="CQ25" i="1"/>
  <c r="CR25" i="1"/>
  <c r="CS25" i="1"/>
  <c r="CT25" i="1"/>
  <c r="CO26" i="1"/>
  <c r="CP26" i="1"/>
  <c r="CQ26" i="1"/>
  <c r="CR26" i="1"/>
  <c r="CS26" i="1"/>
  <c r="CT26" i="1"/>
  <c r="CO27" i="1"/>
  <c r="CP27" i="1"/>
  <c r="CQ27" i="1"/>
  <c r="CR27" i="1"/>
  <c r="CS27" i="1"/>
  <c r="CT27" i="1"/>
  <c r="CO28" i="1"/>
  <c r="CP28" i="1"/>
  <c r="CQ28" i="1"/>
  <c r="CR28" i="1"/>
  <c r="CS28" i="1"/>
  <c r="CT28" i="1"/>
  <c r="CO29" i="1"/>
  <c r="CP29" i="1"/>
  <c r="CQ29" i="1"/>
  <c r="CR29" i="1"/>
  <c r="CS29" i="1"/>
  <c r="CT29" i="1"/>
  <c r="CO30" i="1"/>
  <c r="CP30" i="1"/>
  <c r="CQ30" i="1"/>
  <c r="CR30" i="1"/>
  <c r="CS30" i="1"/>
  <c r="CT30" i="1"/>
  <c r="CO31" i="1"/>
  <c r="CP31" i="1"/>
  <c r="CQ31" i="1"/>
  <c r="CR31" i="1"/>
  <c r="CS31" i="1"/>
  <c r="CT31" i="1"/>
  <c r="CO32" i="1"/>
  <c r="CP32" i="1"/>
  <c r="CQ32" i="1"/>
  <c r="CR32" i="1"/>
  <c r="CS32" i="1"/>
  <c r="CT32" i="1"/>
  <c r="CO33" i="1"/>
  <c r="CP33" i="1"/>
  <c r="CQ33" i="1"/>
  <c r="CR33" i="1"/>
  <c r="CS33" i="1"/>
  <c r="CT33" i="1"/>
  <c r="CT2" i="1"/>
  <c r="CS2" i="1"/>
  <c r="CR2" i="1"/>
  <c r="CP2" i="1"/>
  <c r="CQ2" i="1"/>
  <c r="CO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2" i="1"/>
  <c r="BG33" i="1"/>
  <c r="BI33" i="1" s="1"/>
  <c r="BU33" i="1"/>
  <c r="BF33" i="1"/>
  <c r="BH33" i="1" s="1"/>
  <c r="BJ33" i="1" s="1"/>
  <c r="BT33" i="1"/>
  <c r="BE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ER35" i="1"/>
  <c r="ER34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2" i="1"/>
  <c r="DH32" i="1"/>
  <c r="DG32" i="1"/>
  <c r="DF32" i="1"/>
  <c r="DE32" i="1"/>
  <c r="DD32" i="1"/>
  <c r="DC32" i="1"/>
  <c r="DB32" i="1"/>
  <c r="CZ32" i="1"/>
  <c r="CY32" i="1"/>
  <c r="CX32" i="1"/>
  <c r="CW32" i="1"/>
  <c r="CV32" i="1"/>
  <c r="CU32" i="1"/>
  <c r="CG32" i="1"/>
  <c r="CF32" i="1"/>
  <c r="BU32" i="1"/>
  <c r="BT32" i="1"/>
  <c r="CI32" i="1"/>
  <c r="BG32" i="1"/>
  <c r="BW32" i="1" s="1"/>
  <c r="BF32" i="1"/>
  <c r="BV32" i="1" s="1"/>
  <c r="BE32" i="1"/>
  <c r="DH31" i="1"/>
  <c r="DG31" i="1"/>
  <c r="DF31" i="1"/>
  <c r="DE31" i="1"/>
  <c r="DD31" i="1"/>
  <c r="DC31" i="1"/>
  <c r="DB31" i="1"/>
  <c r="CZ31" i="1"/>
  <c r="CY31" i="1"/>
  <c r="CX31" i="1"/>
  <c r="CW31" i="1"/>
  <c r="CV31" i="1"/>
  <c r="CU31" i="1"/>
  <c r="BU31" i="1"/>
  <c r="BT31" i="1"/>
  <c r="BG31" i="1"/>
  <c r="BI31" i="1" s="1"/>
  <c r="BF31" i="1"/>
  <c r="BH31" i="1" s="1"/>
  <c r="BE31" i="1"/>
  <c r="DH30" i="1"/>
  <c r="DG30" i="1"/>
  <c r="DF30" i="1"/>
  <c r="DE30" i="1"/>
  <c r="DD30" i="1"/>
  <c r="DC30" i="1"/>
  <c r="DB30" i="1"/>
  <c r="CZ30" i="1"/>
  <c r="CY30" i="1"/>
  <c r="CX30" i="1"/>
  <c r="CW30" i="1"/>
  <c r="CV30" i="1"/>
  <c r="CU30" i="1"/>
  <c r="BU30" i="1"/>
  <c r="BT30" i="1"/>
  <c r="BG30" i="1"/>
  <c r="BI30" i="1" s="1"/>
  <c r="BY30" i="1" s="1"/>
  <c r="BF30" i="1"/>
  <c r="BV30" i="1" s="1"/>
  <c r="BE30" i="1"/>
  <c r="DH29" i="1"/>
  <c r="DG29" i="1"/>
  <c r="DF29" i="1"/>
  <c r="DE29" i="1"/>
  <c r="DD29" i="1"/>
  <c r="DC29" i="1"/>
  <c r="DB29" i="1"/>
  <c r="CZ29" i="1"/>
  <c r="CY29" i="1"/>
  <c r="CX29" i="1"/>
  <c r="CW29" i="1"/>
  <c r="CV29" i="1"/>
  <c r="CU29" i="1"/>
  <c r="BU29" i="1"/>
  <c r="BT29" i="1"/>
  <c r="BG29" i="1"/>
  <c r="BW29" i="1" s="1"/>
  <c r="BF29" i="1"/>
  <c r="BV29" i="1" s="1"/>
  <c r="BE29" i="1"/>
  <c r="DH28" i="1"/>
  <c r="DG28" i="1"/>
  <c r="DF28" i="1"/>
  <c r="DE28" i="1"/>
  <c r="DD28" i="1"/>
  <c r="DC28" i="1"/>
  <c r="DB28" i="1"/>
  <c r="CZ28" i="1"/>
  <c r="CY28" i="1"/>
  <c r="CX28" i="1"/>
  <c r="CW28" i="1"/>
  <c r="CV28" i="1"/>
  <c r="CU28" i="1"/>
  <c r="BU28" i="1"/>
  <c r="BT28" i="1"/>
  <c r="BG28" i="1"/>
  <c r="BW28" i="1" s="1"/>
  <c r="BF28" i="1"/>
  <c r="BV28" i="1" s="1"/>
  <c r="BE28" i="1"/>
  <c r="DH27" i="1"/>
  <c r="DG27" i="1"/>
  <c r="DF27" i="1"/>
  <c r="DE27" i="1"/>
  <c r="DD27" i="1"/>
  <c r="DC27" i="1"/>
  <c r="DB27" i="1"/>
  <c r="CZ27" i="1"/>
  <c r="CY27" i="1"/>
  <c r="CX27" i="1"/>
  <c r="CW27" i="1"/>
  <c r="CV27" i="1"/>
  <c r="CU27" i="1"/>
  <c r="BU27" i="1"/>
  <c r="BT27" i="1"/>
  <c r="BG27" i="1"/>
  <c r="BI27" i="1" s="1"/>
  <c r="BF27" i="1"/>
  <c r="BH27" i="1" s="1"/>
  <c r="BE27" i="1"/>
  <c r="DH26" i="1"/>
  <c r="DG26" i="1"/>
  <c r="DF26" i="1"/>
  <c r="DE26" i="1"/>
  <c r="DD26" i="1"/>
  <c r="DC26" i="1"/>
  <c r="DB26" i="1"/>
  <c r="CZ26" i="1"/>
  <c r="CY26" i="1"/>
  <c r="CX26" i="1"/>
  <c r="CW26" i="1"/>
  <c r="CV26" i="1"/>
  <c r="CU26" i="1"/>
  <c r="BU26" i="1"/>
  <c r="BT26" i="1"/>
  <c r="BG26" i="1"/>
  <c r="BI26" i="1" s="1"/>
  <c r="BY26" i="1" s="1"/>
  <c r="BF26" i="1"/>
  <c r="BH26" i="1" s="1"/>
  <c r="BX26" i="1" s="1"/>
  <c r="BE26" i="1"/>
  <c r="DH25" i="1"/>
  <c r="DG25" i="1"/>
  <c r="DF25" i="1"/>
  <c r="DE25" i="1"/>
  <c r="DD25" i="1"/>
  <c r="DC25" i="1"/>
  <c r="DB25" i="1"/>
  <c r="CZ25" i="1"/>
  <c r="CY25" i="1"/>
  <c r="CX25" i="1"/>
  <c r="CW25" i="1"/>
  <c r="CV25" i="1"/>
  <c r="CU25" i="1"/>
  <c r="BU25" i="1"/>
  <c r="BT25" i="1"/>
  <c r="BG25" i="1"/>
  <c r="BW25" i="1" s="1"/>
  <c r="BF25" i="1"/>
  <c r="BV25" i="1" s="1"/>
  <c r="BE25" i="1"/>
  <c r="DH24" i="1"/>
  <c r="DG24" i="1"/>
  <c r="DF24" i="1"/>
  <c r="DE24" i="1"/>
  <c r="DD24" i="1"/>
  <c r="DC24" i="1"/>
  <c r="DB24" i="1"/>
  <c r="CZ24" i="1"/>
  <c r="CY24" i="1"/>
  <c r="CX24" i="1"/>
  <c r="CW24" i="1"/>
  <c r="CV24" i="1"/>
  <c r="CU24" i="1"/>
  <c r="BU24" i="1"/>
  <c r="BT24" i="1"/>
  <c r="BG24" i="1"/>
  <c r="BW24" i="1" s="1"/>
  <c r="BF24" i="1"/>
  <c r="BV24" i="1" s="1"/>
  <c r="BE24" i="1"/>
  <c r="DH23" i="1"/>
  <c r="DG23" i="1"/>
  <c r="DF23" i="1"/>
  <c r="DE23" i="1"/>
  <c r="DD23" i="1"/>
  <c r="DC23" i="1"/>
  <c r="DB23" i="1"/>
  <c r="CZ23" i="1"/>
  <c r="CY23" i="1"/>
  <c r="CX23" i="1"/>
  <c r="CW23" i="1"/>
  <c r="CV23" i="1"/>
  <c r="CU23" i="1"/>
  <c r="BU23" i="1"/>
  <c r="BT23" i="1"/>
  <c r="BG23" i="1"/>
  <c r="BI23" i="1" s="1"/>
  <c r="BF23" i="1"/>
  <c r="BH23" i="1" s="1"/>
  <c r="BE23" i="1"/>
  <c r="DH22" i="1"/>
  <c r="DG22" i="1"/>
  <c r="DF22" i="1"/>
  <c r="DE22" i="1"/>
  <c r="DD22" i="1"/>
  <c r="DC22" i="1"/>
  <c r="DB22" i="1"/>
  <c r="CZ22" i="1"/>
  <c r="CY22" i="1"/>
  <c r="CX22" i="1"/>
  <c r="CW22" i="1"/>
  <c r="CV22" i="1"/>
  <c r="CU22" i="1"/>
  <c r="CG22" i="1"/>
  <c r="CF22" i="1"/>
  <c r="BU22" i="1"/>
  <c r="BT22" i="1"/>
  <c r="CK22" i="1"/>
  <c r="BG22" i="1"/>
  <c r="BI22" i="1" s="1"/>
  <c r="BY22" i="1" s="1"/>
  <c r="BF22" i="1"/>
  <c r="BV22" i="1" s="1"/>
  <c r="BE22" i="1"/>
  <c r="DH21" i="1"/>
  <c r="DG21" i="1"/>
  <c r="DF21" i="1"/>
  <c r="DE21" i="1"/>
  <c r="DD21" i="1"/>
  <c r="DC21" i="1"/>
  <c r="DB21" i="1"/>
  <c r="CZ21" i="1"/>
  <c r="CY21" i="1"/>
  <c r="CX21" i="1"/>
  <c r="CW21" i="1"/>
  <c r="CV21" i="1"/>
  <c r="CU21" i="1"/>
  <c r="BU21" i="1"/>
  <c r="BT21" i="1"/>
  <c r="BG21" i="1"/>
  <c r="BW21" i="1" s="1"/>
  <c r="BF21" i="1"/>
  <c r="BV21" i="1" s="1"/>
  <c r="BE21" i="1"/>
  <c r="DH20" i="1"/>
  <c r="DG20" i="1"/>
  <c r="DF20" i="1"/>
  <c r="DE20" i="1"/>
  <c r="DD20" i="1"/>
  <c r="DC20" i="1"/>
  <c r="DB20" i="1"/>
  <c r="CZ20" i="1"/>
  <c r="CY20" i="1"/>
  <c r="CX20" i="1"/>
  <c r="CW20" i="1"/>
  <c r="CV20" i="1"/>
  <c r="CU20" i="1"/>
  <c r="BU20" i="1"/>
  <c r="BT20" i="1"/>
  <c r="BG20" i="1"/>
  <c r="BW20" i="1" s="1"/>
  <c r="BF20" i="1"/>
  <c r="BV20" i="1" s="1"/>
  <c r="BE20" i="1"/>
  <c r="DH19" i="1"/>
  <c r="DG19" i="1"/>
  <c r="DF19" i="1"/>
  <c r="DE19" i="1"/>
  <c r="DD19" i="1"/>
  <c r="DC19" i="1"/>
  <c r="DB19" i="1"/>
  <c r="CZ19" i="1"/>
  <c r="CY19" i="1"/>
  <c r="CX19" i="1"/>
  <c r="CW19" i="1"/>
  <c r="CV19" i="1"/>
  <c r="CU19" i="1"/>
  <c r="BU19" i="1"/>
  <c r="BT19" i="1"/>
  <c r="BG19" i="1"/>
  <c r="BW19" i="1" s="1"/>
  <c r="BF19" i="1"/>
  <c r="BH19" i="1" s="1"/>
  <c r="BE19" i="1"/>
  <c r="DH18" i="1"/>
  <c r="DG18" i="1"/>
  <c r="DF18" i="1"/>
  <c r="DE18" i="1"/>
  <c r="DD18" i="1"/>
  <c r="DC18" i="1"/>
  <c r="DB18" i="1"/>
  <c r="CZ18" i="1"/>
  <c r="CY18" i="1"/>
  <c r="CX18" i="1"/>
  <c r="CW18" i="1"/>
  <c r="CV18" i="1"/>
  <c r="CU18" i="1"/>
  <c r="BU18" i="1"/>
  <c r="BT18" i="1"/>
  <c r="BG18" i="1"/>
  <c r="BW18" i="1" s="1"/>
  <c r="BF18" i="1"/>
  <c r="BH18" i="1" s="1"/>
  <c r="BX18" i="1" s="1"/>
  <c r="BE18" i="1"/>
  <c r="DH17" i="1"/>
  <c r="DG17" i="1"/>
  <c r="DF17" i="1"/>
  <c r="DE17" i="1"/>
  <c r="DD17" i="1"/>
  <c r="DC17" i="1"/>
  <c r="DB17" i="1"/>
  <c r="CZ17" i="1"/>
  <c r="CY17" i="1"/>
  <c r="CX17" i="1"/>
  <c r="CW17" i="1"/>
  <c r="CV17" i="1"/>
  <c r="CU17" i="1"/>
  <c r="BU17" i="1"/>
  <c r="BT17" i="1"/>
  <c r="BG17" i="1"/>
  <c r="BW17" i="1" s="1"/>
  <c r="BF17" i="1"/>
  <c r="BV17" i="1" s="1"/>
  <c r="BE17" i="1"/>
  <c r="DH16" i="1"/>
  <c r="DG16" i="1"/>
  <c r="DF16" i="1"/>
  <c r="DE16" i="1"/>
  <c r="DD16" i="1"/>
  <c r="DC16" i="1"/>
  <c r="DB16" i="1"/>
  <c r="CZ16" i="1"/>
  <c r="CY16" i="1"/>
  <c r="CX16" i="1"/>
  <c r="CW16" i="1"/>
  <c r="CV16" i="1"/>
  <c r="CU16" i="1"/>
  <c r="BU16" i="1"/>
  <c r="BT16" i="1"/>
  <c r="BG16" i="1"/>
  <c r="BW16" i="1" s="1"/>
  <c r="BF16" i="1"/>
  <c r="BV16" i="1" s="1"/>
  <c r="BE16" i="1"/>
  <c r="DH15" i="1"/>
  <c r="DG15" i="1"/>
  <c r="DF15" i="1"/>
  <c r="DE15" i="1"/>
  <c r="DD15" i="1"/>
  <c r="DC15" i="1"/>
  <c r="DB15" i="1"/>
  <c r="CZ15" i="1"/>
  <c r="CY15" i="1"/>
  <c r="CX15" i="1"/>
  <c r="CW15" i="1"/>
  <c r="CV15" i="1"/>
  <c r="CU15" i="1"/>
  <c r="BU15" i="1"/>
  <c r="BT15" i="1"/>
  <c r="BG15" i="1"/>
  <c r="BW15" i="1" s="1"/>
  <c r="BF15" i="1"/>
  <c r="BH15" i="1" s="1"/>
  <c r="BE15" i="1"/>
  <c r="DH14" i="1"/>
  <c r="DG14" i="1"/>
  <c r="DF14" i="1"/>
  <c r="DE14" i="1"/>
  <c r="DD14" i="1"/>
  <c r="DC14" i="1"/>
  <c r="DB14" i="1"/>
  <c r="CZ14" i="1"/>
  <c r="CY14" i="1"/>
  <c r="CX14" i="1"/>
  <c r="CW14" i="1"/>
  <c r="CV14" i="1"/>
  <c r="CU14" i="1"/>
  <c r="BU14" i="1"/>
  <c r="BT14" i="1"/>
  <c r="BG14" i="1"/>
  <c r="BW14" i="1" s="1"/>
  <c r="BF14" i="1"/>
  <c r="BH14" i="1" s="1"/>
  <c r="BX14" i="1" s="1"/>
  <c r="BE14" i="1"/>
  <c r="DH13" i="1"/>
  <c r="DG13" i="1"/>
  <c r="DF13" i="1"/>
  <c r="DE13" i="1"/>
  <c r="DD13" i="1"/>
  <c r="DC13" i="1"/>
  <c r="DB13" i="1"/>
  <c r="CZ13" i="1"/>
  <c r="CY13" i="1"/>
  <c r="CX13" i="1"/>
  <c r="CW13" i="1"/>
  <c r="CV13" i="1"/>
  <c r="CU13" i="1"/>
  <c r="BU13" i="1"/>
  <c r="BT13" i="1"/>
  <c r="BG13" i="1"/>
  <c r="BW13" i="1" s="1"/>
  <c r="BF13" i="1"/>
  <c r="BV13" i="1" s="1"/>
  <c r="BE13" i="1"/>
  <c r="DH12" i="1"/>
  <c r="DG12" i="1"/>
  <c r="DF12" i="1"/>
  <c r="DE12" i="1"/>
  <c r="DD12" i="1"/>
  <c r="DC12" i="1"/>
  <c r="DB12" i="1"/>
  <c r="CZ12" i="1"/>
  <c r="CY12" i="1"/>
  <c r="CX12" i="1"/>
  <c r="CW12" i="1"/>
  <c r="CV12" i="1"/>
  <c r="CU12" i="1"/>
  <c r="CG12" i="1"/>
  <c r="CF12" i="1"/>
  <c r="BU12" i="1"/>
  <c r="BT12" i="1"/>
  <c r="CI12" i="1"/>
  <c r="BG12" i="1"/>
  <c r="BW12" i="1" s="1"/>
  <c r="BF12" i="1"/>
  <c r="BV12" i="1" s="1"/>
  <c r="BE12" i="1"/>
  <c r="DH11" i="1"/>
  <c r="DG11" i="1"/>
  <c r="DF11" i="1"/>
  <c r="DE11" i="1"/>
  <c r="DD11" i="1"/>
  <c r="DC11" i="1"/>
  <c r="DB11" i="1"/>
  <c r="CZ11" i="1"/>
  <c r="CY11" i="1"/>
  <c r="CX11" i="1"/>
  <c r="CW11" i="1"/>
  <c r="CV11" i="1"/>
  <c r="CU11" i="1"/>
  <c r="BU11" i="1"/>
  <c r="BT11" i="1"/>
  <c r="BG11" i="1"/>
  <c r="BW11" i="1" s="1"/>
  <c r="BF11" i="1"/>
  <c r="BH11" i="1" s="1"/>
  <c r="BE11" i="1"/>
  <c r="DH10" i="1"/>
  <c r="DG10" i="1"/>
  <c r="DF10" i="1"/>
  <c r="DE10" i="1"/>
  <c r="DD10" i="1"/>
  <c r="DC10" i="1"/>
  <c r="DB10" i="1"/>
  <c r="CZ10" i="1"/>
  <c r="CY10" i="1"/>
  <c r="CX10" i="1"/>
  <c r="CW10" i="1"/>
  <c r="CV10" i="1"/>
  <c r="CU10" i="1"/>
  <c r="BU10" i="1"/>
  <c r="BT10" i="1"/>
  <c r="BG10" i="1"/>
  <c r="BI10" i="1" s="1"/>
  <c r="BY10" i="1" s="1"/>
  <c r="BF10" i="1"/>
  <c r="BV10" i="1" s="1"/>
  <c r="BE10" i="1"/>
  <c r="DH9" i="1"/>
  <c r="DG9" i="1"/>
  <c r="DF9" i="1"/>
  <c r="DE9" i="1"/>
  <c r="DD9" i="1"/>
  <c r="DC9" i="1"/>
  <c r="DB9" i="1"/>
  <c r="CZ9" i="1"/>
  <c r="CY9" i="1"/>
  <c r="CX9" i="1"/>
  <c r="CW9" i="1"/>
  <c r="CV9" i="1"/>
  <c r="CU9" i="1"/>
  <c r="BU9" i="1"/>
  <c r="BT9" i="1"/>
  <c r="BG9" i="1"/>
  <c r="BW9" i="1" s="1"/>
  <c r="BF9" i="1"/>
  <c r="BV9" i="1" s="1"/>
  <c r="BE9" i="1"/>
  <c r="DH8" i="1"/>
  <c r="DG8" i="1"/>
  <c r="DF8" i="1"/>
  <c r="DE8" i="1"/>
  <c r="DD8" i="1"/>
  <c r="DC8" i="1"/>
  <c r="DB8" i="1"/>
  <c r="CZ8" i="1"/>
  <c r="CY8" i="1"/>
  <c r="CX8" i="1"/>
  <c r="CW8" i="1"/>
  <c r="CV8" i="1"/>
  <c r="CU8" i="1"/>
  <c r="BU8" i="1"/>
  <c r="BT8" i="1"/>
  <c r="BG8" i="1"/>
  <c r="BW8" i="1" s="1"/>
  <c r="BF8" i="1"/>
  <c r="BV8" i="1" s="1"/>
  <c r="BE8" i="1"/>
  <c r="DH7" i="1"/>
  <c r="DG7" i="1"/>
  <c r="DF7" i="1"/>
  <c r="DE7" i="1"/>
  <c r="DD7" i="1"/>
  <c r="DC7" i="1"/>
  <c r="DB7" i="1"/>
  <c r="CZ7" i="1"/>
  <c r="CY7" i="1"/>
  <c r="CX7" i="1"/>
  <c r="CW7" i="1"/>
  <c r="CV7" i="1"/>
  <c r="CU7" i="1"/>
  <c r="BU7" i="1"/>
  <c r="BT7" i="1"/>
  <c r="BG7" i="1"/>
  <c r="BI7" i="1" s="1"/>
  <c r="BF7" i="1"/>
  <c r="BH7" i="1" s="1"/>
  <c r="BE7" i="1"/>
  <c r="DH6" i="1"/>
  <c r="DG6" i="1"/>
  <c r="DF6" i="1"/>
  <c r="DE6" i="1"/>
  <c r="DD6" i="1"/>
  <c r="DC6" i="1"/>
  <c r="DB6" i="1"/>
  <c r="CZ6" i="1"/>
  <c r="CY6" i="1"/>
  <c r="CX6" i="1"/>
  <c r="CW6" i="1"/>
  <c r="CV6" i="1"/>
  <c r="CU6" i="1"/>
  <c r="BU6" i="1"/>
  <c r="BT6" i="1"/>
  <c r="BG6" i="1"/>
  <c r="BW6" i="1" s="1"/>
  <c r="BF6" i="1"/>
  <c r="BV6" i="1" s="1"/>
  <c r="BE6" i="1"/>
  <c r="DH5" i="1"/>
  <c r="DG5" i="1"/>
  <c r="DF5" i="1"/>
  <c r="DE5" i="1"/>
  <c r="DD5" i="1"/>
  <c r="DC5" i="1"/>
  <c r="DB5" i="1"/>
  <c r="CZ5" i="1"/>
  <c r="CY5" i="1"/>
  <c r="CX5" i="1"/>
  <c r="CW5" i="1"/>
  <c r="CV5" i="1"/>
  <c r="CU5" i="1"/>
  <c r="BU5" i="1"/>
  <c r="BT5" i="1"/>
  <c r="BG5" i="1"/>
  <c r="BW5" i="1" s="1"/>
  <c r="BF5" i="1"/>
  <c r="BV5" i="1" s="1"/>
  <c r="BE5" i="1"/>
  <c r="DH4" i="1"/>
  <c r="DG4" i="1"/>
  <c r="DF4" i="1"/>
  <c r="DE4" i="1"/>
  <c r="DD4" i="1"/>
  <c r="DC4" i="1"/>
  <c r="DB4" i="1"/>
  <c r="CZ4" i="1"/>
  <c r="CY4" i="1"/>
  <c r="CX4" i="1"/>
  <c r="CW4" i="1"/>
  <c r="CV4" i="1"/>
  <c r="CU4" i="1"/>
  <c r="BU4" i="1"/>
  <c r="BT4" i="1"/>
  <c r="BG4" i="1"/>
  <c r="BW4" i="1" s="1"/>
  <c r="BF4" i="1"/>
  <c r="BV4" i="1" s="1"/>
  <c r="BE4" i="1"/>
  <c r="DH3" i="1"/>
  <c r="DG3" i="1"/>
  <c r="DF3" i="1"/>
  <c r="DE3" i="1"/>
  <c r="DD3" i="1"/>
  <c r="DC3" i="1"/>
  <c r="DB3" i="1"/>
  <c r="CZ3" i="1"/>
  <c r="CY3" i="1"/>
  <c r="CX3" i="1"/>
  <c r="CW3" i="1"/>
  <c r="CV3" i="1"/>
  <c r="CU3" i="1"/>
  <c r="BU3" i="1"/>
  <c r="BT3" i="1"/>
  <c r="BG3" i="1"/>
  <c r="BI3" i="1" s="1"/>
  <c r="BF3" i="1"/>
  <c r="BH3" i="1" s="1"/>
  <c r="BE3" i="1"/>
  <c r="DH2" i="1"/>
  <c r="DG2" i="1"/>
  <c r="DF2" i="1"/>
  <c r="DE2" i="1"/>
  <c r="DD2" i="1"/>
  <c r="DC2" i="1"/>
  <c r="DB2" i="1"/>
  <c r="CZ2" i="1"/>
  <c r="CY2" i="1"/>
  <c r="CX2" i="1"/>
  <c r="CW2" i="1"/>
  <c r="CV2" i="1"/>
  <c r="CU2" i="1"/>
  <c r="CG2" i="1"/>
  <c r="CF2" i="1"/>
  <c r="BU2" i="1"/>
  <c r="BT2" i="1"/>
  <c r="CK2" i="1"/>
  <c r="BG2" i="1"/>
  <c r="BI2" i="1" s="1"/>
  <c r="BY2" i="1" s="1"/>
  <c r="BF2" i="1"/>
  <c r="BV2" i="1" s="1"/>
  <c r="BE2" i="1"/>
  <c r="G2" i="1"/>
  <c r="NN180" i="1" l="1"/>
  <c r="NL180" i="1"/>
  <c r="NC179" i="1"/>
  <c r="NL179" i="1"/>
  <c r="AE177" i="1" a="1"/>
  <c r="AE177" i="1" s="1"/>
  <c r="AE178" i="1" a="1"/>
  <c r="AE178" i="1" s="1"/>
  <c r="BK23" i="4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J225" i="1" a="1"/>
  <c r="AJ225" i="1" s="1"/>
  <c r="AI226" i="1" s="1" a="1"/>
  <c r="AI226" i="1" s="1"/>
  <c r="AK226" i="1" s="1"/>
  <c r="EW226" i="1" s="1"/>
  <c r="HS269" i="1"/>
  <c r="CE270" i="1"/>
  <c r="HT269" i="1"/>
  <c r="HU267" i="1"/>
  <c r="HE267" i="1"/>
  <c r="HW267" i="1" s="1"/>
  <c r="CJ2" i="1"/>
  <c r="CH32" i="1"/>
  <c r="CH12" i="1"/>
  <c r="FG34" i="1"/>
  <c r="CH22" i="1"/>
  <c r="QE438" i="1"/>
  <c r="X440" i="1"/>
  <c r="X441" i="1" s="1"/>
  <c r="X443" i="1" s="1"/>
  <c r="RX433" i="1"/>
  <c r="RS433" i="1"/>
  <c r="RR433" i="1"/>
  <c r="RT433" i="1"/>
  <c r="RQ433" i="1"/>
  <c r="RY433" i="1"/>
  <c r="RP433" i="1"/>
  <c r="RN433" i="1"/>
  <c r="RU433" i="1"/>
  <c r="RO433" i="1"/>
  <c r="RW433" i="1"/>
  <c r="RV433" i="1"/>
  <c r="DH499" i="1"/>
  <c r="CW499" i="1"/>
  <c r="CO499" i="1"/>
  <c r="CU499" i="1"/>
  <c r="DA499" i="1"/>
  <c r="DG499" i="1"/>
  <c r="CP499" i="1"/>
  <c r="CV499" i="1"/>
  <c r="DB499" i="1"/>
  <c r="CQ499" i="1"/>
  <c r="BE499" i="1"/>
  <c r="DF499" i="1"/>
  <c r="CX499" i="1"/>
  <c r="DC499" i="1"/>
  <c r="CL499" i="1"/>
  <c r="CT499" i="1"/>
  <c r="CM499" i="1"/>
  <c r="CR499" i="1"/>
  <c r="CY499" i="1"/>
  <c r="DD499" i="1"/>
  <c r="CN499" i="1"/>
  <c r="CS499" i="1"/>
  <c r="CZ499" i="1"/>
  <c r="DE499" i="1"/>
  <c r="HY44" i="1"/>
  <c r="X57" i="1"/>
  <c r="X58" i="1" s="1"/>
  <c r="Y51" i="1" a="1"/>
  <c r="Y51" i="1" s="1"/>
  <c r="AA51" i="1" s="1"/>
  <c r="HG51" i="1" s="1"/>
  <c r="Y56" i="1" a="1"/>
  <c r="Y56" i="1" s="1"/>
  <c r="AA56" i="1" s="1"/>
  <c r="UH312" i="1"/>
  <c r="UI312" i="1" s="1"/>
  <c r="UG313" i="1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V267" i="1"/>
  <c r="HX267" i="1"/>
  <c r="GW267" i="1"/>
  <c r="HM267" i="1" s="1"/>
  <c r="HK267" i="1"/>
  <c r="HJ267" i="1"/>
  <c r="GV267" i="1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AA43" i="1"/>
  <c r="AB43" i="1"/>
  <c r="HH43" i="1" s="1"/>
  <c r="U45" i="1"/>
  <c r="IJ45" i="1" s="1"/>
  <c r="KJ186" i="1"/>
  <c r="KK186" i="1" s="1"/>
  <c r="NF179" i="1"/>
  <c r="NO179" i="1" s="1"/>
  <c r="NM180" i="1"/>
  <c r="NK179" i="1"/>
  <c r="NP180" i="1"/>
  <c r="LR172" i="1"/>
  <c r="IJ44" i="1"/>
  <c r="IL44" i="1"/>
  <c r="IK44" i="1"/>
  <c r="IE44" i="1"/>
  <c r="IQ44" i="1"/>
  <c r="ID44" i="1"/>
  <c r="IP44" i="1"/>
  <c r="IC44" i="1"/>
  <c r="IO44" i="1"/>
  <c r="IB44" i="1"/>
  <c r="IN44" i="1"/>
  <c r="IA44" i="1"/>
  <c r="IM44" i="1"/>
  <c r="HZ44" i="1"/>
  <c r="GT44" i="1"/>
  <c r="II44" i="1"/>
  <c r="IH44" i="1"/>
  <c r="IG44" i="1"/>
  <c r="IF44" i="1"/>
  <c r="HL45" i="1"/>
  <c r="GZ45" i="1"/>
  <c r="HB45" i="1" s="1"/>
  <c r="HN45" i="1"/>
  <c r="GY45" i="1"/>
  <c r="HO45" i="1" s="1"/>
  <c r="HM45" i="1"/>
  <c r="HK45" i="1"/>
  <c r="GZ55" i="1"/>
  <c r="HN55" i="1"/>
  <c r="GY48" i="1"/>
  <c r="HM48" i="1"/>
  <c r="GY50" i="1"/>
  <c r="HM50" i="1"/>
  <c r="GZ52" i="1"/>
  <c r="HN52" i="1"/>
  <c r="GY52" i="1"/>
  <c r="HM52" i="1"/>
  <c r="GZ47" i="1"/>
  <c r="HN47" i="1"/>
  <c r="GZ54" i="1"/>
  <c r="HN54" i="1"/>
  <c r="GY47" i="1"/>
  <c r="HM47" i="1"/>
  <c r="GY54" i="1"/>
  <c r="HM54" i="1"/>
  <c r="GZ49" i="1"/>
  <c r="HN49" i="1"/>
  <c r="GZ50" i="1"/>
  <c r="HN50" i="1"/>
  <c r="GY49" i="1"/>
  <c r="HM49" i="1"/>
  <c r="GZ51" i="1"/>
  <c r="HN51" i="1"/>
  <c r="GY55" i="1"/>
  <c r="HM55" i="1"/>
  <c r="GY51" i="1"/>
  <c r="HM51" i="1"/>
  <c r="GZ46" i="1"/>
  <c r="HN46" i="1"/>
  <c r="GZ53" i="1"/>
  <c r="HN53" i="1"/>
  <c r="GY46" i="1"/>
  <c r="HM46" i="1"/>
  <c r="GY53" i="1"/>
  <c r="HM53" i="1"/>
  <c r="GZ48" i="1"/>
  <c r="HN48" i="1"/>
  <c r="HL55" i="1"/>
  <c r="HL54" i="1"/>
  <c r="HL53" i="1"/>
  <c r="HL52" i="1"/>
  <c r="HL51" i="1"/>
  <c r="HL50" i="1"/>
  <c r="HL49" i="1"/>
  <c r="HL48" i="1"/>
  <c r="HL47" i="1"/>
  <c r="HL46" i="1"/>
  <c r="HK55" i="1"/>
  <c r="HK54" i="1"/>
  <c r="HK53" i="1"/>
  <c r="HK52" i="1"/>
  <c r="HK51" i="1"/>
  <c r="HK50" i="1"/>
  <c r="HK49" i="1"/>
  <c r="HK48" i="1"/>
  <c r="HK47" i="1"/>
  <c r="HK46" i="1"/>
  <c r="GZ44" i="1"/>
  <c r="HN44" i="1"/>
  <c r="GY44" i="1"/>
  <c r="HM44" i="1"/>
  <c r="HL44" i="1"/>
  <c r="HK44" i="1"/>
  <c r="HM43" i="1"/>
  <c r="HN43" i="1"/>
  <c r="GY43" i="1"/>
  <c r="GZ43" i="1"/>
  <c r="HL43" i="1"/>
  <c r="HK43" i="1"/>
  <c r="FB42" i="1"/>
  <c r="EV41" i="1"/>
  <c r="FD41" i="1" s="1"/>
  <c r="FB40" i="1"/>
  <c r="EV39" i="1"/>
  <c r="FD39" i="1" s="1"/>
  <c r="FB38" i="1"/>
  <c r="EV37" i="1"/>
  <c r="FD37" i="1" s="1"/>
  <c r="FB36" i="1"/>
  <c r="FA42" i="1"/>
  <c r="EU41" i="1"/>
  <c r="FC41" i="1" s="1"/>
  <c r="FA40" i="1"/>
  <c r="EU39" i="1"/>
  <c r="FC39" i="1" s="1"/>
  <c r="FA38" i="1"/>
  <c r="EU37" i="1"/>
  <c r="FC37" i="1" s="1"/>
  <c r="FA36" i="1"/>
  <c r="FA34" i="1"/>
  <c r="AJ34" i="1" s="1" a="1"/>
  <c r="AJ34" i="1" s="1"/>
  <c r="AI35" i="1" s="1" a="1"/>
  <c r="AI35" i="1" s="1"/>
  <c r="FB34" i="1"/>
  <c r="AE34" i="1" s="1" a="1"/>
  <c r="AE34" i="1" s="1"/>
  <c r="AD35" i="1" s="1" a="1"/>
  <c r="AD35" i="1" s="1"/>
  <c r="FB35" i="1"/>
  <c r="FA35" i="1"/>
  <c r="BV33" i="1"/>
  <c r="BI18" i="1"/>
  <c r="BY18" i="1" s="1"/>
  <c r="BW33" i="1"/>
  <c r="BK33" i="1"/>
  <c r="BY33" i="1"/>
  <c r="BZ33" i="1"/>
  <c r="BX33" i="1"/>
  <c r="BW2" i="1"/>
  <c r="BV14" i="1"/>
  <c r="BI11" i="1"/>
  <c r="BY11" i="1" s="1"/>
  <c r="BW3" i="1"/>
  <c r="CH2" i="1"/>
  <c r="BY3" i="1"/>
  <c r="BK3" i="1"/>
  <c r="BM3" i="1" s="1"/>
  <c r="BW7" i="1"/>
  <c r="BH10" i="1"/>
  <c r="BX10" i="1" s="1"/>
  <c r="BH28" i="1"/>
  <c r="BX28" i="1" s="1"/>
  <c r="BW31" i="1"/>
  <c r="CI2" i="1"/>
  <c r="BH2" i="1"/>
  <c r="BJ2" i="1" s="1"/>
  <c r="BH22" i="1"/>
  <c r="BX22" i="1" s="1"/>
  <c r="BW30" i="1"/>
  <c r="BH4" i="1"/>
  <c r="BJ4" i="1" s="1"/>
  <c r="BL4" i="1" s="1"/>
  <c r="BW10" i="1"/>
  <c r="BI14" i="1"/>
  <c r="BY14" i="1" s="1"/>
  <c r="BH24" i="1"/>
  <c r="BX24" i="1" s="1"/>
  <c r="BH30" i="1"/>
  <c r="BX30" i="1" s="1"/>
  <c r="BK27" i="1"/>
  <c r="CA27" i="1" s="1"/>
  <c r="BY27" i="1"/>
  <c r="BW27" i="1"/>
  <c r="BY23" i="1"/>
  <c r="BK23" i="1"/>
  <c r="CA23" i="1" s="1"/>
  <c r="BV26" i="1"/>
  <c r="BW26" i="1"/>
  <c r="BW22" i="1"/>
  <c r="BW23" i="1"/>
  <c r="BI19" i="1"/>
  <c r="BH20" i="1"/>
  <c r="BX20" i="1" s="1"/>
  <c r="BV18" i="1"/>
  <c r="BI15" i="1"/>
  <c r="BH16" i="1"/>
  <c r="BX16" i="1" s="1"/>
  <c r="BH12" i="1"/>
  <c r="BY7" i="1"/>
  <c r="BK7" i="1"/>
  <c r="CA7" i="1" s="1"/>
  <c r="BH8" i="1"/>
  <c r="CI22" i="1"/>
  <c r="CJ22" i="1"/>
  <c r="BI6" i="1"/>
  <c r="BY6" i="1" s="1"/>
  <c r="BH6" i="1"/>
  <c r="BX6" i="1" s="1"/>
  <c r="BX7" i="1"/>
  <c r="BJ7" i="1"/>
  <c r="BX11" i="1"/>
  <c r="BJ11" i="1"/>
  <c r="BX27" i="1"/>
  <c r="BJ27" i="1"/>
  <c r="BX23" i="1"/>
  <c r="BJ23" i="1"/>
  <c r="BX31" i="1"/>
  <c r="BJ31" i="1"/>
  <c r="BX15" i="1"/>
  <c r="BJ15" i="1"/>
  <c r="BK31" i="1"/>
  <c r="BY31" i="1"/>
  <c r="BX3" i="1"/>
  <c r="BJ3" i="1"/>
  <c r="BX19" i="1"/>
  <c r="BJ19" i="1"/>
  <c r="BV3" i="1"/>
  <c r="BV7" i="1"/>
  <c r="BV11" i="1"/>
  <c r="BV15" i="1"/>
  <c r="BV19" i="1"/>
  <c r="BV23" i="1"/>
  <c r="BV27" i="1"/>
  <c r="BV31" i="1"/>
  <c r="BJ14" i="1"/>
  <c r="BJ18" i="1"/>
  <c r="BJ26" i="1"/>
  <c r="BH5" i="1"/>
  <c r="BH9" i="1"/>
  <c r="BK10" i="1"/>
  <c r="BH13" i="1"/>
  <c r="BH17" i="1"/>
  <c r="BH21" i="1"/>
  <c r="BK22" i="1"/>
  <c r="BH25" i="1"/>
  <c r="BK26" i="1"/>
  <c r="BH29" i="1"/>
  <c r="BK30" i="1"/>
  <c r="BK2" i="1"/>
  <c r="BI5" i="1"/>
  <c r="BI9" i="1"/>
  <c r="CJ12" i="1"/>
  <c r="BI13" i="1"/>
  <c r="BI17" i="1"/>
  <c r="BI21" i="1"/>
  <c r="BI25" i="1"/>
  <c r="BI29" i="1"/>
  <c r="CJ32" i="1"/>
  <c r="CK12" i="1"/>
  <c r="CK32" i="1"/>
  <c r="BH32" i="1"/>
  <c r="BI4" i="1"/>
  <c r="BI8" i="1"/>
  <c r="BI12" i="1"/>
  <c r="BI16" i="1"/>
  <c r="BI20" i="1"/>
  <c r="BI24" i="1"/>
  <c r="BI28" i="1"/>
  <c r="BI32" i="1"/>
  <c r="NE179" i="1" l="1"/>
  <c r="NP179" i="1" s="1"/>
  <c r="NN179" i="1"/>
  <c r="HM51" i="4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AL226" i="1"/>
  <c r="EX226" i="1" s="1"/>
  <c r="FH226" i="1" s="1"/>
  <c r="AK35" i="1"/>
  <c r="EW35" i="1" s="1"/>
  <c r="AL35" i="1"/>
  <c r="EX35" i="1" s="1"/>
  <c r="FE226" i="1"/>
  <c r="QE443" i="1"/>
  <c r="Y445" i="1" a="1"/>
  <c r="Y445" i="1" s="1"/>
  <c r="X446" i="1"/>
  <c r="X492" i="1" s="1"/>
  <c r="X493" i="1" s="1"/>
  <c r="X494" i="1" s="1"/>
  <c r="Y502" i="1" s="1" a="1"/>
  <c r="Y502" i="1" s="1"/>
  <c r="RV438" i="1"/>
  <c r="RU438" i="1"/>
  <c r="RP438" i="1"/>
  <c r="RO438" i="1"/>
  <c r="RT438" i="1"/>
  <c r="RN438" i="1"/>
  <c r="RS438" i="1"/>
  <c r="RR438" i="1"/>
  <c r="RQ438" i="1"/>
  <c r="RY438" i="1"/>
  <c r="RX438" i="1"/>
  <c r="RW438" i="1"/>
  <c r="AB56" i="1"/>
  <c r="AB51" i="1"/>
  <c r="HH51" i="1" s="1"/>
  <c r="UG314" i="1"/>
  <c r="UH313" i="1"/>
  <c r="UI313" i="1" s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GY267" i="1"/>
  <c r="HO267" i="1" s="1"/>
  <c r="GX267" i="1"/>
  <c r="HL267" i="1"/>
  <c r="CD268" i="1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IB45" i="1"/>
  <c r="II45" i="1"/>
  <c r="IF45" i="1"/>
  <c r="ID45" i="1"/>
  <c r="X59" i="1"/>
  <c r="IC45" i="1"/>
  <c r="IL45" i="1"/>
  <c r="IA45" i="1"/>
  <c r="IM45" i="1"/>
  <c r="IN45" i="1"/>
  <c r="U46" i="1"/>
  <c r="IP46" i="1" s="1"/>
  <c r="IE45" i="1"/>
  <c r="IG45" i="1"/>
  <c r="IQ45" i="1"/>
  <c r="HY45" i="1"/>
  <c r="IH45" i="1"/>
  <c r="IK45" i="1"/>
  <c r="IP45" i="1"/>
  <c r="GT45" i="1"/>
  <c r="IO45" i="1"/>
  <c r="HZ45" i="1"/>
  <c r="LR173" i="1"/>
  <c r="LS172" i="1"/>
  <c r="LT172" i="1" s="1"/>
  <c r="HA45" i="1"/>
  <c r="HC45" i="1" s="1"/>
  <c r="HS45" i="1" s="1"/>
  <c r="HP45" i="1"/>
  <c r="HA50" i="1"/>
  <c r="HO50" i="1"/>
  <c r="HA47" i="1"/>
  <c r="HO47" i="1"/>
  <c r="HA51" i="1"/>
  <c r="HO51" i="1"/>
  <c r="HB46" i="1"/>
  <c r="HP46" i="1"/>
  <c r="HB53" i="1"/>
  <c r="HP53" i="1"/>
  <c r="HA55" i="1"/>
  <c r="HO55" i="1"/>
  <c r="HB50" i="1"/>
  <c r="HP50" i="1"/>
  <c r="HB54" i="1"/>
  <c r="HP54" i="1"/>
  <c r="HB52" i="1"/>
  <c r="HP52" i="1"/>
  <c r="HB49" i="1"/>
  <c r="HP49" i="1"/>
  <c r="HR45" i="1"/>
  <c r="HD45" i="1"/>
  <c r="HT45" i="1" s="1"/>
  <c r="HA48" i="1"/>
  <c r="HO48" i="1"/>
  <c r="HA46" i="1"/>
  <c r="HO46" i="1"/>
  <c r="HA53" i="1"/>
  <c r="HO53" i="1"/>
  <c r="HB51" i="1"/>
  <c r="HP51" i="1"/>
  <c r="HA54" i="1"/>
  <c r="HO54" i="1"/>
  <c r="HA49" i="1"/>
  <c r="HO49" i="1"/>
  <c r="HB47" i="1"/>
  <c r="HP47" i="1"/>
  <c r="HB55" i="1"/>
  <c r="HP55" i="1"/>
  <c r="HB48" i="1"/>
  <c r="HP48" i="1"/>
  <c r="HA52" i="1"/>
  <c r="HO52" i="1"/>
  <c r="HA44" i="1"/>
  <c r="HO44" i="1"/>
  <c r="HB44" i="1"/>
  <c r="HP44" i="1"/>
  <c r="HB43" i="1"/>
  <c r="HR43" i="1" s="1"/>
  <c r="HP43" i="1"/>
  <c r="HA43" i="1"/>
  <c r="HO43" i="1"/>
  <c r="BK18" i="1"/>
  <c r="CA18" i="1" s="1"/>
  <c r="BJ28" i="1"/>
  <c r="BZ28" i="1" s="1"/>
  <c r="BK11" i="1"/>
  <c r="CA11" i="1" s="1"/>
  <c r="CA33" i="1"/>
  <c r="BJ10" i="1"/>
  <c r="BL10" i="1" s="1"/>
  <c r="BK6" i="1"/>
  <c r="CA6" i="1" s="1"/>
  <c r="BJ24" i="1"/>
  <c r="BL24" i="1" s="1"/>
  <c r="BK14" i="1"/>
  <c r="CA14" i="1" s="1"/>
  <c r="CA3" i="1"/>
  <c r="BJ30" i="1"/>
  <c r="BZ30" i="1" s="1"/>
  <c r="BJ20" i="1"/>
  <c r="BL20" i="1" s="1"/>
  <c r="BJ6" i="1"/>
  <c r="BZ6" i="1" s="1"/>
  <c r="BX2" i="1"/>
  <c r="BJ22" i="1"/>
  <c r="BJ16" i="1"/>
  <c r="BL16" i="1" s="1"/>
  <c r="BZ4" i="1"/>
  <c r="BM23" i="1"/>
  <c r="BO23" i="1" s="1"/>
  <c r="CE23" i="1" s="1"/>
  <c r="BX4" i="1"/>
  <c r="BM27" i="1"/>
  <c r="BO27" i="1" s="1"/>
  <c r="CE27" i="1" s="1"/>
  <c r="BY19" i="1"/>
  <c r="BK19" i="1"/>
  <c r="BJ12" i="1"/>
  <c r="BX12" i="1"/>
  <c r="BY15" i="1"/>
  <c r="BK15" i="1"/>
  <c r="BM7" i="1"/>
  <c r="BO7" i="1" s="1"/>
  <c r="CE7" i="1" s="1"/>
  <c r="BJ8" i="1"/>
  <c r="BX8" i="1"/>
  <c r="BK16" i="1"/>
  <c r="BY16" i="1"/>
  <c r="BY9" i="1"/>
  <c r="BK9" i="1"/>
  <c r="BX17" i="1"/>
  <c r="BJ17" i="1"/>
  <c r="BL3" i="1"/>
  <c r="BZ3" i="1"/>
  <c r="BK4" i="1"/>
  <c r="BY4" i="1"/>
  <c r="CA10" i="1"/>
  <c r="BM10" i="1"/>
  <c r="CA31" i="1"/>
  <c r="BM31" i="1"/>
  <c r="BK20" i="1"/>
  <c r="BY20" i="1"/>
  <c r="BZ27" i="1"/>
  <c r="BL27" i="1"/>
  <c r="BX32" i="1"/>
  <c r="BJ32" i="1"/>
  <c r="BY25" i="1"/>
  <c r="BK25" i="1"/>
  <c r="CA2" i="1"/>
  <c r="BM2" i="1"/>
  <c r="BX9" i="1"/>
  <c r="BJ9" i="1"/>
  <c r="BZ18" i="1"/>
  <c r="BL18" i="1"/>
  <c r="BL15" i="1"/>
  <c r="BZ15" i="1"/>
  <c r="BL11" i="1"/>
  <c r="BZ11" i="1"/>
  <c r="CA30" i="1"/>
  <c r="BM30" i="1"/>
  <c r="BY5" i="1"/>
  <c r="BK5" i="1"/>
  <c r="BY21" i="1"/>
  <c r="BK21" i="1"/>
  <c r="BX29" i="1"/>
  <c r="BJ29" i="1"/>
  <c r="BX5" i="1"/>
  <c r="BJ5" i="1"/>
  <c r="BY29" i="1"/>
  <c r="BK29" i="1"/>
  <c r="CA26" i="1"/>
  <c r="BM26" i="1"/>
  <c r="BZ14" i="1"/>
  <c r="BL14" i="1"/>
  <c r="BN4" i="1"/>
  <c r="CD4" i="1" s="1"/>
  <c r="CB4" i="1"/>
  <c r="BK8" i="1"/>
  <c r="BY8" i="1"/>
  <c r="BX25" i="1"/>
  <c r="BJ25" i="1"/>
  <c r="BL19" i="1"/>
  <c r="BZ19" i="1"/>
  <c r="BL31" i="1"/>
  <c r="BZ31" i="1"/>
  <c r="CC3" i="1"/>
  <c r="BO3" i="1"/>
  <c r="CE3" i="1" s="1"/>
  <c r="BK12" i="1"/>
  <c r="BY12" i="1"/>
  <c r="BX13" i="1"/>
  <c r="BJ13" i="1"/>
  <c r="BK32" i="1"/>
  <c r="BY32" i="1"/>
  <c r="BY17" i="1"/>
  <c r="BK17" i="1"/>
  <c r="BK28" i="1"/>
  <c r="BY28" i="1"/>
  <c r="CA22" i="1"/>
  <c r="BM22" i="1"/>
  <c r="BK24" i="1"/>
  <c r="BY24" i="1"/>
  <c r="BY13" i="1"/>
  <c r="BK13" i="1"/>
  <c r="BX21" i="1"/>
  <c r="BJ21" i="1"/>
  <c r="BZ26" i="1"/>
  <c r="BL26" i="1"/>
  <c r="BZ2" i="1"/>
  <c r="BL2" i="1"/>
  <c r="BL23" i="1"/>
  <c r="BZ23" i="1"/>
  <c r="BL7" i="1"/>
  <c r="BZ7" i="1"/>
  <c r="AE2" i="1" l="1" a="1"/>
  <c r="AE2" i="1" s="1"/>
  <c r="AD3" i="1" s="1" a="1"/>
  <c r="AD3" i="1" s="1"/>
  <c r="BY29" i="4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FF226" i="1"/>
  <c r="AE226" i="1" s="1" a="1"/>
  <c r="AE226" i="1" s="1"/>
  <c r="AD227" i="1" s="1" a="1"/>
  <c r="AD227" i="1" s="1"/>
  <c r="AJ2" i="1" a="1"/>
  <c r="AJ2" i="1" s="1"/>
  <c r="AI3" i="1" s="1" a="1"/>
  <c r="AI3" i="1" s="1"/>
  <c r="BL22" i="1"/>
  <c r="BN22" i="1" s="1"/>
  <c r="CD22" i="1" s="1"/>
  <c r="FE35" i="1"/>
  <c r="FH35" i="1"/>
  <c r="FF35" i="1"/>
  <c r="FG226" i="1"/>
  <c r="AJ226" i="1" a="1"/>
  <c r="AJ226" i="1" s="1"/>
  <c r="AI227" i="1" s="1" a="1"/>
  <c r="AI227" i="1" s="1"/>
  <c r="AA445" i="1"/>
  <c r="KC445" i="1" s="1"/>
  <c r="AB445" i="1"/>
  <c r="KD445" i="1" s="1"/>
  <c r="RV443" i="1"/>
  <c r="RU443" i="1"/>
  <c r="RT443" i="1"/>
  <c r="RS443" i="1"/>
  <c r="RR443" i="1"/>
  <c r="RQ443" i="1"/>
  <c r="RP443" i="1"/>
  <c r="RO443" i="1"/>
  <c r="RN443" i="1"/>
  <c r="RY443" i="1"/>
  <c r="RW443" i="1"/>
  <c r="RX443" i="1"/>
  <c r="UG315" i="1"/>
  <c r="UH315" i="1" s="1"/>
  <c r="UI315" i="1" s="1"/>
  <c r="UH314" i="1"/>
  <c r="UI314" i="1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HA267" i="1"/>
  <c r="HN267" i="1"/>
  <c r="GZ267" i="1"/>
  <c r="CE268" i="1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IK46" i="1"/>
  <c r="GT46" i="1"/>
  <c r="IG46" i="1"/>
  <c r="NO180" i="1"/>
  <c r="IH46" i="1"/>
  <c r="HY46" i="1"/>
  <c r="IF46" i="1"/>
  <c r="IM46" i="1"/>
  <c r="ID46" i="1"/>
  <c r="IJ46" i="1"/>
  <c r="HZ46" i="1"/>
  <c r="IA46" i="1"/>
  <c r="IB46" i="1"/>
  <c r="IC46" i="1"/>
  <c r="IO46" i="1"/>
  <c r="IL46" i="1"/>
  <c r="IE46" i="1"/>
  <c r="II46" i="1"/>
  <c r="U47" i="1"/>
  <c r="IN46" i="1"/>
  <c r="IQ46" i="1"/>
  <c r="LR174" i="1"/>
  <c r="LS173" i="1"/>
  <c r="LT173" i="1" s="1"/>
  <c r="HQ45" i="1"/>
  <c r="HC52" i="1"/>
  <c r="HS52" i="1" s="1"/>
  <c r="HQ52" i="1"/>
  <c r="HD49" i="1"/>
  <c r="HT49" i="1" s="1"/>
  <c r="HR49" i="1"/>
  <c r="HD52" i="1"/>
  <c r="HT52" i="1" s="1"/>
  <c r="HR52" i="1"/>
  <c r="HD46" i="1"/>
  <c r="HT46" i="1" s="1"/>
  <c r="HR46" i="1"/>
  <c r="HD51" i="1"/>
  <c r="HT51" i="1" s="1"/>
  <c r="HR51" i="1"/>
  <c r="HC53" i="1"/>
  <c r="HS53" i="1" s="1"/>
  <c r="HQ53" i="1"/>
  <c r="HD54" i="1"/>
  <c r="HT54" i="1" s="1"/>
  <c r="HR54" i="1"/>
  <c r="HC50" i="1"/>
  <c r="HS50" i="1" s="1"/>
  <c r="HQ50" i="1"/>
  <c r="HC46" i="1"/>
  <c r="HS46" i="1" s="1"/>
  <c r="HQ46" i="1"/>
  <c r="HD50" i="1"/>
  <c r="HT50" i="1" s="1"/>
  <c r="HR50" i="1"/>
  <c r="HD55" i="1"/>
  <c r="HT55" i="1" s="1"/>
  <c r="HR55" i="1"/>
  <c r="HD48" i="1"/>
  <c r="HT48" i="1" s="1"/>
  <c r="HR48" i="1"/>
  <c r="HD47" i="1"/>
  <c r="HT47" i="1" s="1"/>
  <c r="HR47" i="1"/>
  <c r="HC48" i="1"/>
  <c r="HS48" i="1" s="1"/>
  <c r="HQ48" i="1"/>
  <c r="HC55" i="1"/>
  <c r="HS55" i="1" s="1"/>
  <c r="HQ55" i="1"/>
  <c r="HC51" i="1"/>
  <c r="HS51" i="1" s="1"/>
  <c r="HQ51" i="1"/>
  <c r="HC49" i="1"/>
  <c r="HS49" i="1" s="1"/>
  <c r="HQ49" i="1"/>
  <c r="HC54" i="1"/>
  <c r="HS54" i="1" s="1"/>
  <c r="HQ54" i="1"/>
  <c r="HD53" i="1"/>
  <c r="HT53" i="1" s="1"/>
  <c r="HR53" i="1"/>
  <c r="HC47" i="1"/>
  <c r="HS47" i="1" s="1"/>
  <c r="HQ47" i="1"/>
  <c r="HR44" i="1"/>
  <c r="HD44" i="1"/>
  <c r="HT44" i="1" s="1"/>
  <c r="HC44" i="1"/>
  <c r="HS44" i="1" s="1"/>
  <c r="HQ44" i="1"/>
  <c r="HC43" i="1"/>
  <c r="HS43" i="1" s="1"/>
  <c r="HQ43" i="1"/>
  <c r="HD43" i="1"/>
  <c r="HT43" i="1" s="1"/>
  <c r="BM18" i="1"/>
  <c r="CC18" i="1" s="1"/>
  <c r="BL28" i="1"/>
  <c r="BN28" i="1" s="1"/>
  <c r="CD28" i="1" s="1"/>
  <c r="BZ10" i="1"/>
  <c r="BZ20" i="1"/>
  <c r="BM11" i="1"/>
  <c r="CC11" i="1" s="1"/>
  <c r="BZ24" i="1"/>
  <c r="BM6" i="1"/>
  <c r="BO6" i="1" s="1"/>
  <c r="CE6" i="1" s="1"/>
  <c r="BM14" i="1"/>
  <c r="CC14" i="1" s="1"/>
  <c r="BL30" i="1"/>
  <c r="BN30" i="1" s="1"/>
  <c r="CD30" i="1" s="1"/>
  <c r="BZ22" i="1"/>
  <c r="BL6" i="1"/>
  <c r="BN6" i="1" s="1"/>
  <c r="CD6" i="1" s="1"/>
  <c r="BZ16" i="1"/>
  <c r="CC23" i="1"/>
  <c r="CC27" i="1"/>
  <c r="CC7" i="1"/>
  <c r="CA19" i="1"/>
  <c r="BM19" i="1"/>
  <c r="CA15" i="1"/>
  <c r="BM15" i="1"/>
  <c r="BZ12" i="1"/>
  <c r="BL12" i="1"/>
  <c r="BL8" i="1"/>
  <c r="BZ8" i="1"/>
  <c r="BM5" i="1"/>
  <c r="CA5" i="1"/>
  <c r="BZ9" i="1"/>
  <c r="BL9" i="1"/>
  <c r="CB23" i="1"/>
  <c r="BN23" i="1"/>
  <c r="CD23" i="1" s="1"/>
  <c r="CB2" i="1"/>
  <c r="BN2" i="1"/>
  <c r="CD2" i="1" s="1"/>
  <c r="CC26" i="1"/>
  <c r="BO26" i="1"/>
  <c r="CE26" i="1" s="1"/>
  <c r="CC31" i="1"/>
  <c r="BO31" i="1"/>
  <c r="CE31" i="1" s="1"/>
  <c r="BM32" i="1"/>
  <c r="CA32" i="1"/>
  <c r="CB19" i="1"/>
  <c r="BN19" i="1"/>
  <c r="CD19" i="1" s="1"/>
  <c r="CB3" i="1"/>
  <c r="BN3" i="1"/>
  <c r="CD3" i="1" s="1"/>
  <c r="BZ25" i="1"/>
  <c r="BL25" i="1"/>
  <c r="CC2" i="1"/>
  <c r="BO2" i="1"/>
  <c r="CE2" i="1" s="1"/>
  <c r="CB10" i="1"/>
  <c r="BN10" i="1"/>
  <c r="CD10" i="1" s="1"/>
  <c r="BZ13" i="1"/>
  <c r="BL13" i="1"/>
  <c r="BZ29" i="1"/>
  <c r="BL29" i="1"/>
  <c r="CC30" i="1"/>
  <c r="BO30" i="1"/>
  <c r="CE30" i="1" s="1"/>
  <c r="CA25" i="1"/>
  <c r="BM25" i="1"/>
  <c r="CA20" i="1"/>
  <c r="BM20" i="1"/>
  <c r="BZ5" i="1"/>
  <c r="BL5" i="1"/>
  <c r="CA8" i="1"/>
  <c r="BM8" i="1"/>
  <c r="BN16" i="1"/>
  <c r="CD16" i="1" s="1"/>
  <c r="CB16" i="1"/>
  <c r="CB26" i="1"/>
  <c r="BN26" i="1"/>
  <c r="CD26" i="1" s="1"/>
  <c r="CA21" i="1"/>
  <c r="BM21" i="1"/>
  <c r="BL32" i="1"/>
  <c r="BZ32" i="1"/>
  <c r="CC10" i="1"/>
  <c r="BO10" i="1"/>
  <c r="CE10" i="1" s="1"/>
  <c r="BZ17" i="1"/>
  <c r="BL17" i="1"/>
  <c r="CA17" i="1"/>
  <c r="BM17" i="1"/>
  <c r="CB24" i="1"/>
  <c r="BN24" i="1"/>
  <c r="CD24" i="1" s="1"/>
  <c r="CC22" i="1"/>
  <c r="BO22" i="1"/>
  <c r="CE22" i="1" s="1"/>
  <c r="CA9" i="1"/>
  <c r="BM9" i="1"/>
  <c r="CA24" i="1"/>
  <c r="BM24" i="1"/>
  <c r="CA12" i="1"/>
  <c r="BM12" i="1"/>
  <c r="CB11" i="1"/>
  <c r="BN11" i="1"/>
  <c r="CD11" i="1" s="1"/>
  <c r="BZ21" i="1"/>
  <c r="BL21" i="1"/>
  <c r="CA29" i="1"/>
  <c r="BM29" i="1"/>
  <c r="CB20" i="1"/>
  <c r="BN20" i="1"/>
  <c r="CD20" i="1" s="1"/>
  <c r="CB15" i="1"/>
  <c r="BN15" i="1"/>
  <c r="CD15" i="1" s="1"/>
  <c r="BM4" i="1"/>
  <c r="CA4" i="1"/>
  <c r="CA13" i="1"/>
  <c r="BM13" i="1"/>
  <c r="CB14" i="1"/>
  <c r="BN14" i="1"/>
  <c r="CD14" i="1" s="1"/>
  <c r="CB18" i="1"/>
  <c r="BN18" i="1"/>
  <c r="CD18" i="1" s="1"/>
  <c r="CB27" i="1"/>
  <c r="BN27" i="1"/>
  <c r="CD27" i="1" s="1"/>
  <c r="CB7" i="1"/>
  <c r="BN7" i="1"/>
  <c r="CD7" i="1" s="1"/>
  <c r="CA28" i="1"/>
  <c r="BM28" i="1"/>
  <c r="CB31" i="1"/>
  <c r="BN31" i="1"/>
  <c r="CD31" i="1" s="1"/>
  <c r="CA16" i="1"/>
  <c r="BM16" i="1"/>
  <c r="AE22" i="1" l="1" a="1"/>
  <c r="AE22" i="1" s="1"/>
  <c r="AD23" i="1" s="1" a="1"/>
  <c r="AD23" i="1" s="1"/>
  <c r="AE32" i="1" a="1"/>
  <c r="AE32" i="1" s="1"/>
  <c r="AD33" i="1" s="1" a="1"/>
  <c r="AD33" i="1" s="1"/>
  <c r="CB22" i="1"/>
  <c r="Z47" i="5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AJ22" i="1" a="1"/>
  <c r="AJ22" i="1" s="1"/>
  <c r="AI23" i="1" s="1" a="1"/>
  <c r="AI23" i="1" s="1"/>
  <c r="AK23" i="1" s="1"/>
  <c r="AJ32" i="1" a="1"/>
  <c r="AJ32" i="1" s="1"/>
  <c r="AI33" i="1" s="1" a="1"/>
  <c r="AI33" i="1" s="1"/>
  <c r="AL3" i="1"/>
  <c r="AK3" i="1"/>
  <c r="FG35" i="1"/>
  <c r="AE35" i="1" s="1" a="1"/>
  <c r="AE35" i="1" s="1"/>
  <c r="AD36" i="1" s="1" a="1"/>
  <c r="AD36" i="1" s="1"/>
  <c r="AJ35" i="1" a="1"/>
  <c r="AJ35" i="1" s="1"/>
  <c r="AI36" i="1" s="1" a="1"/>
  <c r="AI36" i="1" s="1"/>
  <c r="AL227" i="1"/>
  <c r="EX227" i="1" s="1"/>
  <c r="AK227" i="1"/>
  <c r="EW227" i="1" s="1"/>
  <c r="IP47" i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HQ267" i="1"/>
  <c r="HP267" i="1"/>
  <c r="HB267" i="1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X61" i="1"/>
  <c r="IF47" i="1"/>
  <c r="IE47" i="1"/>
  <c r="IC47" i="1"/>
  <c r="ID47" i="1"/>
  <c r="IA47" i="1"/>
  <c r="HY47" i="1"/>
  <c r="HZ47" i="1"/>
  <c r="IH47" i="1"/>
  <c r="IK47" i="1"/>
  <c r="IJ47" i="1"/>
  <c r="IO47" i="1"/>
  <c r="II47" i="1"/>
  <c r="IB47" i="1"/>
  <c r="U48" i="1"/>
  <c r="IQ47" i="1"/>
  <c r="GT47" i="1"/>
  <c r="IL47" i="1"/>
  <c r="IN47" i="1"/>
  <c r="IG47" i="1"/>
  <c r="IM47" i="1"/>
  <c r="LS174" i="1"/>
  <c r="LT174" i="1" s="1"/>
  <c r="LR175" i="1"/>
  <c r="CB28" i="1"/>
  <c r="BO18" i="1"/>
  <c r="CE18" i="1" s="1"/>
  <c r="CC6" i="1"/>
  <c r="CB6" i="1"/>
  <c r="CB30" i="1"/>
  <c r="BO14" i="1"/>
  <c r="CE14" i="1" s="1"/>
  <c r="BO11" i="1"/>
  <c r="CE11" i="1" s="1"/>
  <c r="CC19" i="1"/>
  <c r="BO19" i="1"/>
  <c r="CE19" i="1" s="1"/>
  <c r="BN12" i="1"/>
  <c r="CB12" i="1"/>
  <c r="CC15" i="1"/>
  <c r="BO15" i="1"/>
  <c r="CE15" i="1" s="1"/>
  <c r="CB8" i="1"/>
  <c r="BN8" i="1"/>
  <c r="CD8" i="1" s="1"/>
  <c r="BO29" i="1"/>
  <c r="CE29" i="1" s="1"/>
  <c r="CC29" i="1"/>
  <c r="BO21" i="1"/>
  <c r="CE21" i="1" s="1"/>
  <c r="CC21" i="1"/>
  <c r="BO20" i="1"/>
  <c r="CE20" i="1" s="1"/>
  <c r="CC20" i="1"/>
  <c r="BN21" i="1"/>
  <c r="CD21" i="1" s="1"/>
  <c r="CB21" i="1"/>
  <c r="BO25" i="1"/>
  <c r="CE25" i="1" s="1"/>
  <c r="CC25" i="1"/>
  <c r="BN25" i="1"/>
  <c r="CD25" i="1" s="1"/>
  <c r="CB25" i="1"/>
  <c r="BN5" i="1"/>
  <c r="CD5" i="1" s="1"/>
  <c r="CB5" i="1"/>
  <c r="BO17" i="1"/>
  <c r="CE17" i="1" s="1"/>
  <c r="CC17" i="1"/>
  <c r="CB32" i="1"/>
  <c r="BN32" i="1"/>
  <c r="CD32" i="1" s="1"/>
  <c r="BO4" i="1"/>
  <c r="CE4" i="1" s="1"/>
  <c r="CC4" i="1"/>
  <c r="BO13" i="1"/>
  <c r="CE13" i="1" s="1"/>
  <c r="CC13" i="1"/>
  <c r="BO12" i="1"/>
  <c r="CE12" i="1" s="1"/>
  <c r="CC12" i="1"/>
  <c r="BN17" i="1"/>
  <c r="CD17" i="1" s="1"/>
  <c r="CB17" i="1"/>
  <c r="BN29" i="1"/>
  <c r="CD29" i="1" s="1"/>
  <c r="CB29" i="1"/>
  <c r="BN9" i="1"/>
  <c r="CD9" i="1" s="1"/>
  <c r="CB9" i="1"/>
  <c r="BO9" i="1"/>
  <c r="CE9" i="1" s="1"/>
  <c r="CC9" i="1"/>
  <c r="BO16" i="1"/>
  <c r="CE16" i="1" s="1"/>
  <c r="CC16" i="1"/>
  <c r="BO28" i="1"/>
  <c r="CE28" i="1" s="1"/>
  <c r="CC28" i="1"/>
  <c r="CC8" i="1"/>
  <c r="BO8" i="1"/>
  <c r="CE8" i="1" s="1"/>
  <c r="BN13" i="1"/>
  <c r="CD13" i="1" s="1"/>
  <c r="CB13" i="1"/>
  <c r="BO24" i="1"/>
  <c r="CE24" i="1" s="1"/>
  <c r="CC24" i="1"/>
  <c r="BO32" i="1"/>
  <c r="CE32" i="1" s="1"/>
  <c r="CC32" i="1"/>
  <c r="BO5" i="1"/>
  <c r="CE5" i="1" s="1"/>
  <c r="CC5" i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L23" i="1"/>
  <c r="BQ23" i="1" s="1"/>
  <c r="CD12" i="1"/>
  <c r="AE12" i="1" s="1" a="1"/>
  <c r="AE12" i="1" s="1"/>
  <c r="AD13" i="1" s="1" a="1"/>
  <c r="AD13" i="1" s="1"/>
  <c r="AJ12" i="1" a="1"/>
  <c r="AJ12" i="1" s="1"/>
  <c r="AI13" i="1" s="1" a="1"/>
  <c r="AI13" i="1" s="1"/>
  <c r="X62" i="1"/>
  <c r="X63" i="1" s="1"/>
  <c r="X64" i="1" s="1"/>
  <c r="X65" i="1" s="1"/>
  <c r="X67" i="1" s="1"/>
  <c r="X68" i="1" s="1"/>
  <c r="BP3" i="1"/>
  <c r="CF3" i="1"/>
  <c r="BQ3" i="1"/>
  <c r="CG3" i="1"/>
  <c r="BP23" i="1"/>
  <c r="CF23" i="1"/>
  <c r="AL33" i="1"/>
  <c r="AK33" i="1"/>
  <c r="AL36" i="1"/>
  <c r="EX36" i="1" s="1"/>
  <c r="AK36" i="1"/>
  <c r="EW36" i="1" s="1"/>
  <c r="FE227" i="1"/>
  <c r="FH227" i="1"/>
  <c r="FF227" i="1"/>
  <c r="IE48" i="1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HR267" i="1"/>
  <c r="IM48" i="1"/>
  <c r="II48" i="1"/>
  <c r="AB45" i="4"/>
  <c r="HD45" i="4" s="1"/>
  <c r="AA45" i="4"/>
  <c r="HC45" i="4" s="1"/>
  <c r="Z45" i="4" s="1" a="1"/>
  <c r="Z45" i="4" s="1"/>
  <c r="Y46" i="4" s="1" a="1"/>
  <c r="Y46" i="4" s="1"/>
  <c r="X50" i="4"/>
  <c r="IP48" i="1"/>
  <c r="IK48" i="1"/>
  <c r="U49" i="1"/>
  <c r="IC48" i="1"/>
  <c r="IQ48" i="1"/>
  <c r="IL48" i="1"/>
  <c r="IJ48" i="1"/>
  <c r="HZ48" i="1"/>
  <c r="IO48" i="1"/>
  <c r="IF48" i="1"/>
  <c r="HY48" i="1"/>
  <c r="IH48" i="1"/>
  <c r="IA48" i="1"/>
  <c r="IB48" i="1"/>
  <c r="IG48" i="1"/>
  <c r="ID48" i="1"/>
  <c r="IN48" i="1"/>
  <c r="GT48" i="1"/>
  <c r="LR176" i="1"/>
  <c r="LS176" i="1" s="1"/>
  <c r="LT176" i="1" s="1"/>
  <c r="LS175" i="1"/>
  <c r="LT175" i="1" s="1"/>
  <c r="AE23" i="1" l="1" a="1"/>
  <c r="AE23" i="1" s="1"/>
  <c r="AD24" i="1" s="1" a="1"/>
  <c r="AD24" i="1" s="1"/>
  <c r="AE3" i="1" a="1"/>
  <c r="AE3" i="1" s="1"/>
  <c r="AD4" i="1" s="1" a="1"/>
  <c r="AD4" i="1" s="1"/>
  <c r="Z49" i="5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CG23" i="1"/>
  <c r="AJ23" i="1" s="1" a="1"/>
  <c r="AJ23" i="1" s="1"/>
  <c r="AI24" i="1" s="1" a="1"/>
  <c r="AI24" i="1" s="1"/>
  <c r="Y69" i="1" a="1"/>
  <c r="Y69" i="1" s="1"/>
  <c r="AA69" i="1" s="1"/>
  <c r="X70" i="1"/>
  <c r="BS23" i="1"/>
  <c r="CK23" i="1" s="1"/>
  <c r="CI23" i="1"/>
  <c r="BS3" i="1"/>
  <c r="CK3" i="1" s="1"/>
  <c r="CI3" i="1"/>
  <c r="BR23" i="1"/>
  <c r="CJ23" i="1" s="1"/>
  <c r="CH23" i="1"/>
  <c r="BR3" i="1"/>
  <c r="CJ3" i="1" s="1"/>
  <c r="CH3" i="1"/>
  <c r="AJ3" i="1" s="1" a="1"/>
  <c r="AJ3" i="1" s="1"/>
  <c r="AI4" i="1" s="1" a="1"/>
  <c r="AI4" i="1" s="1"/>
  <c r="AK13" i="1"/>
  <c r="AL13" i="1"/>
  <c r="BP33" i="1"/>
  <c r="CF33" i="1"/>
  <c r="BQ33" i="1"/>
  <c r="CG33" i="1"/>
  <c r="FE36" i="1"/>
  <c r="FH36" i="1"/>
  <c r="FF36" i="1"/>
  <c r="FG227" i="1"/>
  <c r="AE227" i="1" s="1" a="1"/>
  <c r="AE227" i="1" s="1"/>
  <c r="AD228" i="1" s="1" a="1"/>
  <c r="AD228" i="1" s="1"/>
  <c r="AJ227" i="1" a="1"/>
  <c r="AJ227" i="1" s="1"/>
  <c r="AI228" i="1" s="1" a="1"/>
  <c r="AI228" i="1" s="1"/>
  <c r="II49" i="1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GT49" i="1"/>
  <c r="HZ49" i="1"/>
  <c r="IE49" i="1"/>
  <c r="IK49" i="1"/>
  <c r="ID49" i="1"/>
  <c r="IA49" i="1"/>
  <c r="IB49" i="1"/>
  <c r="IN49" i="1"/>
  <c r="IM49" i="1"/>
  <c r="IO49" i="1"/>
  <c r="HY49" i="1"/>
  <c r="U50" i="1"/>
  <c r="IG49" i="1"/>
  <c r="IC49" i="1"/>
  <c r="IJ49" i="1"/>
  <c r="IF49" i="1"/>
  <c r="IP49" i="1"/>
  <c r="IQ49" i="1"/>
  <c r="IL49" i="1"/>
  <c r="IH49" i="1"/>
  <c r="AA46" i="4"/>
  <c r="HC46" i="4" s="1"/>
  <c r="Z46" i="4" s="1" a="1"/>
  <c r="Z46" i="4" s="1"/>
  <c r="Y47" i="4" s="1" a="1"/>
  <c r="Y47" i="4" s="1"/>
  <c r="AB46" i="4"/>
  <c r="HD46" i="4" s="1"/>
  <c r="X51" i="4"/>
  <c r="AE33" i="1" l="1" a="1"/>
  <c r="AE33" i="1" s="1"/>
  <c r="KI249" i="5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69" i="1"/>
  <c r="KB69" i="1" s="1"/>
  <c r="KF69" i="1" s="1"/>
  <c r="AK4" i="1"/>
  <c r="AL4" i="1"/>
  <c r="AL24" i="1"/>
  <c r="AK24" i="1"/>
  <c r="BS33" i="1"/>
  <c r="CK33" i="1" s="1"/>
  <c r="CI33" i="1"/>
  <c r="BR33" i="1"/>
  <c r="CJ33" i="1" s="1"/>
  <c r="AJ33" i="1" a="1"/>
  <c r="AJ33" i="1" s="1"/>
  <c r="CH33" i="1"/>
  <c r="BQ13" i="1"/>
  <c r="CG13" i="1"/>
  <c r="BP13" i="1"/>
  <c r="CF13" i="1"/>
  <c r="FG36" i="1"/>
  <c r="AE36" i="1" s="1" a="1"/>
  <c r="AE36" i="1" s="1"/>
  <c r="AD37" i="1" s="1" a="1"/>
  <c r="AD37" i="1" s="1"/>
  <c r="AJ36" i="1" a="1"/>
  <c r="AJ36" i="1" s="1"/>
  <c r="AI37" i="1" s="1" a="1"/>
  <c r="AI37" i="1" s="1"/>
  <c r="AL228" i="1"/>
  <c r="FF228" i="1" s="1"/>
  <c r="AK228" i="1"/>
  <c r="FE228" i="1" s="1"/>
  <c r="AE228" i="1" s="1" a="1"/>
  <c r="AE228" i="1" s="1"/>
  <c r="AD229" i="1" s="1" a="1"/>
  <c r="AD229" i="1" s="1"/>
  <c r="IQ50" i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IA50" i="1"/>
  <c r="IC50" i="1"/>
  <c r="IE50" i="1"/>
  <c r="IG50" i="1"/>
  <c r="IN50" i="1"/>
  <c r="IH50" i="1"/>
  <c r="HY50" i="1"/>
  <c r="GT50" i="1"/>
  <c r="IF50" i="1"/>
  <c r="IK50" i="1"/>
  <c r="IO50" i="1"/>
  <c r="IL50" i="1"/>
  <c r="U51" i="1"/>
  <c r="IB51" i="1" s="1"/>
  <c r="ID50" i="1"/>
  <c r="IP50" i="1"/>
  <c r="HZ50" i="1"/>
  <c r="IJ50" i="1"/>
  <c r="II50" i="1"/>
  <c r="IB50" i="1"/>
  <c r="IM50" i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D56" i="1"/>
  <c r="KC69" i="1"/>
  <c r="KA69" i="1"/>
  <c r="X72" i="1"/>
  <c r="AE13" i="1" l="1" a="1"/>
  <c r="AE13" i="1" s="1"/>
  <c r="AD14" i="1" s="1" a="1"/>
  <c r="AD14" i="1" s="1"/>
  <c r="KJ222" i="5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KD69" i="1"/>
  <c r="BR13" i="1"/>
  <c r="CJ13" i="1" s="1"/>
  <c r="CH13" i="1"/>
  <c r="AJ13" i="1" a="1"/>
  <c r="AJ13" i="1" s="1"/>
  <c r="AI14" i="1" s="1" a="1"/>
  <c r="AI14" i="1" s="1"/>
  <c r="BS13" i="1"/>
  <c r="CK13" i="1" s="1"/>
  <c r="CI13" i="1"/>
  <c r="BP24" i="1"/>
  <c r="CF24" i="1"/>
  <c r="BQ24" i="1"/>
  <c r="CG24" i="1"/>
  <c r="BQ4" i="1"/>
  <c r="CG4" i="1"/>
  <c r="BP4" i="1"/>
  <c r="CF4" i="1"/>
  <c r="AK37" i="1"/>
  <c r="EW37" i="1" s="1"/>
  <c r="AL37" i="1"/>
  <c r="EX37" i="1" s="1"/>
  <c r="AJ228" i="1" a="1"/>
  <c r="AJ228" i="1" s="1"/>
  <c r="AI229" i="1" s="1" a="1"/>
  <c r="AI229" i="1" s="1"/>
  <c r="AL229" i="1" s="1"/>
  <c r="FF229" i="1" s="1"/>
  <c r="IJ51" i="1"/>
  <c r="IQ51" i="1"/>
  <c r="IA51" i="1"/>
  <c r="IP51" i="1"/>
  <c r="IG51" i="1"/>
  <c r="IH51" i="1"/>
  <c r="II51" i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HZ51" i="1"/>
  <c r="U52" i="1"/>
  <c r="IF51" i="1"/>
  <c r="IC51" i="1"/>
  <c r="IE51" i="1"/>
  <c r="HY51" i="1"/>
  <c r="GT51" i="1"/>
  <c r="IK51" i="1"/>
  <c r="IL51" i="1"/>
  <c r="IO51" i="1"/>
  <c r="IM51" i="1"/>
  <c r="IN51" i="1"/>
  <c r="ID51" i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KE69" i="1"/>
  <c r="X73" i="1"/>
  <c r="AE24" i="1" l="1" a="1"/>
  <c r="AE24" i="1" s="1"/>
  <c r="AD25" i="1" s="1" a="1"/>
  <c r="AD25" i="1" s="1"/>
  <c r="AE4" i="1" a="1"/>
  <c r="AE4" i="1" s="1"/>
  <c r="AD5" i="1" s="1" a="1"/>
  <c r="AD5" i="1" s="1"/>
  <c r="U54" i="4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BR4" i="1"/>
  <c r="CJ4" i="1" s="1"/>
  <c r="CH4" i="1"/>
  <c r="AJ4" i="1" a="1"/>
  <c r="AJ4" i="1" s="1"/>
  <c r="AI5" i="1" s="1" a="1"/>
  <c r="AI5" i="1" s="1"/>
  <c r="BS4" i="1"/>
  <c r="CK4" i="1" s="1"/>
  <c r="CI4" i="1"/>
  <c r="BS24" i="1"/>
  <c r="CK24" i="1" s="1"/>
  <c r="CI24" i="1"/>
  <c r="AJ24" i="1" s="1" a="1"/>
  <c r="AJ24" i="1" s="1"/>
  <c r="AI25" i="1" s="1" a="1"/>
  <c r="AI25" i="1" s="1"/>
  <c r="BR24" i="1"/>
  <c r="CJ24" i="1" s="1"/>
  <c r="CH24" i="1"/>
  <c r="AL14" i="1"/>
  <c r="AK14" i="1"/>
  <c r="FE37" i="1"/>
  <c r="FH37" i="1"/>
  <c r="FF37" i="1"/>
  <c r="AK229" i="1"/>
  <c r="FE229" i="1" s="1"/>
  <c r="AE229" i="1" s="1" a="1"/>
  <c r="AE229" i="1" s="1"/>
  <c r="AD230" i="1" s="1" a="1"/>
  <c r="AD230" i="1" s="1"/>
  <c r="AD231" i="1" s="1" a="1"/>
  <c r="AD231" i="1" s="1"/>
  <c r="AD232" i="1" s="1" a="1"/>
  <c r="AD232" i="1" s="1"/>
  <c r="HY52" i="1"/>
  <c r="IO52" i="1"/>
  <c r="GT52" i="1"/>
  <c r="IM52" i="1"/>
  <c r="IJ52" i="1"/>
  <c r="IP52" i="1"/>
  <c r="IG52" i="1"/>
  <c r="IH52" i="1"/>
  <c r="IA52" i="1"/>
  <c r="IB52" i="1"/>
  <c r="IE52" i="1"/>
  <c r="U53" i="1"/>
  <c r="IH53" i="1" s="1"/>
  <c r="IQ52" i="1"/>
  <c r="II52" i="1"/>
  <c r="IL52" i="1"/>
  <c r="ID52" i="1"/>
  <c r="IF52" i="1"/>
  <c r="IK52" i="1"/>
  <c r="IN52" i="1"/>
  <c r="IC52" i="1"/>
  <c r="HZ52" i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X74" i="1"/>
  <c r="AJ229" i="1" l="1" a="1"/>
  <c r="AJ229" i="1" s="1"/>
  <c r="KI258" i="5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BP14" i="1"/>
  <c r="CF14" i="1"/>
  <c r="BQ14" i="1"/>
  <c r="CG14" i="1"/>
  <c r="AK25" i="1"/>
  <c r="AL25" i="1"/>
  <c r="AK5" i="1"/>
  <c r="AL5" i="1"/>
  <c r="FG37" i="1"/>
  <c r="AE37" i="1" s="1" a="1"/>
  <c r="AE37" i="1" s="1"/>
  <c r="AD38" i="1" s="1" a="1"/>
  <c r="AD38" i="1" s="1"/>
  <c r="AJ37" i="1" a="1"/>
  <c r="AJ37" i="1" s="1"/>
  <c r="AI38" i="1" s="1" a="1"/>
  <c r="AI38" i="1" s="1"/>
  <c r="IF53" i="1"/>
  <c r="IN53" i="1"/>
  <c r="IA53" i="1"/>
  <c r="IJ53" i="1"/>
  <c r="IO53" i="1"/>
  <c r="HZ53" i="1"/>
  <c r="IQ53" i="1"/>
  <c r="IE53" i="1"/>
  <c r="IM53" i="1"/>
  <c r="II53" i="1"/>
  <c r="IL53" i="1"/>
  <c r="ID53" i="1"/>
  <c r="IK53" i="1"/>
  <c r="HY53" i="1"/>
  <c r="IB53" i="1"/>
  <c r="IG53" i="1"/>
  <c r="IC53" i="1"/>
  <c r="IP53" i="1"/>
  <c r="GT53" i="1"/>
  <c r="U54" i="1"/>
  <c r="IH54" i="1" s="1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X75" i="1"/>
  <c r="X76" i="1" s="1"/>
  <c r="AE14" i="1" l="1" a="1"/>
  <c r="AE14" i="1" s="1"/>
  <c r="AD15" i="1" s="1" a="1"/>
  <c r="AD15" i="1" s="1"/>
  <c r="HY55" i="4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BQ5" i="1"/>
  <c r="CG5" i="1"/>
  <c r="BP5" i="1"/>
  <c r="CF5" i="1"/>
  <c r="BQ25" i="1"/>
  <c r="CG25" i="1"/>
  <c r="BP25" i="1"/>
  <c r="CF25" i="1"/>
  <c r="BS14" i="1"/>
  <c r="CK14" i="1" s="1"/>
  <c r="CI14" i="1"/>
  <c r="BR14" i="1"/>
  <c r="CJ14" i="1" s="1"/>
  <c r="CH14" i="1"/>
  <c r="AJ14" i="1" a="1"/>
  <c r="AJ14" i="1" s="1"/>
  <c r="AI15" i="1" s="1" a="1"/>
  <c r="AI15" i="1" s="1"/>
  <c r="AK38" i="1"/>
  <c r="EW38" i="1" s="1"/>
  <c r="AL38" i="1"/>
  <c r="EX38" i="1" s="1"/>
  <c r="IP54" i="1"/>
  <c r="HY54" i="1"/>
  <c r="IK54" i="1"/>
  <c r="IE54" i="1"/>
  <c r="IC54" i="1"/>
  <c r="GT54" i="1"/>
  <c r="HZ54" i="1"/>
  <c r="IF54" i="1"/>
  <c r="IG54" i="1"/>
  <c r="IA54" i="1"/>
  <c r="IQ54" i="1"/>
  <c r="IN54" i="1"/>
  <c r="IL54" i="1"/>
  <c r="II54" i="1"/>
  <c r="U55" i="1"/>
  <c r="PM198" i="1" s="1" a="1"/>
  <c r="PM198" i="1" s="1"/>
  <c r="IM54" i="1"/>
  <c r="IJ54" i="1"/>
  <c r="IB54" i="1"/>
  <c r="IO54" i="1"/>
  <c r="ID54" i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X77" i="1"/>
  <c r="PM209" i="1" l="1" a="1"/>
  <c r="PM209" i="1" s="1"/>
  <c r="PN209" i="1" s="1"/>
  <c r="PO209" i="1" s="1"/>
  <c r="PP209" i="1" s="1"/>
  <c r="PQ209" i="1" s="1"/>
  <c r="PR209" i="1" s="1"/>
  <c r="AE25" i="1" a="1"/>
  <c r="AE25" i="1" s="1"/>
  <c r="AD26" i="1" s="1" a="1"/>
  <c r="AD26" i="1" s="1"/>
  <c r="KF218" i="4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PM215" i="1" a="1"/>
  <c r="PM215" i="1" s="1"/>
  <c r="PN215" i="1" s="1"/>
  <c r="PO215" i="1" s="1"/>
  <c r="PP215" i="1" s="1"/>
  <c r="PQ215" i="1" s="1"/>
  <c r="PR215" i="1" s="1"/>
  <c r="KI320" i="1" a="1"/>
  <c r="KI320" i="1" s="1"/>
  <c r="KJ320" i="1" s="1"/>
  <c r="KK320" i="1" s="1"/>
  <c r="KL320" i="1" s="1"/>
  <c r="BR25" i="1"/>
  <c r="CJ25" i="1" s="1"/>
  <c r="CH25" i="1"/>
  <c r="AJ25" i="1" a="1"/>
  <c r="AJ25" i="1" s="1"/>
  <c r="AI26" i="1" s="1" a="1"/>
  <c r="AI26" i="1" s="1"/>
  <c r="BS25" i="1"/>
  <c r="CK25" i="1" s="1"/>
  <c r="CI25" i="1"/>
  <c r="IJ55" i="1"/>
  <c r="PM211" i="1" a="1"/>
  <c r="PM211" i="1" s="1"/>
  <c r="PN211" i="1" s="1"/>
  <c r="PO211" i="1" s="1"/>
  <c r="PP211" i="1" s="1"/>
  <c r="PQ211" i="1" s="1"/>
  <c r="PR211" i="1" s="1"/>
  <c r="BR5" i="1"/>
  <c r="CJ5" i="1" s="1"/>
  <c r="CH5" i="1"/>
  <c r="IB55" i="1"/>
  <c r="IE55" i="1"/>
  <c r="IG55" i="1"/>
  <c r="AL15" i="1"/>
  <c r="AK15" i="1"/>
  <c r="BS5" i="1"/>
  <c r="CK5" i="1" s="1"/>
  <c r="CI5" i="1"/>
  <c r="FE38" i="1"/>
  <c r="FH38" i="1"/>
  <c r="FF38" i="1"/>
  <c r="KJ540" i="1"/>
  <c r="KI218" i="1" a="1"/>
  <c r="KI218" i="1" s="1"/>
  <c r="KJ218" i="1" s="1"/>
  <c r="KK218" i="1" s="1"/>
  <c r="PM425" i="1" a="1"/>
  <c r="PM425" i="1" s="1"/>
  <c r="PN425" i="1" s="1"/>
  <c r="PO425" i="1" s="1"/>
  <c r="PP425" i="1" s="1"/>
  <c r="PQ425" i="1" s="1"/>
  <c r="PR425" i="1" s="1"/>
  <c r="PM435" i="1" a="1"/>
  <c r="PM435" i="1" s="1"/>
  <c r="PN435" i="1" s="1"/>
  <c r="PO435" i="1" s="1"/>
  <c r="PP435" i="1" s="1"/>
  <c r="PQ435" i="1" s="1"/>
  <c r="PR435" i="1" s="1"/>
  <c r="PM440" i="1" a="1"/>
  <c r="PM440" i="1" s="1"/>
  <c r="PN440" i="1" s="1"/>
  <c r="PO440" i="1" s="1"/>
  <c r="PP440" i="1" s="1"/>
  <c r="PQ440" i="1" s="1"/>
  <c r="PR440" i="1" s="1"/>
  <c r="PM430" i="1" a="1"/>
  <c r="PM430" i="1" s="1"/>
  <c r="PN430" i="1" s="1"/>
  <c r="PO430" i="1" s="1"/>
  <c r="PP430" i="1" s="1"/>
  <c r="PQ430" i="1" s="1"/>
  <c r="PR430" i="1" s="1"/>
  <c r="PM205" i="1" a="1"/>
  <c r="PM205" i="1" s="1"/>
  <c r="PN205" i="1" s="1"/>
  <c r="PO205" i="1" s="1"/>
  <c r="PP205" i="1" s="1"/>
  <c r="PQ205" i="1" s="1"/>
  <c r="PR205" i="1" s="1"/>
  <c r="IL55" i="1"/>
  <c r="GT55" i="1"/>
  <c r="IM55" i="1"/>
  <c r="PM193" i="1" a="1"/>
  <c r="PM193" i="1" s="1"/>
  <c r="PN193" i="1" s="1"/>
  <c r="PO193" i="1" s="1"/>
  <c r="PP193" i="1" s="1"/>
  <c r="PQ193" i="1" s="1"/>
  <c r="PR193" i="1" s="1"/>
  <c r="PM194" i="1" s="1" a="1"/>
  <c r="PM194" i="1" s="1"/>
  <c r="PM183" i="1" a="1"/>
  <c r="PM183" i="1" s="1"/>
  <c r="PN183" i="1" s="1"/>
  <c r="PO183" i="1" s="1"/>
  <c r="PP183" i="1" s="1"/>
  <c r="PQ183" i="1" s="1"/>
  <c r="PR183" i="1" s="1"/>
  <c r="HZ55" i="1"/>
  <c r="IN55" i="1"/>
  <c r="PM203" i="1" a="1"/>
  <c r="PM203" i="1" s="1"/>
  <c r="PN203" i="1" s="1"/>
  <c r="PO203" i="1" s="1"/>
  <c r="PP203" i="1" s="1"/>
  <c r="PQ203" i="1" s="1"/>
  <c r="PR203" i="1" s="1"/>
  <c r="KI192" i="1" a="1"/>
  <c r="KI192" i="1" s="1"/>
  <c r="IK55" i="1"/>
  <c r="IA55" i="1"/>
  <c r="KI202" i="1" a="1"/>
  <c r="KI202" i="1" s="1"/>
  <c r="LG169" i="1" a="1"/>
  <c r="LG169" i="1" s="1"/>
  <c r="II55" i="1"/>
  <c r="IF55" i="1"/>
  <c r="KI197" i="1" a="1"/>
  <c r="KI197" i="1" s="1"/>
  <c r="IP55" i="1"/>
  <c r="IC55" i="1"/>
  <c r="IQ55" i="1"/>
  <c r="IH55" i="1"/>
  <c r="IO55" i="1"/>
  <c r="PM213" i="1" a="1"/>
  <c r="PM213" i="1" s="1"/>
  <c r="PN213" i="1" s="1"/>
  <c r="PO213" i="1" s="1"/>
  <c r="PP213" i="1" s="1"/>
  <c r="PQ213" i="1" s="1"/>
  <c r="PR213" i="1" s="1"/>
  <c r="ID55" i="1"/>
  <c r="PM188" i="1" a="1"/>
  <c r="PM188" i="1" s="1"/>
  <c r="PN188" i="1" s="1"/>
  <c r="PO188" i="1" s="1"/>
  <c r="PP188" i="1" s="1"/>
  <c r="PQ188" i="1" s="1"/>
  <c r="PR188" i="1" s="1"/>
  <c r="PM189" i="1" s="1" a="1"/>
  <c r="PM189" i="1" s="1"/>
  <c r="KI187" i="1" a="1"/>
  <c r="KI187" i="1" s="1"/>
  <c r="KI56" i="1" a="1"/>
  <c r="KI56" i="1" s="1"/>
  <c r="KJ56" i="1" s="1"/>
  <c r="KK56" i="1" s="1"/>
  <c r="KI57" i="1" s="1" a="1"/>
  <c r="KI57" i="1" s="1"/>
  <c r="PM207" i="1" a="1"/>
  <c r="PM207" i="1" s="1"/>
  <c r="PN207" i="1" s="1"/>
  <c r="PO207" i="1" s="1"/>
  <c r="PP207" i="1" s="1"/>
  <c r="PQ207" i="1" s="1"/>
  <c r="PR207" i="1" s="1"/>
  <c r="HY55" i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PN198" i="1"/>
  <c r="PO198" i="1" s="1"/>
  <c r="PP198" i="1" s="1"/>
  <c r="PQ198" i="1" s="1"/>
  <c r="PR198" i="1" s="1"/>
  <c r="X78" i="1"/>
  <c r="LH169" i="1" l="1"/>
  <c r="LI169" i="1" s="1"/>
  <c r="AJ5" i="1" a="1"/>
  <c r="AJ5" i="1" s="1"/>
  <c r="AI6" i="1" s="1" a="1"/>
  <c r="AI6" i="1" s="1"/>
  <c r="AL6" i="1" s="1"/>
  <c r="AE5" i="1" a="1"/>
  <c r="AE5" i="1" s="1"/>
  <c r="AD6" i="1" s="1" a="1"/>
  <c r="AD6" i="1" s="1"/>
  <c r="KF58" i="4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AK26" i="1"/>
  <c r="AL26" i="1"/>
  <c r="BP15" i="1"/>
  <c r="CF15" i="1"/>
  <c r="BQ15" i="1"/>
  <c r="CG15" i="1"/>
  <c r="FG38" i="1"/>
  <c r="AE38" i="1" s="1" a="1"/>
  <c r="AE38" i="1" s="1"/>
  <c r="AD39" i="1" s="1" a="1"/>
  <c r="AD39" i="1" s="1"/>
  <c r="AJ38" i="1" a="1"/>
  <c r="AJ38" i="1" s="1"/>
  <c r="AI39" i="1" s="1" a="1"/>
  <c r="AI39" i="1" s="1"/>
  <c r="KK540" i="1"/>
  <c r="KI541" i="1" s="1" a="1"/>
  <c r="KI541" i="1" s="1"/>
  <c r="KI219" i="1" a="1"/>
  <c r="KI219" i="1" s="1"/>
  <c r="KJ219" i="1" s="1"/>
  <c r="KK219" i="1" s="1"/>
  <c r="KI220" i="1" s="1" a="1"/>
  <c r="KI220" i="1" s="1"/>
  <c r="PM426" i="1" a="1"/>
  <c r="PM426" i="1" s="1"/>
  <c r="PN426" i="1" s="1"/>
  <c r="PO426" i="1" s="1"/>
  <c r="PP426" i="1" s="1"/>
  <c r="PQ426" i="1" s="1"/>
  <c r="PR426" i="1" s="1"/>
  <c r="PS426" i="1" s="1"/>
  <c r="PT426" i="1" s="1"/>
  <c r="PU426" i="1" s="1"/>
  <c r="PM441" i="1" a="1"/>
  <c r="PM441" i="1" s="1"/>
  <c r="PN441" i="1" s="1"/>
  <c r="PO441" i="1" s="1"/>
  <c r="PP441" i="1" s="1"/>
  <c r="PQ441" i="1" s="1"/>
  <c r="PR441" i="1" s="1"/>
  <c r="PS441" i="1" s="1"/>
  <c r="PT441" i="1" s="1"/>
  <c r="PU441" i="1" s="1"/>
  <c r="PM436" i="1" a="1"/>
  <c r="PM436" i="1" s="1"/>
  <c r="PN436" i="1" s="1"/>
  <c r="PO436" i="1" s="1"/>
  <c r="PP436" i="1" s="1"/>
  <c r="PQ436" i="1" s="1"/>
  <c r="PR436" i="1" s="1"/>
  <c r="PS436" i="1" s="1"/>
  <c r="PT436" i="1" s="1"/>
  <c r="PU436" i="1" s="1"/>
  <c r="PM431" i="1" a="1"/>
  <c r="PM431" i="1" s="1"/>
  <c r="PN431" i="1" s="1"/>
  <c r="PO431" i="1" s="1"/>
  <c r="PP431" i="1" s="1"/>
  <c r="PQ431" i="1" s="1"/>
  <c r="PR431" i="1" s="1"/>
  <c r="PS431" i="1" s="1"/>
  <c r="PT431" i="1" s="1"/>
  <c r="PU431" i="1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PM184" i="1" a="1"/>
  <c r="PM184" i="1" s="1"/>
  <c r="PN184" i="1" s="1"/>
  <c r="PO184" i="1" s="1"/>
  <c r="KC56" i="1"/>
  <c r="AE56" i="1" s="1" a="1"/>
  <c r="AE56" i="1" s="1"/>
  <c r="KJ57" i="1"/>
  <c r="KK57" i="1" s="1"/>
  <c r="KI58" i="1" s="1" a="1"/>
  <c r="KI58" i="1" s="1"/>
  <c r="KJ58" i="1" s="1"/>
  <c r="KK58" i="1" s="1"/>
  <c r="PM199" i="1" a="1"/>
  <c r="PM199" i="1" s="1"/>
  <c r="PN189" i="1"/>
  <c r="PN194" i="1"/>
  <c r="PO194" i="1" s="1"/>
  <c r="PP194" i="1" s="1"/>
  <c r="PQ194" i="1" s="1"/>
  <c r="PR194" i="1" s="1"/>
  <c r="X79" i="1"/>
  <c r="AK6" i="1" l="1"/>
  <c r="BP6" i="1" s="1"/>
  <c r="AE15" i="1" a="1"/>
  <c r="AE15" i="1" s="1"/>
  <c r="AD16" i="1" s="1" a="1"/>
  <c r="AD16" i="1" s="1"/>
  <c r="Z56" i="1" a="1"/>
  <c r="Z56" i="1" s="1"/>
  <c r="Y57" i="1" s="1" a="1"/>
  <c r="Y57" i="1" s="1"/>
  <c r="AB57" i="1" s="1"/>
  <c r="KD57" i="1" s="1"/>
  <c r="KI64" i="5" a="1"/>
  <c r="KI64" i="5" s="1"/>
  <c r="KF59" i="4"/>
  <c r="KG59" i="4" s="1"/>
  <c r="KE60" i="4" a="1"/>
  <c r="KE60" i="4" s="1"/>
  <c r="BS15" i="1"/>
  <c r="CK15" i="1" s="1"/>
  <c r="CI15" i="1"/>
  <c r="BR15" i="1"/>
  <c r="CJ15" i="1" s="1"/>
  <c r="CH15" i="1"/>
  <c r="AJ15" i="1" a="1"/>
  <c r="AJ15" i="1" s="1"/>
  <c r="AI16" i="1" s="1" a="1"/>
  <c r="AI16" i="1" s="1"/>
  <c r="BQ26" i="1"/>
  <c r="CG26" i="1"/>
  <c r="BP26" i="1"/>
  <c r="CF26" i="1"/>
  <c r="BQ6" i="1"/>
  <c r="CG6" i="1"/>
  <c r="AL39" i="1"/>
  <c r="EX39" i="1" s="1"/>
  <c r="AK39" i="1"/>
  <c r="EW39" i="1" s="1"/>
  <c r="KJ541" i="1"/>
  <c r="KK541" i="1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J220" i="1"/>
  <c r="KK220" i="1" s="1"/>
  <c r="PM195" i="1" a="1"/>
  <c r="PM195" i="1" s="1"/>
  <c r="PN199" i="1"/>
  <c r="PO199" i="1" s="1"/>
  <c r="PP184" i="1"/>
  <c r="PO189" i="1"/>
  <c r="X80" i="1"/>
  <c r="KI59" i="1" a="1"/>
  <c r="KI59" i="1" s="1"/>
  <c r="CF6" i="1" l="1"/>
  <c r="AE26" i="1" a="1"/>
  <c r="AE26" i="1" s="1"/>
  <c r="AE6" i="1" a="1"/>
  <c r="AE6" i="1" s="1"/>
  <c r="AA57" i="1"/>
  <c r="KC57" i="1" s="1"/>
  <c r="AE57" i="1" s="1" a="1"/>
  <c r="AE57" i="1" s="1"/>
  <c r="KE61" i="4" a="1"/>
  <c r="KE61" i="4" s="1"/>
  <c r="KF60" i="4"/>
  <c r="KG60" i="4" s="1"/>
  <c r="KI542" i="1" a="1"/>
  <c r="KI542" i="1" s="1"/>
  <c r="KJ542" i="1" s="1"/>
  <c r="KK542" i="1" s="1"/>
  <c r="BS6" i="1"/>
  <c r="CK6" i="1" s="1"/>
  <c r="CI6" i="1"/>
  <c r="BR6" i="1"/>
  <c r="CJ6" i="1" s="1"/>
  <c r="AJ6" i="1" a="1"/>
  <c r="AJ6" i="1" s="1"/>
  <c r="AI7" i="1" s="1" a="1"/>
  <c r="AI7" i="1" s="1"/>
  <c r="CH6" i="1"/>
  <c r="BR26" i="1"/>
  <c r="CJ26" i="1" s="1"/>
  <c r="AJ26" i="1" a="1"/>
  <c r="AJ26" i="1" s="1"/>
  <c r="AI27" i="1" s="1" a="1"/>
  <c r="AI27" i="1" s="1"/>
  <c r="CH26" i="1"/>
  <c r="BS26" i="1"/>
  <c r="CK26" i="1" s="1"/>
  <c r="CI26" i="1"/>
  <c r="AL16" i="1"/>
  <c r="AK16" i="1"/>
  <c r="FE39" i="1"/>
  <c r="FF39" i="1"/>
  <c r="FH39" i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PN195" i="1"/>
  <c r="PO195" i="1" s="1"/>
  <c r="PP195" i="1" s="1"/>
  <c r="PQ195" i="1" s="1"/>
  <c r="PR195" i="1" s="1"/>
  <c r="PS195" i="1" s="1"/>
  <c r="PT195" i="1" s="1"/>
  <c r="PU195" i="1" s="1"/>
  <c r="KJ59" i="1"/>
  <c r="KK59" i="1" s="1"/>
  <c r="PP199" i="1"/>
  <c r="PQ184" i="1"/>
  <c r="PP189" i="1"/>
  <c r="X81" i="1"/>
  <c r="Z57" i="1" l="1" a="1"/>
  <c r="Z57" i="1" s="1"/>
  <c r="Y58" i="1" s="1" a="1"/>
  <c r="Y58" i="1" s="1"/>
  <c r="KF61" i="4"/>
  <c r="KG61" i="4" s="1"/>
  <c r="KE62" i="4" a="1"/>
  <c r="KE62" i="4" s="1"/>
  <c r="BQ16" i="1"/>
  <c r="CG16" i="1"/>
  <c r="BP16" i="1"/>
  <c r="CF16" i="1"/>
  <c r="AL27" i="1"/>
  <c r="AK27" i="1"/>
  <c r="AK7" i="1"/>
  <c r="AL7" i="1"/>
  <c r="FG39" i="1"/>
  <c r="AE39" i="1" s="1" a="1"/>
  <c r="AE39" i="1" s="1"/>
  <c r="AD40" i="1" s="1" a="1"/>
  <c r="AD40" i="1" s="1"/>
  <c r="AJ39" i="1" a="1"/>
  <c r="AJ39" i="1" s="1"/>
  <c r="AI40" i="1" s="1" a="1"/>
  <c r="AI40" i="1" s="1"/>
  <c r="KI543" i="1" a="1"/>
  <c r="KI543" i="1" s="1"/>
  <c r="KJ543" i="1" s="1"/>
  <c r="KK543" i="1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KI60" i="1" a="1"/>
  <c r="KI60" i="1" s="1"/>
  <c r="AB60" i="4"/>
  <c r="JZ60" i="4" s="1"/>
  <c r="AA60" i="4"/>
  <c r="JY60" i="4" s="1"/>
  <c r="Z60" i="4" s="1" a="1"/>
  <c r="Z60" i="4" s="1"/>
  <c r="Y61" i="4" s="1" a="1"/>
  <c r="Y61" i="4" s="1"/>
  <c r="X62" i="4"/>
  <c r="PQ199" i="1"/>
  <c r="PR184" i="1"/>
  <c r="PM185" i="1" s="1" a="1"/>
  <c r="PM185" i="1" s="1"/>
  <c r="PQ189" i="1"/>
  <c r="X82" i="1"/>
  <c r="AE16" i="1" l="1" a="1"/>
  <c r="AE16" i="1" s="1"/>
  <c r="AB58" i="1"/>
  <c r="KD58" i="1" s="1"/>
  <c r="AA58" i="1"/>
  <c r="KC58" i="1" s="1"/>
  <c r="AE58" i="1" s="1" a="1"/>
  <c r="AE58" i="1" s="1"/>
  <c r="KF62" i="4"/>
  <c r="KG62" i="4" s="1"/>
  <c r="KE63" i="4" a="1"/>
  <c r="KE63" i="4" s="1"/>
  <c r="BQ7" i="1"/>
  <c r="CG7" i="1"/>
  <c r="BP7" i="1"/>
  <c r="CF7" i="1"/>
  <c r="BP27" i="1"/>
  <c r="CF27" i="1"/>
  <c r="BQ27" i="1"/>
  <c r="CG27" i="1"/>
  <c r="BR16" i="1"/>
  <c r="CJ16" i="1" s="1"/>
  <c r="CH16" i="1"/>
  <c r="AJ16" i="1" a="1"/>
  <c r="AJ16" i="1" s="1"/>
  <c r="AI17" i="1" s="1" a="1"/>
  <c r="AI17" i="1" s="1"/>
  <c r="BS16" i="1"/>
  <c r="CK16" i="1" s="1"/>
  <c r="CI16" i="1"/>
  <c r="AL40" i="1"/>
  <c r="EX40" i="1" s="1"/>
  <c r="AK40" i="1"/>
  <c r="EW40" i="1" s="1"/>
  <c r="KI544" i="1" a="1"/>
  <c r="KI544" i="1" s="1"/>
  <c r="KJ544" i="1" s="1"/>
  <c r="KK544" i="1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KJ60" i="1"/>
  <c r="KK60" i="1" s="1"/>
  <c r="AB61" i="4"/>
  <c r="JZ61" i="4" s="1"/>
  <c r="AA61" i="4"/>
  <c r="JY61" i="4" s="1"/>
  <c r="Z61" i="4" s="1" a="1"/>
  <c r="Z61" i="4" s="1"/>
  <c r="Y62" i="4" s="1" a="1"/>
  <c r="Y62" i="4" s="1"/>
  <c r="X63" i="4"/>
  <c r="PR199" i="1"/>
  <c r="PN185" i="1"/>
  <c r="PO185" i="1" s="1"/>
  <c r="PP185" i="1" s="1"/>
  <c r="PQ185" i="1" s="1"/>
  <c r="PR185" i="1" s="1"/>
  <c r="PS185" i="1" s="1"/>
  <c r="PT185" i="1" s="1"/>
  <c r="PU185" i="1" s="1"/>
  <c r="PR189" i="1"/>
  <c r="AE27" i="1" l="1" a="1"/>
  <c r="AE27" i="1" s="1"/>
  <c r="AD28" i="1" s="1" a="1"/>
  <c r="AD28" i="1" s="1"/>
  <c r="AE7" i="1" a="1"/>
  <c r="AE7" i="1" s="1"/>
  <c r="AD8" i="1" s="1" a="1"/>
  <c r="AD8" i="1" s="1"/>
  <c r="Z58" i="1" a="1"/>
  <c r="Z58" i="1" s="1"/>
  <c r="Y59" i="1" s="1" a="1"/>
  <c r="Y59" i="1" s="1"/>
  <c r="KF63" i="4"/>
  <c r="KG63" i="4" s="1"/>
  <c r="KE64" i="4" a="1"/>
  <c r="KE64" i="4" s="1"/>
  <c r="BS27" i="1"/>
  <c r="CK27" i="1" s="1"/>
  <c r="CI27" i="1"/>
  <c r="BR27" i="1"/>
  <c r="CJ27" i="1" s="1"/>
  <c r="CH27" i="1"/>
  <c r="AJ27" i="1" a="1"/>
  <c r="AJ27" i="1" s="1"/>
  <c r="AI28" i="1" s="1" a="1"/>
  <c r="AI28" i="1" s="1"/>
  <c r="BR7" i="1"/>
  <c r="CJ7" i="1" s="1"/>
  <c r="AJ7" i="1" a="1"/>
  <c r="AJ7" i="1" s="1"/>
  <c r="AI8" i="1" s="1" a="1"/>
  <c r="AI8" i="1" s="1"/>
  <c r="CH7" i="1"/>
  <c r="AK17" i="1"/>
  <c r="AL17" i="1"/>
  <c r="BS7" i="1"/>
  <c r="CK7" i="1" s="1"/>
  <c r="CI7" i="1"/>
  <c r="FE40" i="1"/>
  <c r="FF40" i="1"/>
  <c r="FH40" i="1"/>
  <c r="KI545" i="1" a="1"/>
  <c r="KI545" i="1" s="1"/>
  <c r="KJ545" i="1" s="1"/>
  <c r="KK545" i="1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KI61" i="1" a="1"/>
  <c r="KI61" i="1" s="1"/>
  <c r="KJ61" i="1" s="1"/>
  <c r="KK61" i="1" s="1"/>
  <c r="KI62" i="1" s="1" a="1"/>
  <c r="KI62" i="1" s="1"/>
  <c r="KJ62" i="1" s="1"/>
  <c r="KK62" i="1" s="1"/>
  <c r="AB62" i="4"/>
  <c r="JZ62" i="4" s="1"/>
  <c r="AA62" i="4"/>
  <c r="JY62" i="4" s="1"/>
  <c r="Z62" i="4" s="1" a="1"/>
  <c r="Z62" i="4" s="1"/>
  <c r="Y63" i="4" s="1" a="1"/>
  <c r="Y63" i="4" s="1"/>
  <c r="X64" i="4"/>
  <c r="PM200" i="1" a="1"/>
  <c r="PM200" i="1" s="1"/>
  <c r="PN200" i="1" s="1"/>
  <c r="PO200" i="1" s="1"/>
  <c r="PP200" i="1" s="1"/>
  <c r="PQ200" i="1" s="1"/>
  <c r="PR200" i="1" s="1"/>
  <c r="PS200" i="1" s="1"/>
  <c r="PT200" i="1" s="1"/>
  <c r="PU200" i="1" s="1"/>
  <c r="PM190" i="1" a="1"/>
  <c r="PM190" i="1" s="1"/>
  <c r="X84" i="1"/>
  <c r="AB59" i="1" l="1"/>
  <c r="KD59" i="1" s="1"/>
  <c r="AA59" i="1"/>
  <c r="KC59" i="1" s="1"/>
  <c r="AE59" i="1" s="1" a="1"/>
  <c r="AE59" i="1" s="1"/>
  <c r="KF64" i="4"/>
  <c r="KG64" i="4" s="1"/>
  <c r="KE65" i="4" a="1"/>
  <c r="KE65" i="4" s="1"/>
  <c r="BP17" i="1"/>
  <c r="CF17" i="1"/>
  <c r="AK8" i="1"/>
  <c r="AL8" i="1"/>
  <c r="AK28" i="1"/>
  <c r="AL28" i="1"/>
  <c r="BQ17" i="1"/>
  <c r="CG17" i="1"/>
  <c r="FG40" i="1"/>
  <c r="AE40" i="1" s="1" a="1"/>
  <c r="AE40" i="1" s="1"/>
  <c r="AD41" i="1" s="1" a="1"/>
  <c r="AD41" i="1" s="1"/>
  <c r="AJ40" i="1" a="1"/>
  <c r="AJ40" i="1" s="1"/>
  <c r="AI41" i="1" s="1" a="1"/>
  <c r="AI41" i="1" s="1"/>
  <c r="KI546" i="1" a="1"/>
  <c r="KI546" i="1" s="1"/>
  <c r="KJ546" i="1" s="1"/>
  <c r="KK546" i="1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PN190" i="1"/>
  <c r="PO190" i="1" s="1"/>
  <c r="PP190" i="1" s="1"/>
  <c r="PQ190" i="1" s="1"/>
  <c r="PR190" i="1" s="1"/>
  <c r="PS190" i="1" s="1"/>
  <c r="PT190" i="1" s="1"/>
  <c r="PU190" i="1" s="1"/>
  <c r="X85" i="1"/>
  <c r="KI63" i="1" a="1"/>
  <c r="KI63" i="1" s="1"/>
  <c r="AE17" i="1" l="1" a="1"/>
  <c r="AE17" i="1" s="1"/>
  <c r="AD18" i="1" s="1" a="1"/>
  <c r="AD18" i="1" s="1"/>
  <c r="Z59" i="1" a="1"/>
  <c r="Z59" i="1" s="1"/>
  <c r="Y60" i="1" s="1" a="1"/>
  <c r="Y60" i="1" s="1"/>
  <c r="KF65" i="4"/>
  <c r="KG65" i="4" s="1"/>
  <c r="KE66" i="4" a="1"/>
  <c r="KE66" i="4" s="1"/>
  <c r="BS17" i="1"/>
  <c r="CK17" i="1" s="1"/>
  <c r="CI17" i="1"/>
  <c r="BQ28" i="1"/>
  <c r="CG28" i="1"/>
  <c r="BP28" i="1"/>
  <c r="CF28" i="1"/>
  <c r="BQ8" i="1"/>
  <c r="CG8" i="1"/>
  <c r="BP8" i="1"/>
  <c r="CF8" i="1"/>
  <c r="BR17" i="1"/>
  <c r="CJ17" i="1" s="1"/>
  <c r="CH17" i="1"/>
  <c r="AL41" i="1"/>
  <c r="EX41" i="1" s="1"/>
  <c r="AK41" i="1"/>
  <c r="EW41" i="1" s="1"/>
  <c r="KI547" i="1" a="1"/>
  <c r="KI547" i="1" s="1"/>
  <c r="KJ547" i="1" s="1"/>
  <c r="KK547" i="1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J63" i="1"/>
  <c r="KK63" i="1" s="1"/>
  <c r="KI64" i="1" s="1" a="1"/>
  <c r="KI64" i="1" s="1"/>
  <c r="X86" i="1"/>
  <c r="AE28" i="1" l="1" a="1"/>
  <c r="AE28" i="1" s="1"/>
  <c r="AD29" i="1" s="1" a="1"/>
  <c r="AD29" i="1" s="1"/>
  <c r="AE8" i="1" a="1"/>
  <c r="AE8" i="1" s="1"/>
  <c r="AD9" i="1" s="1" a="1"/>
  <c r="AD9" i="1" s="1"/>
  <c r="AB60" i="1"/>
  <c r="KD60" i="1" s="1"/>
  <c r="AA60" i="1"/>
  <c r="KC60" i="1" s="1"/>
  <c r="AE60" i="1" s="1" a="1"/>
  <c r="AE60" i="1" s="1"/>
  <c r="KE67" i="4" a="1"/>
  <c r="KE67" i="4" s="1"/>
  <c r="KF66" i="4"/>
  <c r="KG66" i="4" s="1"/>
  <c r="AJ17" i="1" a="1"/>
  <c r="AJ17" i="1" s="1"/>
  <c r="AI18" i="1" s="1" a="1"/>
  <c r="AI18" i="1" s="1"/>
  <c r="AL18" i="1" s="1"/>
  <c r="BS8" i="1"/>
  <c r="CK8" i="1" s="1"/>
  <c r="CI8" i="1"/>
  <c r="BR28" i="1"/>
  <c r="CJ28" i="1" s="1"/>
  <c r="CH28" i="1"/>
  <c r="AJ28" i="1" a="1"/>
  <c r="AJ28" i="1" s="1"/>
  <c r="AI29" i="1" s="1" a="1"/>
  <c r="AI29" i="1" s="1"/>
  <c r="BS28" i="1"/>
  <c r="CK28" i="1" s="1"/>
  <c r="CI28" i="1"/>
  <c r="BR8" i="1"/>
  <c r="CJ8" i="1" s="1"/>
  <c r="AJ8" i="1" s="1" a="1"/>
  <c r="AJ8" i="1" s="1"/>
  <c r="AI9" i="1" s="1" a="1"/>
  <c r="AI9" i="1" s="1"/>
  <c r="CH8" i="1"/>
  <c r="FE41" i="1"/>
  <c r="FH41" i="1"/>
  <c r="FF41" i="1"/>
  <c r="KI548" i="1" a="1"/>
  <c r="KI548" i="1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J64" i="1"/>
  <c r="X87" i="1"/>
  <c r="Z60" i="1" l="1" a="1"/>
  <c r="Z60" i="1" s="1"/>
  <c r="Y61" i="1" s="1" a="1"/>
  <c r="Y61" i="1" s="1"/>
  <c r="KF67" i="4"/>
  <c r="KG67" i="4" s="1"/>
  <c r="KE68" i="4" a="1"/>
  <c r="KE68" i="4" s="1"/>
  <c r="AK18" i="1"/>
  <c r="BP18" i="1" s="1"/>
  <c r="AL9" i="1"/>
  <c r="AK9" i="1"/>
  <c r="AK29" i="1"/>
  <c r="AL29" i="1"/>
  <c r="BQ18" i="1"/>
  <c r="CG18" i="1"/>
  <c r="FG41" i="1"/>
  <c r="AE41" i="1" s="1" a="1"/>
  <c r="AE41" i="1" s="1"/>
  <c r="AD42" i="1" s="1" a="1"/>
  <c r="AD42" i="1" s="1"/>
  <c r="AJ41" i="1" a="1"/>
  <c r="AJ41" i="1" s="1"/>
  <c r="AI42" i="1" s="1" a="1"/>
  <c r="AI42" i="1" s="1"/>
  <c r="KJ548" i="1"/>
  <c r="KK548" i="1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K64" i="1"/>
  <c r="X88" i="1"/>
  <c r="AE18" i="1" l="1" a="1"/>
  <c r="AE18" i="1" s="1"/>
  <c r="AD19" i="1" s="1" a="1"/>
  <c r="AD19" i="1" s="1"/>
  <c r="AA61" i="1"/>
  <c r="KC61" i="1" s="1"/>
  <c r="AE61" i="1" s="1" a="1"/>
  <c r="AE61" i="1" s="1"/>
  <c r="AB61" i="1"/>
  <c r="KD61" i="1" s="1"/>
  <c r="Z61" i="1" s="1" a="1"/>
  <c r="Z61" i="1" s="1"/>
  <c r="Y62" i="1" s="1" a="1"/>
  <c r="Y62" i="1" s="1"/>
  <c r="KE69" i="4" a="1"/>
  <c r="KE69" i="4" s="1"/>
  <c r="KF68" i="4"/>
  <c r="KG68" i="4" s="1"/>
  <c r="KH68" i="4" s="1"/>
  <c r="KI68" i="4" s="1"/>
  <c r="CF18" i="1"/>
  <c r="KI549" i="1" a="1"/>
  <c r="KI549" i="1" s="1"/>
  <c r="KJ549" i="1" s="1"/>
  <c r="KK549" i="1" s="1"/>
  <c r="BS18" i="1"/>
  <c r="CK18" i="1" s="1"/>
  <c r="CI18" i="1"/>
  <c r="BR18" i="1"/>
  <c r="CJ18" i="1" s="1"/>
  <c r="CH18" i="1"/>
  <c r="AJ18" i="1" a="1"/>
  <c r="AJ18" i="1" s="1"/>
  <c r="AI19" i="1" s="1" a="1"/>
  <c r="AI19" i="1" s="1"/>
  <c r="BQ29" i="1"/>
  <c r="CG29" i="1"/>
  <c r="BP29" i="1"/>
  <c r="CF29" i="1"/>
  <c r="BP9" i="1"/>
  <c r="CF9" i="1"/>
  <c r="BQ9" i="1"/>
  <c r="CG9" i="1"/>
  <c r="AL42" i="1"/>
  <c r="EX42" i="1" s="1"/>
  <c r="AK42" i="1"/>
  <c r="EW42" i="1" s="1"/>
  <c r="KI65" i="1" a="1"/>
  <c r="KI65" i="1" s="1"/>
  <c r="KJ65" i="1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AE29" i="1" l="1" a="1"/>
  <c r="AE29" i="1" s="1"/>
  <c r="AD30" i="1" s="1" a="1"/>
  <c r="AD30" i="1" s="1"/>
  <c r="AE9" i="1" a="1"/>
  <c r="AE9" i="1" s="1"/>
  <c r="AD10" i="1" s="1" a="1"/>
  <c r="AD10" i="1" s="1"/>
  <c r="AB62" i="1"/>
  <c r="KD62" i="1" s="1"/>
  <c r="AA62" i="1"/>
  <c r="KC62" i="1" s="1"/>
  <c r="AE62" i="1" s="1" a="1"/>
  <c r="AE62" i="1" s="1"/>
  <c r="KF69" i="4"/>
  <c r="KG69" i="4" s="1"/>
  <c r="KH69" i="4" s="1"/>
  <c r="KE70" i="4" a="1"/>
  <c r="KE70" i="4" s="1"/>
  <c r="KI550" i="1" a="1"/>
  <c r="KI550" i="1" s="1"/>
  <c r="KJ550" i="1" s="1"/>
  <c r="KK550" i="1" s="1"/>
  <c r="BS9" i="1"/>
  <c r="CK9" i="1" s="1"/>
  <c r="CI9" i="1"/>
  <c r="BR9" i="1"/>
  <c r="CJ9" i="1" s="1"/>
  <c r="CH9" i="1"/>
  <c r="AJ9" i="1" a="1"/>
  <c r="AJ9" i="1" s="1"/>
  <c r="AI10" i="1" s="1" a="1"/>
  <c r="AI10" i="1" s="1"/>
  <c r="BR29" i="1"/>
  <c r="CJ29" i="1" s="1"/>
  <c r="CH29" i="1"/>
  <c r="AJ29" i="1" a="1"/>
  <c r="AJ29" i="1" s="1"/>
  <c r="AI30" i="1" s="1" a="1"/>
  <c r="AI30" i="1" s="1"/>
  <c r="BS29" i="1"/>
  <c r="CK29" i="1" s="1"/>
  <c r="CI29" i="1"/>
  <c r="AK19" i="1"/>
  <c r="AL19" i="1"/>
  <c r="FE42" i="1"/>
  <c r="FF42" i="1"/>
  <c r="FH42" i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K65" i="1"/>
  <c r="KI66" i="1" s="1" a="1"/>
  <c r="KI66" i="1" s="1"/>
  <c r="X90" i="1"/>
  <c r="X91" i="1" s="1"/>
  <c r="Z62" i="1" l="1" a="1"/>
  <c r="Z62" i="1" s="1"/>
  <c r="Y63" i="1" s="1" a="1"/>
  <c r="Y63" i="1" s="1"/>
  <c r="KF70" i="4"/>
  <c r="KG70" i="4" s="1"/>
  <c r="KH70" i="4" s="1"/>
  <c r="KE71" i="4" a="1"/>
  <c r="KE71" i="4" s="1"/>
  <c r="KI551" i="1" a="1"/>
  <c r="KI551" i="1" s="1"/>
  <c r="KJ551" i="1" s="1"/>
  <c r="KK551" i="1" s="1"/>
  <c r="BQ19" i="1"/>
  <c r="CG19" i="1"/>
  <c r="BP19" i="1"/>
  <c r="CF19" i="1"/>
  <c r="AL30" i="1"/>
  <c r="AK30" i="1"/>
  <c r="AL10" i="1"/>
  <c r="AK10" i="1"/>
  <c r="FG42" i="1"/>
  <c r="AE42" i="1" s="1" a="1"/>
  <c r="AE42" i="1" s="1"/>
  <c r="AJ42" i="1" a="1"/>
  <c r="AJ42" i="1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KJ66" i="1"/>
  <c r="KK66" i="1" s="1"/>
  <c r="AE19" i="1" l="1" a="1"/>
  <c r="AE19" i="1" s="1"/>
  <c r="AD20" i="1" s="1" a="1"/>
  <c r="AD20" i="1" s="1"/>
  <c r="AB63" i="1"/>
  <c r="KD63" i="1" s="1"/>
  <c r="Z63" i="1" s="1" a="1"/>
  <c r="Z63" i="1" s="1"/>
  <c r="Y64" i="1" s="1" a="1"/>
  <c r="Y64" i="1" s="1"/>
  <c r="AA63" i="1"/>
  <c r="KC63" i="1" s="1"/>
  <c r="AE63" i="1" s="1" a="1"/>
  <c r="AE63" i="1" s="1"/>
  <c r="Z71" i="4" a="1"/>
  <c r="Z71" i="4" s="1"/>
  <c r="Y72" i="4" s="1" a="1"/>
  <c r="Y72" i="4" s="1"/>
  <c r="AB72" i="4" s="1"/>
  <c r="JZ72" i="4" s="1"/>
  <c r="KF71" i="4"/>
  <c r="KG71" i="4" s="1"/>
  <c r="KE72" i="4" a="1"/>
  <c r="KE72" i="4" s="1"/>
  <c r="KI552" i="1" a="1"/>
  <c r="KI552" i="1" s="1"/>
  <c r="KJ552" i="1" s="1"/>
  <c r="KK552" i="1" s="1"/>
  <c r="BQ10" i="1"/>
  <c r="CG10" i="1"/>
  <c r="BP30" i="1"/>
  <c r="CF30" i="1"/>
  <c r="BP10" i="1"/>
  <c r="CF10" i="1"/>
  <c r="BQ30" i="1"/>
  <c r="CG30" i="1"/>
  <c r="BR19" i="1"/>
  <c r="CJ19" i="1" s="1"/>
  <c r="CH19" i="1"/>
  <c r="AJ19" i="1" a="1"/>
  <c r="AJ19" i="1" s="1"/>
  <c r="AI20" i="1" s="1" a="1"/>
  <c r="AI20" i="1" s="1"/>
  <c r="BS19" i="1"/>
  <c r="CK19" i="1" s="1"/>
  <c r="CI19" i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I67" i="1" a="1"/>
  <c r="KI67" i="1" s="1"/>
  <c r="KJ67" i="1" s="1"/>
  <c r="KK67" i="1" s="1"/>
  <c r="KI68" i="1" s="1" a="1"/>
  <c r="KI68" i="1" s="1"/>
  <c r="KA69" i="4"/>
  <c r="Z69" i="4" a="1"/>
  <c r="Z69" i="4" s="1"/>
  <c r="Y70" i="4" s="1" a="1"/>
  <c r="Y70" i="4" s="1"/>
  <c r="X74" i="4"/>
  <c r="AE30" i="1" l="1" a="1"/>
  <c r="AE30" i="1" s="1"/>
  <c r="AD31" i="1" s="1" a="1"/>
  <c r="AD31" i="1" s="1"/>
  <c r="AE10" i="1" a="1"/>
  <c r="AE10" i="1" s="1"/>
  <c r="AD11" i="1" s="1" a="1"/>
  <c r="AD11" i="1" s="1"/>
  <c r="AB64" i="1"/>
  <c r="KD64" i="1" s="1"/>
  <c r="AA64" i="1"/>
  <c r="KC64" i="1" s="1"/>
  <c r="AE64" i="1" s="1" a="1"/>
  <c r="AE64" i="1" s="1"/>
  <c r="AA72" i="4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KI559" i="1" a="1"/>
  <c r="KI559" i="1" s="1"/>
  <c r="KJ559" i="1" s="1"/>
  <c r="KK559" i="1" s="1"/>
  <c r="BS30" i="1"/>
  <c r="CK30" i="1" s="1"/>
  <c r="CI30" i="1"/>
  <c r="AK20" i="1"/>
  <c r="AL20" i="1"/>
  <c r="BR10" i="1"/>
  <c r="CJ10" i="1" s="1"/>
  <c r="AJ10" i="1" a="1"/>
  <c r="AJ10" i="1" s="1"/>
  <c r="AI11" i="1" s="1" a="1"/>
  <c r="AI11" i="1" s="1"/>
  <c r="CH10" i="1"/>
  <c r="BR30" i="1"/>
  <c r="CJ30" i="1" s="1"/>
  <c r="CH30" i="1"/>
  <c r="BS10" i="1"/>
  <c r="CK10" i="1" s="1"/>
  <c r="CI10" i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KJ68" i="1"/>
  <c r="KK68" i="1" s="1"/>
  <c r="KL68" i="1" s="1"/>
  <c r="KM68" i="1" s="1"/>
  <c r="X93" i="1"/>
  <c r="Z64" i="1" l="1" a="1"/>
  <c r="Z64" i="1" s="1"/>
  <c r="Y65" i="1" s="1" a="1"/>
  <c r="Y65" i="1" s="1"/>
  <c r="Z73" i="4" a="1"/>
  <c r="Z73" i="4" s="1"/>
  <c r="AB73" i="4"/>
  <c r="JZ73" i="4" s="1"/>
  <c r="KF73" i="4"/>
  <c r="KG73" i="4" s="1"/>
  <c r="KE74" i="4" a="1"/>
  <c r="KE74" i="4" s="1"/>
  <c r="AJ30" i="1" a="1"/>
  <c r="AJ30" i="1" s="1"/>
  <c r="AI31" i="1" s="1" a="1"/>
  <c r="AI31" i="1" s="1"/>
  <c r="AK31" i="1" s="1"/>
  <c r="AK11" i="1"/>
  <c r="AL11" i="1"/>
  <c r="BQ20" i="1"/>
  <c r="CG20" i="1"/>
  <c r="BP20" i="1"/>
  <c r="CF20" i="1"/>
  <c r="KI560" i="1" a="1"/>
  <c r="KI560" i="1" s="1"/>
  <c r="KJ560" i="1" s="1"/>
  <c r="KK560" i="1" s="1"/>
  <c r="Z559" i="1" a="1"/>
  <c r="Z559" i="1" s="1"/>
  <c r="Y560" i="1" s="1" a="1"/>
  <c r="Y560" i="1" s="1"/>
  <c r="AA560" i="1" s="1"/>
  <c r="KI561" i="1" a="1"/>
  <c r="KI561" i="1" s="1"/>
  <c r="KI562" i="1" s="1" a="1"/>
  <c r="KI562" i="1" s="1"/>
  <c r="KJ562" i="1" s="1"/>
  <c r="KK562" i="1" s="1"/>
  <c r="KL562" i="1" s="1"/>
  <c r="KM562" i="1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69" i="1" a="1"/>
  <c r="KI69" i="1" s="1"/>
  <c r="X94" i="1"/>
  <c r="Z560" i="1" l="1" a="1"/>
  <c r="Z560" i="1" s="1"/>
  <c r="KC560" i="1"/>
  <c r="KJ69" i="1"/>
  <c r="AE69" i="1" a="1"/>
  <c r="AE69" i="1" s="1"/>
  <c r="AE20" i="1" a="1"/>
  <c r="AE20" i="1" s="1"/>
  <c r="AD21" i="1" s="1" a="1"/>
  <c r="AD21" i="1" s="1"/>
  <c r="AA65" i="1"/>
  <c r="KC65" i="1" s="1"/>
  <c r="AE65" i="1" s="1" a="1"/>
  <c r="AE65" i="1" s="1"/>
  <c r="AB65" i="1"/>
  <c r="KD65" i="1" s="1"/>
  <c r="KI79" i="5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L31" i="1"/>
  <c r="BQ31" i="1" s="1"/>
  <c r="BR20" i="1"/>
  <c r="CJ20" i="1" s="1"/>
  <c r="CH20" i="1"/>
  <c r="AJ20" i="1" a="1"/>
  <c r="AJ20" i="1" s="1"/>
  <c r="AI21" i="1" s="1" a="1"/>
  <c r="AI21" i="1" s="1"/>
  <c r="BS20" i="1"/>
  <c r="CK20" i="1" s="1"/>
  <c r="CI20" i="1"/>
  <c r="BQ11" i="1"/>
  <c r="CG11" i="1"/>
  <c r="BP11" i="1"/>
  <c r="CF11" i="1"/>
  <c r="BP31" i="1"/>
  <c r="CF31" i="1"/>
  <c r="AB560" i="1"/>
  <c r="KD560" i="1" s="1"/>
  <c r="KJ561" i="1"/>
  <c r="KK561" i="1" s="1"/>
  <c r="KL561" i="1" s="1"/>
  <c r="KM561" i="1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KK69" i="1"/>
  <c r="KL69" i="1" s="1"/>
  <c r="KI70" i="1" s="1" a="1"/>
  <c r="KI70" i="1" s="1"/>
  <c r="KJ70" i="1" s="1"/>
  <c r="KK70" i="1" s="1"/>
  <c r="KL70" i="1" s="1"/>
  <c r="Z69" i="1" a="1"/>
  <c r="Z69" i="1" s="1"/>
  <c r="Y70" i="1" s="1" a="1"/>
  <c r="Y70" i="1" s="1"/>
  <c r="X95" i="1"/>
  <c r="AE31" i="1" l="1" a="1"/>
  <c r="AE31" i="1" s="1"/>
  <c r="AE11" i="1" a="1"/>
  <c r="AE11" i="1" s="1"/>
  <c r="Z65" i="1" a="1"/>
  <c r="Z65" i="1" s="1"/>
  <c r="Y66" i="1" s="1" a="1"/>
  <c r="Y66" i="1" s="1"/>
  <c r="AA75" i="4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CG31" i="1"/>
  <c r="BR31" i="1"/>
  <c r="CJ31" i="1" s="1"/>
  <c r="CH31" i="1"/>
  <c r="AJ31" i="1" a="1"/>
  <c r="AJ31" i="1" s="1"/>
  <c r="BS31" i="1"/>
  <c r="CK31" i="1" s="1"/>
  <c r="CI31" i="1"/>
  <c r="BR11" i="1"/>
  <c r="CJ11" i="1" s="1"/>
  <c r="AJ11" i="1" a="1"/>
  <c r="AJ11" i="1" s="1"/>
  <c r="CH11" i="1"/>
  <c r="BS11" i="1"/>
  <c r="CK11" i="1" s="1"/>
  <c r="CI11" i="1"/>
  <c r="AL21" i="1"/>
  <c r="AK21" i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0" i="1"/>
  <c r="AB70" i="1"/>
  <c r="KI71" i="1" a="1"/>
  <c r="KI71" i="1" s="1"/>
  <c r="KJ71" i="1" s="1"/>
  <c r="X96" i="1"/>
  <c r="AB66" i="1" l="1"/>
  <c r="KD66" i="1" s="1"/>
  <c r="Z66" i="1" s="1" a="1"/>
  <c r="Z66" i="1" s="1"/>
  <c r="Y67" i="1" s="1" a="1"/>
  <c r="Y67" i="1" s="1"/>
  <c r="AA66" i="1"/>
  <c r="KC66" i="1" s="1"/>
  <c r="AE66" i="1" s="1" a="1"/>
  <c r="AE66" i="1" s="1"/>
  <c r="AA76" i="4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BP21" i="1"/>
  <c r="CF21" i="1"/>
  <c r="BQ21" i="1"/>
  <c r="CG21" i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KB70" i="1"/>
  <c r="KF70" i="1" s="1"/>
  <c r="KD70" i="1"/>
  <c r="KC70" i="1"/>
  <c r="KA70" i="1"/>
  <c r="KK71" i="1"/>
  <c r="KI72" i="1" a="1"/>
  <c r="KI72" i="1" s="1"/>
  <c r="KJ72" i="1" s="1"/>
  <c r="X97" i="1"/>
  <c r="AE70" i="1" l="1" a="1"/>
  <c r="AE70" i="1" s="1"/>
  <c r="AE21" i="1" a="1"/>
  <c r="AE21" i="1" s="1"/>
  <c r="AB67" i="1"/>
  <c r="KD67" i="1" s="1"/>
  <c r="AA67" i="1"/>
  <c r="KC67" i="1" s="1"/>
  <c r="AE67" i="1" s="1" a="1"/>
  <c r="AE67" i="1" s="1"/>
  <c r="Z77" i="4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BS21" i="1"/>
  <c r="CK21" i="1" s="1"/>
  <c r="AJ21" i="1" s="1" a="1"/>
  <c r="AJ21" i="1" s="1"/>
  <c r="CI21" i="1"/>
  <c r="BR21" i="1"/>
  <c r="CJ21" i="1" s="1"/>
  <c r="CH21" i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E70" i="1"/>
  <c r="Z70" i="1" a="1"/>
  <c r="Z70" i="1" s="1"/>
  <c r="KK72" i="1"/>
  <c r="KI73" i="1" s="1" a="1"/>
  <c r="KI73" i="1" s="1"/>
  <c r="KJ73" i="1" s="1"/>
  <c r="X98" i="1"/>
  <c r="Z67" i="1" l="1" a="1"/>
  <c r="Z67" i="1" s="1"/>
  <c r="Y68" i="1" s="1" a="1"/>
  <c r="Y68" i="1" s="1"/>
  <c r="KF78" i="4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KK73" i="1"/>
  <c r="KI74" i="1" s="1" a="1"/>
  <c r="KI74" i="1" s="1"/>
  <c r="KJ74" i="1" s="1"/>
  <c r="KK74" i="1" s="1"/>
  <c r="X99" i="1"/>
  <c r="AB68" i="1" l="1"/>
  <c r="KD68" i="1" s="1"/>
  <c r="Z68" i="1" s="1" a="1"/>
  <c r="Z68" i="1" s="1"/>
  <c r="Y71" i="1" s="1" a="1"/>
  <c r="Y71" i="1" s="1"/>
  <c r="AA68" i="1"/>
  <c r="KC68" i="1" s="1"/>
  <c r="AE68" i="1" s="1" a="1"/>
  <c r="AE68" i="1" s="1"/>
  <c r="Z79" i="4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KI75" i="1" a="1"/>
  <c r="KI75" i="1" s="1"/>
  <c r="KJ75" i="1" s="1"/>
  <c r="KK75" i="1" s="1"/>
  <c r="X100" i="1"/>
  <c r="AB71" i="1" l="1"/>
  <c r="KD71" i="1" s="1"/>
  <c r="AA71" i="1"/>
  <c r="KC71" i="1" s="1"/>
  <c r="AE71" i="1" s="1" a="1"/>
  <c r="AE71" i="1" s="1"/>
  <c r="AA80" i="4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KI76" i="1" a="1"/>
  <c r="KI76" i="1" s="1"/>
  <c r="KJ76" i="1" s="1"/>
  <c r="KK76" i="1" s="1"/>
  <c r="KL76" i="1" s="1"/>
  <c r="KM76" i="1" s="1"/>
  <c r="X101" i="1"/>
  <c r="Z71" i="1" l="1" a="1"/>
  <c r="Z71" i="1" s="1"/>
  <c r="Y72" i="1" s="1" a="1"/>
  <c r="Y72" i="1" s="1"/>
  <c r="Z81" i="4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KI77" i="1" a="1"/>
  <c r="KI77" i="1" s="1"/>
  <c r="KJ77" i="1" s="1"/>
  <c r="KK77" i="1" s="1"/>
  <c r="X102" i="1"/>
  <c r="AA72" i="1" l="1"/>
  <c r="KC72" i="1" s="1"/>
  <c r="AE72" i="1" s="1" a="1"/>
  <c r="AE72" i="1" s="1"/>
  <c r="AB72" i="1"/>
  <c r="KD72" i="1" s="1"/>
  <c r="Z82" i="4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KI78" i="1" a="1"/>
  <c r="KI78" i="1" s="1"/>
  <c r="KJ78" i="1" s="1"/>
  <c r="KK78" i="1" s="1"/>
  <c r="X103" i="1"/>
  <c r="Z72" i="1" l="1" a="1"/>
  <c r="Z72" i="1" s="1"/>
  <c r="Y73" i="1" s="1" a="1"/>
  <c r="Y73" i="1" s="1"/>
  <c r="AA83" i="4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KI79" i="1" a="1"/>
  <c r="KI79" i="1" s="1"/>
  <c r="KJ79" i="1" s="1"/>
  <c r="KK79" i="1" s="1"/>
  <c r="X104" i="1"/>
  <c r="AB73" i="1" l="1"/>
  <c r="KD73" i="1" s="1"/>
  <c r="AA73" i="1"/>
  <c r="KC73" i="1" s="1"/>
  <c r="AE73" i="1" s="1" a="1"/>
  <c r="AE73" i="1" s="1"/>
  <c r="AA84" i="4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KI80" i="1" a="1"/>
  <c r="KI80" i="1" s="1"/>
  <c r="KJ80" i="1" s="1"/>
  <c r="KK80" i="1" s="1"/>
  <c r="X105" i="1"/>
  <c r="Z73" i="1" l="1" a="1"/>
  <c r="Z73" i="1" s="1"/>
  <c r="Y74" i="1" s="1" a="1"/>
  <c r="Y74" i="1" s="1"/>
  <c r="AA85" i="4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KI81" i="1" a="1"/>
  <c r="KI81" i="1" s="1"/>
  <c r="KJ81" i="1" s="1"/>
  <c r="KK81" i="1" s="1"/>
  <c r="X106" i="1"/>
  <c r="AB74" i="1" l="1"/>
  <c r="KD74" i="1" s="1"/>
  <c r="AA74" i="1"/>
  <c r="KC74" i="1" s="1"/>
  <c r="AE74" i="1" s="1" a="1"/>
  <c r="AE74" i="1" s="1"/>
  <c r="AA86" i="4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KI82" i="1" a="1"/>
  <c r="KI82" i="1" s="1"/>
  <c r="KJ82" i="1" s="1"/>
  <c r="KK82" i="1" s="1"/>
  <c r="X107" i="1"/>
  <c r="Z74" i="1" l="1" a="1"/>
  <c r="Z74" i="1" s="1"/>
  <c r="Y75" i="1" s="1" a="1"/>
  <c r="Y75" i="1" s="1"/>
  <c r="AA87" i="4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KI83" i="1" a="1"/>
  <c r="KI83" i="1" s="1"/>
  <c r="KJ83" i="1" s="1"/>
  <c r="KK83" i="1" s="1"/>
  <c r="KI84" i="1" s="1" a="1"/>
  <c r="KI84" i="1" s="1"/>
  <c r="AA75" i="1" l="1"/>
  <c r="KC75" i="1" s="1"/>
  <c r="AE75" i="1" s="1" a="1"/>
  <c r="AE75" i="1" s="1"/>
  <c r="AB75" i="1"/>
  <c r="KD75" i="1" s="1"/>
  <c r="Z88" i="4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KJ84" i="1"/>
  <c r="KK84" i="1" s="1"/>
  <c r="KI85" i="1" s="1" a="1"/>
  <c r="KI85" i="1" s="1"/>
  <c r="X109" i="1"/>
  <c r="Z75" i="1" l="1" a="1"/>
  <c r="Z75" i="1" s="1"/>
  <c r="Y76" i="1" s="1" a="1"/>
  <c r="Y76" i="1" s="1"/>
  <c r="Z89" i="4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J85" i="1"/>
  <c r="KK85" i="1" s="1"/>
  <c r="KI86" i="1" s="1" a="1"/>
  <c r="KI86" i="1" s="1"/>
  <c r="X110" i="1"/>
  <c r="AA76" i="1" l="1"/>
  <c r="KC76" i="1" s="1"/>
  <c r="AE76" i="1" s="1" a="1"/>
  <c r="AE76" i="1" s="1"/>
  <c r="AB76" i="1"/>
  <c r="KD76" i="1" s="1"/>
  <c r="Z76" i="1" s="1" a="1"/>
  <c r="Z76" i="1" s="1"/>
  <c r="Y77" i="1" s="1" a="1"/>
  <c r="Y77" i="1" s="1"/>
  <c r="KF90" i="4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KJ86" i="1"/>
  <c r="KK86" i="1" s="1"/>
  <c r="X111" i="1"/>
  <c r="AA77" i="1" l="1"/>
  <c r="KC77" i="1" s="1"/>
  <c r="AE77" i="1" s="1" a="1"/>
  <c r="AE77" i="1" s="1"/>
  <c r="AB77" i="1"/>
  <c r="KD77" i="1" s="1"/>
  <c r="Z91" i="4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KI87" i="1" a="1"/>
  <c r="KI87" i="1" s="1"/>
  <c r="KJ87" i="1" s="1"/>
  <c r="KK87" i="1" s="1"/>
  <c r="Z77" i="1" l="1" a="1"/>
  <c r="Z77" i="1" s="1"/>
  <c r="Y78" i="1" s="1" a="1"/>
  <c r="Y78" i="1" s="1"/>
  <c r="Z92" i="4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KI88" i="1" a="1"/>
  <c r="KI88" i="1" s="1"/>
  <c r="KJ88" i="1" s="1"/>
  <c r="X113" i="1"/>
  <c r="AB78" i="1" l="1"/>
  <c r="KD78" i="1" s="1"/>
  <c r="AA78" i="1"/>
  <c r="KC78" i="1" s="1"/>
  <c r="AE78" i="1" s="1" a="1"/>
  <c r="AE78" i="1" s="1"/>
  <c r="AA93" i="4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KK88" i="1"/>
  <c r="KI89" i="1" s="1" a="1"/>
  <c r="KI89" i="1" s="1"/>
  <c r="KJ89" i="1" s="1"/>
  <c r="X114" i="1"/>
  <c r="Z78" i="1" l="1" a="1"/>
  <c r="Z78" i="1" s="1"/>
  <c r="Y79" i="1" s="1" a="1"/>
  <c r="Y79" i="1" s="1"/>
  <c r="Z94" i="4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KK89" i="1"/>
  <c r="KL89" i="1" s="1"/>
  <c r="KM89" i="1" s="1"/>
  <c r="X115" i="1"/>
  <c r="AB79" i="1" l="1"/>
  <c r="KD79" i="1" s="1"/>
  <c r="AA79" i="1"/>
  <c r="KC79" i="1" s="1"/>
  <c r="AE79" i="1" s="1" a="1"/>
  <c r="AE79" i="1" s="1"/>
  <c r="AA95" i="4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KI90" i="1" a="1"/>
  <c r="KI90" i="1" s="1"/>
  <c r="KJ90" i="1" s="1"/>
  <c r="KK90" i="1" s="1"/>
  <c r="X116" i="1"/>
  <c r="Z79" i="1" l="1" a="1"/>
  <c r="Z79" i="1" s="1"/>
  <c r="Y80" i="1" s="1" a="1"/>
  <c r="Y80" i="1" s="1"/>
  <c r="AA96" i="4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KI91" i="1" a="1"/>
  <c r="KI91" i="1" s="1"/>
  <c r="KJ91" i="1" s="1"/>
  <c r="KK91" i="1" s="1"/>
  <c r="AB80" i="1" l="1"/>
  <c r="KD80" i="1" s="1"/>
  <c r="AA80" i="1"/>
  <c r="KC80" i="1" s="1"/>
  <c r="AE80" i="1" s="1" a="1"/>
  <c r="AE80" i="1" s="1"/>
  <c r="AA97" i="4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KI92" i="1" a="1"/>
  <c r="KI92" i="1" s="1"/>
  <c r="KJ92" i="1" s="1"/>
  <c r="KK92" i="1" s="1"/>
  <c r="KI93" i="1" s="1" a="1"/>
  <c r="KI93" i="1" s="1"/>
  <c r="KJ93" i="1" s="1"/>
  <c r="X118" i="1"/>
  <c r="Z80" i="1" l="1" a="1"/>
  <c r="Z80" i="1" s="1"/>
  <c r="Y81" i="1" s="1" a="1"/>
  <c r="Y81" i="1" s="1"/>
  <c r="Z98" i="4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KK93" i="1"/>
  <c r="KI94" i="1" s="1" a="1"/>
  <c r="KI94" i="1" s="1"/>
  <c r="KJ94" i="1" s="1"/>
  <c r="X119" i="1"/>
  <c r="AB81" i="1" l="1"/>
  <c r="KD81" i="1" s="1"/>
  <c r="AA81" i="1"/>
  <c r="KC81" i="1" s="1"/>
  <c r="AE81" i="1" s="1" a="1"/>
  <c r="AE81" i="1" s="1"/>
  <c r="AA99" i="4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KK94" i="1"/>
  <c r="KI95" i="1" s="1" a="1"/>
  <c r="KI95" i="1" s="1"/>
  <c r="KJ95" i="1" s="1"/>
  <c r="X120" i="1"/>
  <c r="Z81" i="1" l="1" a="1"/>
  <c r="Z81" i="1" s="1"/>
  <c r="Y82" i="1" s="1" a="1"/>
  <c r="Y82" i="1" s="1"/>
  <c r="AA100" i="4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KK95" i="1"/>
  <c r="KI96" i="1" s="1" a="1"/>
  <c r="KI96" i="1" s="1"/>
  <c r="KJ96" i="1" s="1"/>
  <c r="KK96" i="1" s="1"/>
  <c r="KI97" i="1" s="1" a="1"/>
  <c r="KI97" i="1" s="1"/>
  <c r="X121" i="1"/>
  <c r="AB82" i="1" l="1"/>
  <c r="KD82" i="1" s="1"/>
  <c r="AA82" i="1"/>
  <c r="KC82" i="1" s="1"/>
  <c r="AE82" i="1" s="1" a="1"/>
  <c r="AE82" i="1" s="1"/>
  <c r="AA101" i="4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KJ97" i="1"/>
  <c r="KK97" i="1" s="1"/>
  <c r="X122" i="1"/>
  <c r="Z82" i="1" l="1" a="1"/>
  <c r="Z82" i="1" s="1"/>
  <c r="Y83" i="1" s="1" a="1"/>
  <c r="Y83" i="1" s="1"/>
  <c r="AA102" i="4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KI98" i="1" a="1"/>
  <c r="KI98" i="1" s="1"/>
  <c r="KJ98" i="1" s="1"/>
  <c r="AB83" i="1" l="1"/>
  <c r="KD83" i="1" s="1"/>
  <c r="AA83" i="1"/>
  <c r="KC83" i="1" s="1"/>
  <c r="AE83" i="1" s="1" a="1"/>
  <c r="AE83" i="1" s="1"/>
  <c r="Z103" i="4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KK98" i="1"/>
  <c r="KI99" i="1" s="1" a="1"/>
  <c r="KI99" i="1" s="1"/>
  <c r="X124" i="1"/>
  <c r="Z83" i="1" l="1" a="1"/>
  <c r="Z83" i="1" s="1"/>
  <c r="Y84" i="1" s="1" a="1"/>
  <c r="Y84" i="1" s="1"/>
  <c r="AA104" i="4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KJ99" i="1"/>
  <c r="KK99" i="1" s="1"/>
  <c r="X125" i="1"/>
  <c r="AB84" i="1" l="1"/>
  <c r="KD84" i="1" s="1"/>
  <c r="AA84" i="1"/>
  <c r="KC84" i="1" s="1"/>
  <c r="AE84" i="1" s="1" a="1"/>
  <c r="AE84" i="1" s="1"/>
  <c r="Z105" i="4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KI100" i="1" a="1"/>
  <c r="KI100" i="1" s="1"/>
  <c r="KJ100" i="1" s="1"/>
  <c r="KK100" i="1" s="1"/>
  <c r="X126" i="1"/>
  <c r="Z84" i="1" l="1" a="1"/>
  <c r="Z84" i="1" s="1"/>
  <c r="Y85" i="1" s="1" a="1"/>
  <c r="Y85" i="1" s="1"/>
  <c r="Z106" i="4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KI101" i="1" a="1"/>
  <c r="KI101" i="1" s="1"/>
  <c r="KJ101" i="1" s="1"/>
  <c r="KK101" i="1" s="1"/>
  <c r="KI102" i="1" s="1" a="1"/>
  <c r="KI102" i="1" s="1"/>
  <c r="KJ102" i="1" s="1"/>
  <c r="KK102" i="1" s="1"/>
  <c r="X127" i="1"/>
  <c r="AB85" i="1" l="1"/>
  <c r="KD85" i="1" s="1"/>
  <c r="AA85" i="1"/>
  <c r="KC85" i="1" s="1"/>
  <c r="AE85" i="1" s="1" a="1"/>
  <c r="AE85" i="1" s="1"/>
  <c r="Z107" i="4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KI103" i="1" a="1"/>
  <c r="KI103" i="1" s="1"/>
  <c r="KJ103" i="1" s="1"/>
  <c r="KK103" i="1" s="1"/>
  <c r="X128" i="1"/>
  <c r="Z85" i="1" l="1" a="1"/>
  <c r="Z85" i="1" s="1"/>
  <c r="Y86" i="1" s="1" a="1"/>
  <c r="Y86" i="1" s="1"/>
  <c r="AA108" i="4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KI104" i="1" a="1"/>
  <c r="KI104" i="1" s="1"/>
  <c r="KJ104" i="1" s="1"/>
  <c r="AA86" i="1" l="1"/>
  <c r="KC86" i="1" s="1"/>
  <c r="AE86" i="1" s="1" a="1"/>
  <c r="AE86" i="1" s="1"/>
  <c r="AB86" i="1"/>
  <c r="KD86" i="1" s="1"/>
  <c r="Z109" i="4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KK104" i="1"/>
  <c r="KI105" i="1" s="1" a="1"/>
  <c r="KI105" i="1" s="1"/>
  <c r="KJ105" i="1" s="1"/>
  <c r="X130" i="1"/>
  <c r="Z86" i="1" l="1" a="1"/>
  <c r="Z86" i="1" s="1"/>
  <c r="Y87" i="1" s="1" a="1"/>
  <c r="Y87" i="1" s="1"/>
  <c r="AA110" i="4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KK105" i="1"/>
  <c r="KI106" i="1" s="1" a="1"/>
  <c r="KI106" i="1" s="1"/>
  <c r="X131" i="1"/>
  <c r="AB87" i="1" l="1"/>
  <c r="KD87" i="1" s="1"/>
  <c r="AA87" i="1"/>
  <c r="KC87" i="1" s="1"/>
  <c r="AE87" i="1" s="1" a="1"/>
  <c r="AE87" i="1" s="1"/>
  <c r="AA111" i="4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KJ106" i="1"/>
  <c r="X132" i="1"/>
  <c r="Z87" i="1" l="1" a="1"/>
  <c r="Z87" i="1" s="1"/>
  <c r="Y88" i="1" s="1" a="1"/>
  <c r="Y88" i="1" s="1"/>
  <c r="AA112" i="4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KK106" i="1"/>
  <c r="KI107" i="1" s="1" a="1"/>
  <c r="KI107" i="1" s="1"/>
  <c r="KJ107" i="1" s="1"/>
  <c r="KK107" i="1" s="1"/>
  <c r="X133" i="1"/>
  <c r="AB88" i="1" l="1"/>
  <c r="KD88" i="1" s="1"/>
  <c r="AA88" i="1"/>
  <c r="KC88" i="1" s="1"/>
  <c r="AE88" i="1" s="1" a="1"/>
  <c r="AE88" i="1" s="1"/>
  <c r="AA113" i="4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KI108" i="1" a="1"/>
  <c r="KI108" i="1" s="1"/>
  <c r="KJ108" i="1" s="1"/>
  <c r="KK108" i="1" s="1"/>
  <c r="X134" i="1"/>
  <c r="Z88" i="1" l="1" a="1"/>
  <c r="Z88" i="1" s="1"/>
  <c r="Y89" i="1" s="1" a="1"/>
  <c r="Y89" i="1" s="1"/>
  <c r="Z114" i="4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KI109" i="1" a="1"/>
  <c r="KI109" i="1" s="1"/>
  <c r="KJ109" i="1" s="1"/>
  <c r="KK109" i="1" s="1"/>
  <c r="KI110" i="1" s="1" a="1"/>
  <c r="KI110" i="1" s="1"/>
  <c r="KJ110" i="1" s="1"/>
  <c r="AA89" i="1" l="1"/>
  <c r="KC89" i="1" s="1"/>
  <c r="AE89" i="1" s="1" a="1"/>
  <c r="AE89" i="1" s="1"/>
  <c r="AB89" i="1"/>
  <c r="KD89" i="1" s="1"/>
  <c r="AA115" i="4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KK110" i="1"/>
  <c r="KI111" i="1" s="1" a="1"/>
  <c r="KI111" i="1" s="1"/>
  <c r="KJ111" i="1" s="1"/>
  <c r="KK111" i="1" s="1"/>
  <c r="KI112" i="1" s="1" a="1"/>
  <c r="KI112" i="1" s="1"/>
  <c r="X136" i="1"/>
  <c r="Z89" i="1" l="1" a="1"/>
  <c r="Z89" i="1" s="1"/>
  <c r="Y90" i="1" s="1" a="1"/>
  <c r="Y90" i="1" s="1"/>
  <c r="AA116" i="4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J112" i="1"/>
  <c r="KK112" i="1" s="1"/>
  <c r="KI113" i="1" s="1" a="1"/>
  <c r="KI113" i="1" s="1"/>
  <c r="X137" i="1"/>
  <c r="AB90" i="1" l="1"/>
  <c r="KD90" i="1" s="1"/>
  <c r="AA90" i="1"/>
  <c r="KC90" i="1" s="1"/>
  <c r="AE90" i="1" s="1" a="1"/>
  <c r="AE90" i="1" s="1"/>
  <c r="KI122" i="5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KJ113" i="1"/>
  <c r="KK113" i="1" s="1"/>
  <c r="X138" i="1"/>
  <c r="Z90" i="1" l="1" a="1"/>
  <c r="Z90" i="1" s="1"/>
  <c r="Y91" i="1" s="1" a="1"/>
  <c r="Y91" i="1" s="1"/>
  <c r="Z118" i="4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KI114" i="1" a="1"/>
  <c r="KI114" i="1" s="1"/>
  <c r="KJ114" i="1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X139" i="1"/>
  <c r="AB91" i="1" l="1"/>
  <c r="KD91" i="1" s="1"/>
  <c r="AA91" i="1"/>
  <c r="KC91" i="1" s="1"/>
  <c r="AE91" i="1" s="1" a="1"/>
  <c r="AE91" i="1" s="1"/>
  <c r="Z119" i="4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KK114" i="1"/>
  <c r="KI115" i="1" s="1" a="1"/>
  <c r="KI115" i="1" s="1"/>
  <c r="KJ115" i="1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X140" i="1"/>
  <c r="Z91" i="1" l="1" a="1"/>
  <c r="Z91" i="1" s="1"/>
  <c r="Y92" i="1" s="1" a="1"/>
  <c r="Y92" i="1" s="1"/>
  <c r="Z120" i="4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KK115" i="1"/>
  <c r="KI116" i="1" s="1" a="1"/>
  <c r="KI116" i="1" s="1"/>
  <c r="KJ116" i="1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B92" i="1" l="1"/>
  <c r="KD92" i="1" s="1"/>
  <c r="AA92" i="1"/>
  <c r="KC92" i="1" s="1"/>
  <c r="AE92" i="1" s="1" a="1"/>
  <c r="AE92" i="1" s="1"/>
  <c r="AA121" i="4"/>
  <c r="JY121" i="4" s="1"/>
  <c r="Z121" i="4" s="1" a="1"/>
  <c r="Z121" i="4" s="1"/>
  <c r="KE122" i="4" a="1"/>
  <c r="KE122" i="4" s="1"/>
  <c r="KF121" i="4"/>
  <c r="KG121" i="4" s="1"/>
  <c r="KK116" i="1"/>
  <c r="KI117" i="1" s="1" a="1"/>
  <c r="KI117" i="1" s="1"/>
  <c r="KJ117" i="1" s="1"/>
  <c r="KK117" i="1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X142" i="1"/>
  <c r="Z92" i="1" l="1" a="1"/>
  <c r="Z92" i="1" s="1"/>
  <c r="Y93" i="1" s="1" a="1"/>
  <c r="Y93" i="1" s="1"/>
  <c r="Z122" i="4" a="1"/>
  <c r="Z122" i="4" s="1"/>
  <c r="Y123" i="4" s="1" a="1"/>
  <c r="Y123" i="4" s="1"/>
  <c r="AB123" i="4" s="1"/>
  <c r="JZ123" i="4" s="1"/>
  <c r="KE123" i="4" a="1"/>
  <c r="KE123" i="4" s="1"/>
  <c r="KF122" i="4"/>
  <c r="KG122" i="4" s="1"/>
  <c r="KI118" i="1" a="1"/>
  <c r="KI118" i="1" s="1"/>
  <c r="KJ118" i="1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93" i="1" l="1"/>
  <c r="KC93" i="1" s="1"/>
  <c r="AE93" i="1" s="1" a="1"/>
  <c r="AE93" i="1" s="1"/>
  <c r="AB93" i="1"/>
  <c r="KD93" i="1" s="1"/>
  <c r="AA123" i="4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KK118" i="1"/>
  <c r="KI119" i="1" s="1" a="1"/>
  <c r="KI119" i="1" s="1"/>
  <c r="KJ119" i="1" s="1"/>
  <c r="KK119" i="1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X144" i="1"/>
  <c r="Z93" i="1" l="1" a="1"/>
  <c r="Z93" i="1" s="1"/>
  <c r="Y94" i="1" s="1" a="1"/>
  <c r="Y94" i="1" s="1"/>
  <c r="Z124" i="4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KI120" i="1" a="1"/>
  <c r="KI120" i="1" s="1"/>
  <c r="KJ120" i="1" s="1"/>
  <c r="X145" i="1"/>
  <c r="AB94" i="1" l="1"/>
  <c r="KD94" i="1" s="1"/>
  <c r="AA94" i="1"/>
  <c r="KC94" i="1" s="1"/>
  <c r="AE94" i="1" s="1" a="1"/>
  <c r="AE94" i="1" s="1"/>
  <c r="AA125" i="4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KK120" i="1"/>
  <c r="KI121" i="1" s="1" a="1"/>
  <c r="KI121" i="1" s="1"/>
  <c r="KJ121" i="1" s="1"/>
  <c r="X146" i="1"/>
  <c r="Z94" i="1" l="1" a="1"/>
  <c r="Z94" i="1" s="1"/>
  <c r="Y95" i="1" s="1" a="1"/>
  <c r="Y95" i="1" s="1"/>
  <c r="AA126" i="4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KK121" i="1"/>
  <c r="KI122" i="1" s="1" a="1"/>
  <c r="KI122" i="1" s="1"/>
  <c r="KJ122" i="1" s="1"/>
  <c r="X147" i="1"/>
  <c r="AA95" i="1" l="1"/>
  <c r="KC95" i="1" s="1"/>
  <c r="AE95" i="1" s="1" a="1"/>
  <c r="AE95" i="1" s="1"/>
  <c r="AB95" i="1"/>
  <c r="KD95" i="1" s="1"/>
  <c r="Z127" i="4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KK122" i="1"/>
  <c r="KI123" i="1" s="1" a="1"/>
  <c r="KI123" i="1" s="1"/>
  <c r="KJ123" i="1" s="1"/>
  <c r="KK123" i="1" s="1"/>
  <c r="X148" i="1"/>
  <c r="Z95" i="1" l="1" a="1"/>
  <c r="Z95" i="1" s="1"/>
  <c r="Y96" i="1" s="1" a="1"/>
  <c r="Y96" i="1" s="1"/>
  <c r="AA128" i="4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KI124" i="1" a="1"/>
  <c r="KI124" i="1" s="1"/>
  <c r="KJ124" i="1" s="1"/>
  <c r="X149" i="1"/>
  <c r="AB96" i="1" l="1"/>
  <c r="KD96" i="1" s="1"/>
  <c r="AA96" i="1"/>
  <c r="KC96" i="1" s="1"/>
  <c r="AE96" i="1" s="1" a="1"/>
  <c r="AE96" i="1" s="1"/>
  <c r="AA129" i="4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KK124" i="1"/>
  <c r="KI125" i="1" s="1" a="1"/>
  <c r="KI125" i="1" s="1"/>
  <c r="KJ125" i="1" s="1"/>
  <c r="X150" i="1"/>
  <c r="Z96" i="1" l="1" a="1"/>
  <c r="Z96" i="1" s="1"/>
  <c r="Y97" i="1" s="1" a="1"/>
  <c r="Y97" i="1" s="1"/>
  <c r="Z130" i="4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KK125" i="1"/>
  <c r="KI126" i="1" s="1" a="1"/>
  <c r="KI126" i="1" s="1"/>
  <c r="KJ126" i="1" s="1"/>
  <c r="X151" i="1"/>
  <c r="AA97" i="1" l="1"/>
  <c r="KC97" i="1" s="1"/>
  <c r="AE97" i="1" s="1" a="1"/>
  <c r="AE97" i="1" s="1"/>
  <c r="AB97" i="1"/>
  <c r="KD97" i="1" s="1"/>
  <c r="Z131" i="4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KK126" i="1"/>
  <c r="KI127" i="1" s="1" a="1"/>
  <c r="KI127" i="1" s="1"/>
  <c r="KJ127" i="1" s="1"/>
  <c r="KK127" i="1" s="1"/>
  <c r="X152" i="1"/>
  <c r="Z97" i="1" l="1" a="1"/>
  <c r="Z97" i="1" s="1"/>
  <c r="Y98" i="1" s="1" a="1"/>
  <c r="Y98" i="1" s="1"/>
  <c r="AA132" i="4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KI128" i="1" a="1"/>
  <c r="KI128" i="1" s="1"/>
  <c r="KJ128" i="1" s="1"/>
  <c r="KK128" i="1" s="1"/>
  <c r="X153" i="1"/>
  <c r="AA98" i="1" l="1"/>
  <c r="KC98" i="1" s="1"/>
  <c r="AE98" i="1" s="1" a="1"/>
  <c r="AE98" i="1" s="1"/>
  <c r="AB98" i="1"/>
  <c r="KD98" i="1" s="1"/>
  <c r="AA133" i="4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KI129" i="1" a="1"/>
  <c r="KI129" i="1" s="1"/>
  <c r="KJ129" i="1" s="1"/>
  <c r="X154" i="1"/>
  <c r="Z98" i="1" l="1" a="1"/>
  <c r="Z98" i="1" s="1"/>
  <c r="Y99" i="1" s="1" a="1"/>
  <c r="Y99" i="1" s="1"/>
  <c r="AA134" i="4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KK129" i="1"/>
  <c r="KI130" i="1" s="1" a="1"/>
  <c r="KI130" i="1" s="1"/>
  <c r="KJ130" i="1" s="1"/>
  <c r="X155" i="1"/>
  <c r="AA99" i="1" l="1"/>
  <c r="KC99" i="1" s="1"/>
  <c r="AE99" i="1" s="1" a="1"/>
  <c r="AE99" i="1" s="1"/>
  <c r="AB99" i="1"/>
  <c r="KD99" i="1" s="1"/>
  <c r="Z135" i="4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KK130" i="1"/>
  <c r="KI131" i="1" s="1" a="1"/>
  <c r="KI131" i="1" s="1"/>
  <c r="KJ131" i="1" s="1"/>
  <c r="X156" i="1"/>
  <c r="Z99" i="1" l="1" a="1"/>
  <c r="Z99" i="1" s="1"/>
  <c r="Y100" i="1" s="1" a="1"/>
  <c r="Y100" i="1" s="1"/>
  <c r="AA136" i="4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KK131" i="1"/>
  <c r="KI132" i="1" s="1" a="1"/>
  <c r="KI132" i="1" s="1"/>
  <c r="KJ132" i="1" s="1"/>
  <c r="X157" i="1"/>
  <c r="AA100" i="1" l="1"/>
  <c r="KC100" i="1" s="1"/>
  <c r="AE100" i="1" s="1" a="1"/>
  <c r="AE100" i="1" s="1"/>
  <c r="AB100" i="1"/>
  <c r="KD100" i="1" s="1"/>
  <c r="Z137" i="4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KK132" i="1"/>
  <c r="KI133" i="1" s="1" a="1"/>
  <c r="KI133" i="1" s="1"/>
  <c r="KJ133" i="1" s="1"/>
  <c r="X158" i="1"/>
  <c r="Z100" i="1" l="1" a="1"/>
  <c r="Z100" i="1" s="1"/>
  <c r="Y101" i="1" s="1" a="1"/>
  <c r="Y101" i="1" s="1"/>
  <c r="Z138" i="4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KK133" i="1"/>
  <c r="KI134" i="1" s="1" a="1"/>
  <c r="KI134" i="1" s="1"/>
  <c r="KJ134" i="1" s="1"/>
  <c r="AA101" i="1" l="1"/>
  <c r="KC101" i="1" s="1"/>
  <c r="AE101" i="1" s="1" a="1"/>
  <c r="AE101" i="1" s="1"/>
  <c r="AB101" i="1"/>
  <c r="KD101" i="1" s="1"/>
  <c r="AA139" i="4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KK134" i="1"/>
  <c r="KI135" i="1" s="1" a="1"/>
  <c r="KI135" i="1" s="1"/>
  <c r="KJ135" i="1" s="1"/>
  <c r="KK135" i="1" s="1"/>
  <c r="X160" i="1"/>
  <c r="Z101" i="1" l="1" a="1"/>
  <c r="Z101" i="1" s="1"/>
  <c r="Y102" i="1" s="1" a="1"/>
  <c r="Y102" i="1" s="1"/>
  <c r="Z140" i="4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KI136" i="1" a="1"/>
  <c r="KI136" i="1" s="1"/>
  <c r="KJ136" i="1" s="1"/>
  <c r="X161" i="1"/>
  <c r="AB102" i="1" l="1"/>
  <c r="KD102" i="1" s="1"/>
  <c r="AA102" i="1"/>
  <c r="KC102" i="1" s="1"/>
  <c r="AE102" i="1" s="1" a="1"/>
  <c r="AE102" i="1" s="1"/>
  <c r="Z141" i="4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KK136" i="1"/>
  <c r="KI137" i="1" s="1" a="1"/>
  <c r="KI137" i="1" s="1"/>
  <c r="X162" i="1"/>
  <c r="Z102" i="1" l="1" a="1"/>
  <c r="Z102" i="1" s="1"/>
  <c r="Y103" i="1" s="1" a="1"/>
  <c r="Y103" i="1" s="1"/>
  <c r="Z142" i="4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J137" i="1"/>
  <c r="KK137" i="1" s="1"/>
  <c r="X163" i="1"/>
  <c r="AB103" i="1" l="1"/>
  <c r="KD103" i="1" s="1"/>
  <c r="AA103" i="1"/>
  <c r="KC103" i="1" s="1"/>
  <c r="AE103" i="1" s="1" a="1"/>
  <c r="AE103" i="1" s="1"/>
  <c r="KI147" i="5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I138" i="1" a="1"/>
  <c r="KI138" i="1" s="1"/>
  <c r="KJ138" i="1" s="1"/>
  <c r="KK138" i="1" s="1"/>
  <c r="X164" i="1"/>
  <c r="X167" i="1" s="1"/>
  <c r="X168" i="1" s="1"/>
  <c r="Z103" i="1" l="1" a="1"/>
  <c r="Z103" i="1" s="1"/>
  <c r="Y104" i="1" s="1" a="1"/>
  <c r="Y104" i="1" s="1"/>
  <c r="KK147" i="5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I139" i="1" a="1"/>
  <c r="KI139" i="1" s="1"/>
  <c r="KJ139" i="1" s="1"/>
  <c r="KK139" i="1" s="1"/>
  <c r="KI140" i="1" s="1" a="1"/>
  <c r="KI140" i="1" s="1"/>
  <c r="KJ140" i="1" s="1"/>
  <c r="Y166" i="1" a="1"/>
  <c r="Y166" i="1" s="1"/>
  <c r="AA104" i="1" l="1"/>
  <c r="KC104" i="1" s="1"/>
  <c r="AE104" i="1" s="1" a="1"/>
  <c r="AE104" i="1" s="1"/>
  <c r="AB104" i="1"/>
  <c r="KD104" i="1" s="1"/>
  <c r="KK148" i="5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B166" i="1"/>
  <c r="AA166" i="1"/>
  <c r="KK140" i="1"/>
  <c r="KI141" i="1" s="1" a="1"/>
  <c r="KI141" i="1" s="1"/>
  <c r="KJ141" i="1" s="1"/>
  <c r="Z104" i="1" l="1" a="1"/>
  <c r="Z104" i="1" s="1"/>
  <c r="Y105" i="1" s="1" a="1"/>
  <c r="Y105" i="1" s="1"/>
  <c r="AA149" i="5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KK141" i="1"/>
  <c r="KI142" i="1" s="1" a="1"/>
  <c r="KI142" i="1" s="1"/>
  <c r="KJ142" i="1" s="1"/>
  <c r="KA166" i="1"/>
  <c r="KC166" i="1"/>
  <c r="X171" i="1"/>
  <c r="KD166" i="1"/>
  <c r="KB166" i="1"/>
  <c r="KF166" i="1" s="1"/>
  <c r="AA105" i="1" l="1"/>
  <c r="KC105" i="1" s="1"/>
  <c r="AE105" i="1" s="1" a="1"/>
  <c r="AE105" i="1" s="1"/>
  <c r="AB105" i="1"/>
  <c r="KD105" i="1" s="1"/>
  <c r="AA147" i="4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KK142" i="1"/>
  <c r="KI143" i="1" s="1" a="1"/>
  <c r="KI143" i="1" s="1"/>
  <c r="KJ143" i="1" s="1"/>
  <c r="KE166" i="1"/>
  <c r="X172" i="1"/>
  <c r="Z105" i="1" l="1" a="1"/>
  <c r="Z105" i="1" s="1"/>
  <c r="Y106" i="1" s="1" a="1"/>
  <c r="Y106" i="1" s="1"/>
  <c r="AA148" i="4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KK143" i="1"/>
  <c r="KI144" i="1" s="1" a="1"/>
  <c r="KI144" i="1" s="1"/>
  <c r="KJ144" i="1" s="1"/>
  <c r="X173" i="1"/>
  <c r="AB106" i="1" l="1"/>
  <c r="KD106" i="1" s="1"/>
  <c r="AA106" i="1"/>
  <c r="KC106" i="1" s="1"/>
  <c r="AE106" i="1" s="1" a="1"/>
  <c r="AE106" i="1" s="1"/>
  <c r="AA149" i="4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KK144" i="1"/>
  <c r="KI145" i="1" s="1" a="1"/>
  <c r="KI145" i="1" s="1"/>
  <c r="KJ145" i="1" s="1"/>
  <c r="KK145" i="1" s="1"/>
  <c r="KI146" i="1" s="1" a="1"/>
  <c r="KI146" i="1" s="1"/>
  <c r="X174" i="1"/>
  <c r="Z106" i="1" l="1" a="1"/>
  <c r="Z106" i="1" s="1"/>
  <c r="Y107" i="1" s="1" a="1"/>
  <c r="Y107" i="1" s="1"/>
  <c r="Z150" i="4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KJ146" i="1"/>
  <c r="KK146" i="1" s="1"/>
  <c r="X175" i="1"/>
  <c r="AA107" i="1" l="1"/>
  <c r="KC107" i="1" s="1"/>
  <c r="AE107" i="1" s="1" a="1"/>
  <c r="AE107" i="1" s="1"/>
  <c r="AB107" i="1"/>
  <c r="KD107" i="1" s="1"/>
  <c r="Z151" i="4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KI147" i="1" a="1"/>
  <c r="KI147" i="1" s="1"/>
  <c r="KJ147" i="1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X176" i="1"/>
  <c r="Z107" i="1" l="1" a="1"/>
  <c r="Z107" i="1" s="1"/>
  <c r="Y108" i="1" s="1" a="1"/>
  <c r="Y108" i="1" s="1"/>
  <c r="AA152" i="4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KK147" i="1"/>
  <c r="KI148" i="1" s="1" a="1"/>
  <c r="KI148" i="1" s="1"/>
  <c r="KJ148" i="1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X180" i="1"/>
  <c r="AB108" i="1" l="1"/>
  <c r="KD108" i="1" s="1"/>
  <c r="AA108" i="1"/>
  <c r="KC108" i="1" s="1"/>
  <c r="AE108" i="1" s="1" a="1"/>
  <c r="AE108" i="1" s="1"/>
  <c r="AA153" i="4"/>
  <c r="JY153" i="4" s="1"/>
  <c r="Z153" i="4" s="1" a="1"/>
  <c r="Z153" i="4" s="1"/>
  <c r="KF153" i="4"/>
  <c r="KG153" i="4" s="1"/>
  <c r="KE154" i="4" a="1"/>
  <c r="KE154" i="4" s="1"/>
  <c r="KK148" i="1"/>
  <c r="KI149" i="1" s="1" a="1"/>
  <c r="KI149" i="1" s="1"/>
  <c r="KJ149" i="1" s="1"/>
  <c r="KK149" i="1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X181" i="1"/>
  <c r="Z108" i="1" l="1" a="1"/>
  <c r="Z108" i="1" s="1"/>
  <c r="Y109" i="1" s="1" a="1"/>
  <c r="Y109" i="1" s="1"/>
  <c r="KE155" i="4" a="1"/>
  <c r="KE155" i="4" s="1"/>
  <c r="KF154" i="4"/>
  <c r="KG154" i="4" s="1"/>
  <c r="Z154" i="4" a="1"/>
  <c r="Z154" i="4" s="1"/>
  <c r="Y155" i="4" s="1" a="1"/>
  <c r="Y155" i="4" s="1"/>
  <c r="AA155" i="4" s="1"/>
  <c r="JY155" i="4" s="1"/>
  <c r="KI150" i="1" a="1"/>
  <c r="KI150" i="1" s="1"/>
  <c r="KJ150" i="1" s="1"/>
  <c r="KK150" i="1" s="1"/>
  <c r="KI151" i="1" s="1" a="1"/>
  <c r="KI151" i="1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X182" i="1"/>
  <c r="Y183" i="1" s="1" a="1"/>
  <c r="Y183" i="1" s="1"/>
  <c r="AA109" i="1" l="1"/>
  <c r="KC109" i="1" s="1"/>
  <c r="AB109" i="1"/>
  <c r="KD109" i="1" s="1"/>
  <c r="Z155" i="4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83" i="1"/>
  <c r="AB183" i="1"/>
  <c r="KJ151" i="1"/>
  <c r="KK151" i="1" s="1"/>
  <c r="X184" i="1"/>
  <c r="AE109" i="1" l="1" a="1"/>
  <c r="AE109" i="1" s="1"/>
  <c r="Z109" i="1" a="1"/>
  <c r="Z109" i="1" s="1"/>
  <c r="Y110" i="1" s="1" a="1"/>
  <c r="Y110" i="1" s="1"/>
  <c r="AA156" i="4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KI152" i="1" a="1"/>
  <c r="KI152" i="1" s="1"/>
  <c r="KJ152" i="1" s="1"/>
  <c r="KK152" i="1" s="1"/>
  <c r="X159" i="4"/>
  <c r="PB183" i="1"/>
  <c r="OR183" i="1"/>
  <c r="OQ183" i="1"/>
  <c r="PA183" i="1"/>
  <c r="X185" i="1"/>
  <c r="AA110" i="1" l="1"/>
  <c r="KC110" i="1" s="1"/>
  <c r="AE110" i="1" s="1" a="1"/>
  <c r="AE110" i="1" s="1"/>
  <c r="AB110" i="1"/>
  <c r="KD110" i="1" s="1"/>
  <c r="Z110" i="1" s="1" a="1"/>
  <c r="Z110" i="1" s="1"/>
  <c r="Y111" i="1" s="1" a="1"/>
  <c r="Y111" i="1" s="1"/>
  <c r="AA157" i="4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KI153" i="1" a="1"/>
  <c r="KI153" i="1" s="1"/>
  <c r="KJ153" i="1" s="1"/>
  <c r="KK153" i="1" s="1"/>
  <c r="KI154" i="1" s="1" a="1"/>
  <c r="KI154" i="1" s="1"/>
  <c r="X187" i="1"/>
  <c r="PC183" i="1"/>
  <c r="OS183" i="1"/>
  <c r="OT183" i="1"/>
  <c r="PD183" i="1"/>
  <c r="AA111" i="1" l="1"/>
  <c r="KC111" i="1" s="1"/>
  <c r="AE111" i="1" s="1" a="1"/>
  <c r="AE111" i="1" s="1"/>
  <c r="AB111" i="1"/>
  <c r="KD111" i="1" s="1"/>
  <c r="Z111" i="1" s="1" a="1"/>
  <c r="Z111" i="1" s="1"/>
  <c r="Y112" i="1" s="1" a="1"/>
  <c r="Y112" i="1" s="1"/>
  <c r="AA158" i="4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KJ154" i="1"/>
  <c r="KK154" i="1" s="1"/>
  <c r="OU183" i="1"/>
  <c r="PE183" i="1"/>
  <c r="X189" i="1"/>
  <c r="QE187" i="1"/>
  <c r="PF183" i="1"/>
  <c r="OV183" i="1"/>
  <c r="PH183" i="1" s="1"/>
  <c r="AE183" i="1" l="1" a="1"/>
  <c r="AE183" i="1" s="1"/>
  <c r="AA112" i="1"/>
  <c r="KC112" i="1" s="1"/>
  <c r="AE112" i="1" s="1" a="1"/>
  <c r="AE112" i="1" s="1"/>
  <c r="AB112" i="1"/>
  <c r="KD112" i="1" s="1"/>
  <c r="AA159" i="4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KI155" i="1" a="1"/>
  <c r="KI155" i="1" s="1"/>
  <c r="KJ155" i="1" s="1"/>
  <c r="KK155" i="1" s="1"/>
  <c r="X162" i="4"/>
  <c r="Z183" i="1" a="1"/>
  <c r="Z183" i="1" s="1"/>
  <c r="Y184" i="1" s="1" a="1"/>
  <c r="Y184" i="1" s="1"/>
  <c r="PG183" i="1"/>
  <c r="RV187" i="1"/>
  <c r="RW187" i="1"/>
  <c r="RX187" i="1"/>
  <c r="RY187" i="1"/>
  <c r="RO187" i="1"/>
  <c r="RN187" i="1"/>
  <c r="RP187" i="1"/>
  <c r="RQ187" i="1"/>
  <c r="RR187" i="1"/>
  <c r="RS187" i="1"/>
  <c r="RT187" i="1"/>
  <c r="RU187" i="1"/>
  <c r="X190" i="1"/>
  <c r="Z112" i="1" l="1" a="1"/>
  <c r="Z112" i="1" s="1"/>
  <c r="Y113" i="1" s="1" a="1"/>
  <c r="Y113" i="1" s="1"/>
  <c r="AA160" i="4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KI156" i="1" a="1"/>
  <c r="KI156" i="1" s="1"/>
  <c r="KJ156" i="1" s="1"/>
  <c r="KK156" i="1" s="1"/>
  <c r="AA184" i="1"/>
  <c r="AB184" i="1"/>
  <c r="X192" i="1"/>
  <c r="Y193" i="1" s="1" a="1"/>
  <c r="Y193" i="1" s="1"/>
  <c r="AA113" i="1" l="1"/>
  <c r="KC113" i="1" s="1"/>
  <c r="AE113" i="1" s="1" a="1"/>
  <c r="AE113" i="1" s="1"/>
  <c r="AB113" i="1"/>
  <c r="KD113" i="1" s="1"/>
  <c r="AA161" i="4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KI157" i="1" a="1"/>
  <c r="KI157" i="1" s="1"/>
  <c r="KJ157" i="1" s="1"/>
  <c r="KK157" i="1" s="1"/>
  <c r="KI158" i="1" s="1" a="1"/>
  <c r="KI158" i="1" s="1"/>
  <c r="AB193" i="1"/>
  <c r="PB193" i="1" s="1"/>
  <c r="AA193" i="1"/>
  <c r="OR184" i="1"/>
  <c r="PB184" i="1"/>
  <c r="OQ184" i="1"/>
  <c r="PA184" i="1"/>
  <c r="X194" i="1"/>
  <c r="QE192" i="1"/>
  <c r="Z113" i="1" l="1" a="1"/>
  <c r="Z113" i="1" s="1"/>
  <c r="Y114" i="1" s="1" a="1"/>
  <c r="Y114" i="1" s="1"/>
  <c r="Z162" i="4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OR193" i="1"/>
  <c r="PD193" i="1" s="1"/>
  <c r="OS184" i="1"/>
  <c r="PC184" i="1"/>
  <c r="OT184" i="1"/>
  <c r="PD184" i="1"/>
  <c r="KJ158" i="1"/>
  <c r="KK158" i="1" s="1"/>
  <c r="PA193" i="1"/>
  <c r="OQ193" i="1"/>
  <c r="RT192" i="1"/>
  <c r="RR192" i="1"/>
  <c r="RP192" i="1"/>
  <c r="RO192" i="1"/>
  <c r="RQ192" i="1"/>
  <c r="RN192" i="1"/>
  <c r="RY192" i="1"/>
  <c r="RX192" i="1"/>
  <c r="RW192" i="1"/>
  <c r="RS192" i="1"/>
  <c r="RV192" i="1"/>
  <c r="RU192" i="1"/>
  <c r="X195" i="1"/>
  <c r="Y196" i="1" s="1" a="1"/>
  <c r="Y196" i="1" s="1"/>
  <c r="AA114" i="1" l="1"/>
  <c r="KC114" i="1" s="1"/>
  <c r="AE114" i="1" s="1" a="1"/>
  <c r="AE114" i="1" s="1"/>
  <c r="AB114" i="1"/>
  <c r="KD114" i="1" s="1"/>
  <c r="KF163" i="4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KI159" i="1" a="1"/>
  <c r="KI159" i="1" s="1"/>
  <c r="KJ159" i="1" s="1"/>
  <c r="KK159" i="1" s="1"/>
  <c r="OT193" i="1"/>
  <c r="OV193" i="1" s="1"/>
  <c r="PH193" i="1" s="1"/>
  <c r="OV184" i="1"/>
  <c r="PH184" i="1" s="1"/>
  <c r="PF184" i="1"/>
  <c r="PE184" i="1"/>
  <c r="OU184" i="1"/>
  <c r="AB196" i="1"/>
  <c r="KD196" i="1" s="1"/>
  <c r="AA196" i="1"/>
  <c r="OS193" i="1"/>
  <c r="OU193" i="1" s="1"/>
  <c r="PC193" i="1"/>
  <c r="X197" i="1"/>
  <c r="Y198" i="1" s="1" a="1"/>
  <c r="Y198" i="1" s="1"/>
  <c r="AE184" i="1" l="1" a="1"/>
  <c r="AE184" i="1" s="1"/>
  <c r="Z114" i="1" a="1"/>
  <c r="Z114" i="1" s="1"/>
  <c r="Y115" i="1" s="1" a="1"/>
  <c r="Y115" i="1" s="1"/>
  <c r="Z164" i="4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PF193" i="1"/>
  <c r="AB198" i="1"/>
  <c r="AA198" i="1"/>
  <c r="OQ198" i="1" s="1"/>
  <c r="PG184" i="1"/>
  <c r="Z184" i="1" a="1"/>
  <c r="Z184" i="1" s="1"/>
  <c r="Y185" i="1" s="1" a="1"/>
  <c r="Y185" i="1" s="1"/>
  <c r="KI160" i="1" a="1"/>
  <c r="KI160" i="1" s="1"/>
  <c r="KJ160" i="1" s="1"/>
  <c r="KK160" i="1" s="1"/>
  <c r="PE193" i="1"/>
  <c r="AE193" i="1" s="1" a="1"/>
  <c r="AE193" i="1" s="1"/>
  <c r="KC196" i="1"/>
  <c r="AE196" i="1" s="1" a="1"/>
  <c r="AE196" i="1" s="1"/>
  <c r="PG193" i="1"/>
  <c r="X199" i="1"/>
  <c r="X200" i="1" s="1"/>
  <c r="QE197" i="1"/>
  <c r="Z196" i="1" l="1" a="1"/>
  <c r="Z196" i="1" s="1"/>
  <c r="Y197" i="1" s="1" a="1"/>
  <c r="Y197" i="1" s="1"/>
  <c r="AB197" i="1" s="1"/>
  <c r="Z193" i="1" a="1"/>
  <c r="Z193" i="1" s="1"/>
  <c r="Y194" i="1" s="1" a="1"/>
  <c r="Y194" i="1" s="1"/>
  <c r="AB194" i="1" s="1"/>
  <c r="AA115" i="1"/>
  <c r="KC115" i="1" s="1"/>
  <c r="AE115" i="1" s="1" a="1"/>
  <c r="AE115" i="1" s="1"/>
  <c r="AB115" i="1"/>
  <c r="KD115" i="1" s="1"/>
  <c r="KF165" i="4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AA185" i="1"/>
  <c r="AB185" i="1"/>
  <c r="KI161" i="1" a="1"/>
  <c r="KI161" i="1" s="1"/>
  <c r="KJ161" i="1" s="1"/>
  <c r="PA198" i="1"/>
  <c r="PB198" i="1"/>
  <c r="OR198" i="1"/>
  <c r="PC198" i="1"/>
  <c r="OS198" i="1"/>
  <c r="X202" i="1"/>
  <c r="RQ197" i="1"/>
  <c r="RP197" i="1"/>
  <c r="RS197" i="1"/>
  <c r="RO197" i="1"/>
  <c r="RW197" i="1"/>
  <c r="RN197" i="1"/>
  <c r="RY197" i="1"/>
  <c r="RX197" i="1"/>
  <c r="RV197" i="1"/>
  <c r="RR197" i="1"/>
  <c r="RT197" i="1"/>
  <c r="RU197" i="1"/>
  <c r="AA197" i="1" l="1"/>
  <c r="RC197" i="1" s="1"/>
  <c r="AA194" i="1"/>
  <c r="OQ194" i="1" s="1"/>
  <c r="Z115" i="1" a="1"/>
  <c r="Z115" i="1" s="1"/>
  <c r="Y116" i="1" s="1" a="1"/>
  <c r="Y116" i="1" s="1"/>
  <c r="KF166" i="4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QF197" i="1"/>
  <c r="RB197" i="1"/>
  <c r="OR194" i="1"/>
  <c r="PB194" i="1"/>
  <c r="OR185" i="1"/>
  <c r="PB185" i="1"/>
  <c r="OQ185" i="1"/>
  <c r="PA185" i="1"/>
  <c r="KK161" i="1"/>
  <c r="KI162" i="1" s="1" a="1"/>
  <c r="KI162" i="1" s="1"/>
  <c r="Y203" i="1" a="1"/>
  <c r="Y203" i="1" s="1"/>
  <c r="Y204" i="1" a="1"/>
  <c r="Y204" i="1" s="1"/>
  <c r="PE198" i="1"/>
  <c r="OU198" i="1"/>
  <c r="PG198" i="1" s="1"/>
  <c r="OT198" i="1"/>
  <c r="PD198" i="1"/>
  <c r="QE202" i="1"/>
  <c r="X217" i="1"/>
  <c r="PA194" i="1" l="1"/>
  <c r="QG197" i="1"/>
  <c r="QI197" i="1" s="1"/>
  <c r="AA116" i="1"/>
  <c r="KC116" i="1" s="1"/>
  <c r="AE116" i="1" s="1" a="1"/>
  <c r="AE116" i="1" s="1"/>
  <c r="AB116" i="1"/>
  <c r="KD116" i="1" s="1"/>
  <c r="KF167" i="4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AB203" i="1"/>
  <c r="AA203" i="1"/>
  <c r="QH197" i="1"/>
  <c r="RD197" i="1"/>
  <c r="OT194" i="1"/>
  <c r="PD194" i="1"/>
  <c r="PC194" i="1"/>
  <c r="OS194" i="1"/>
  <c r="PC185" i="1"/>
  <c r="OS185" i="1"/>
  <c r="OT185" i="1"/>
  <c r="PD185" i="1"/>
  <c r="KJ162" i="1"/>
  <c r="AB204" i="1"/>
  <c r="KD204" i="1" s="1"/>
  <c r="AA204" i="1"/>
  <c r="KC204" i="1" s="1"/>
  <c r="AE204" i="1" s="1" a="1"/>
  <c r="AE204" i="1" s="1"/>
  <c r="Z198" i="1" a="1"/>
  <c r="Z198" i="1" s="1"/>
  <c r="Y199" i="1" s="1" a="1"/>
  <c r="Y199" i="1" s="1"/>
  <c r="PF198" i="1"/>
  <c r="OV198" i="1"/>
  <c r="PH198" i="1" s="1"/>
  <c r="RX202" i="1"/>
  <c r="RW202" i="1"/>
  <c r="RU202" i="1"/>
  <c r="RS202" i="1"/>
  <c r="RT202" i="1"/>
  <c r="RP202" i="1"/>
  <c r="RO202" i="1"/>
  <c r="RN202" i="1"/>
  <c r="RR202" i="1"/>
  <c r="RQ202" i="1"/>
  <c r="RV202" i="1"/>
  <c r="RY202" i="1"/>
  <c r="X218" i="1"/>
  <c r="X219" i="1" s="1"/>
  <c r="X220" i="1" s="1"/>
  <c r="RE197" i="1" l="1"/>
  <c r="AE198" i="1" a="1"/>
  <c r="AE198" i="1" s="1"/>
  <c r="Z116" i="1" a="1"/>
  <c r="Z116" i="1" s="1"/>
  <c r="Y117" i="1" s="1" a="1"/>
  <c r="Y117" i="1" s="1"/>
  <c r="KE181" i="4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OQ203" i="1"/>
  <c r="PA203" i="1"/>
  <c r="OR203" i="1"/>
  <c r="PB203" i="1"/>
  <c r="QJ197" i="1"/>
  <c r="RF197" i="1"/>
  <c r="QK197" i="1"/>
  <c r="RG197" i="1"/>
  <c r="AB199" i="1"/>
  <c r="AA199" i="1"/>
  <c r="OU194" i="1"/>
  <c r="PE194" i="1"/>
  <c r="OV194" i="1"/>
  <c r="PH194" i="1" s="1"/>
  <c r="PF194" i="1"/>
  <c r="OV185" i="1"/>
  <c r="PF185" i="1"/>
  <c r="OU185" i="1"/>
  <c r="PE185" i="1"/>
  <c r="KK162" i="1"/>
  <c r="KI163" i="1" s="1" a="1"/>
  <c r="KI163" i="1" s="1"/>
  <c r="Z204" i="1" a="1"/>
  <c r="Z204" i="1" s="1"/>
  <c r="Y206" i="1" s="1" a="1"/>
  <c r="Y206" i="1" s="1"/>
  <c r="X222" i="1"/>
  <c r="X224" i="1" s="1"/>
  <c r="AE194" i="1" l="1" a="1"/>
  <c r="AE194" i="1" s="1"/>
  <c r="PG194" i="1"/>
  <c r="AA117" i="1"/>
  <c r="KC117" i="1" s="1"/>
  <c r="AE117" i="1" s="1" a="1"/>
  <c r="AE117" i="1" s="1"/>
  <c r="AB117" i="1"/>
  <c r="KD117" i="1" s="1"/>
  <c r="KE182" i="4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Z194" i="1" a="1"/>
  <c r="Z194" i="1" s="1"/>
  <c r="Y195" i="1" s="1" a="1"/>
  <c r="Y195" i="1" s="1"/>
  <c r="AA195" i="1" s="1"/>
  <c r="X234" i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PD203" i="1"/>
  <c r="OT203" i="1"/>
  <c r="PC203" i="1"/>
  <c r="OS203" i="1"/>
  <c r="QM197" i="1"/>
  <c r="RI197" i="1"/>
  <c r="QL197" i="1"/>
  <c r="RH197" i="1"/>
  <c r="OQ199" i="1"/>
  <c r="PA199" i="1"/>
  <c r="OR199" i="1"/>
  <c r="PB199" i="1"/>
  <c r="PG185" i="1"/>
  <c r="OW185" i="1"/>
  <c r="OX185" i="1"/>
  <c r="PH185" i="1"/>
  <c r="KJ163" i="1"/>
  <c r="KK163" i="1" s="1"/>
  <c r="AB206" i="1"/>
  <c r="KD206" i="1" s="1"/>
  <c r="AA206" i="1"/>
  <c r="KC206" i="1" s="1"/>
  <c r="AE206" i="1" s="1" a="1"/>
  <c r="AE206" i="1" s="1"/>
  <c r="KF221" i="1"/>
  <c r="Z117" i="1" l="1" a="1"/>
  <c r="Z117" i="1" s="1"/>
  <c r="Y118" i="1" s="1" a="1"/>
  <c r="Y118" i="1" s="1"/>
  <c r="AB179" i="5"/>
  <c r="NE179" i="5" s="1"/>
  <c r="AA179" i="5"/>
  <c r="ND179" i="5" s="1"/>
  <c r="Z179" i="5" s="1" a="1"/>
  <c r="Z179" i="5" s="1"/>
  <c r="Y180" i="5" s="1" a="1"/>
  <c r="Y180" i="5" s="1"/>
  <c r="X182" i="5"/>
  <c r="AB195" i="1"/>
  <c r="OR195" i="1" s="1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KI164" i="1" a="1"/>
  <c r="KI164" i="1" s="1"/>
  <c r="KJ164" i="1" s="1"/>
  <c r="PE203" i="1"/>
  <c r="OU203" i="1"/>
  <c r="OV203" i="1"/>
  <c r="PH203" i="1" s="1"/>
  <c r="PF203" i="1"/>
  <c r="QN197" i="1"/>
  <c r="RJ197" i="1"/>
  <c r="QO197" i="1"/>
  <c r="RM197" i="1" s="1"/>
  <c r="RK197" i="1"/>
  <c r="OT199" i="1"/>
  <c r="PD199" i="1"/>
  <c r="OS199" i="1"/>
  <c r="PC199" i="1"/>
  <c r="OQ195" i="1"/>
  <c r="PA195" i="1"/>
  <c r="OZ185" i="1"/>
  <c r="PL185" i="1" s="1"/>
  <c r="PJ185" i="1"/>
  <c r="OY185" i="1"/>
  <c r="PI185" i="1"/>
  <c r="Z206" i="1" a="1"/>
  <c r="Z206" i="1" s="1"/>
  <c r="Y208" i="1" s="1" a="1"/>
  <c r="Y208" i="1" s="1"/>
  <c r="AE203" i="1" l="1" a="1"/>
  <c r="AE203" i="1" s="1"/>
  <c r="AE197" i="1" a="1"/>
  <c r="AE197" i="1" s="1"/>
  <c r="AE185" i="1" a="1"/>
  <c r="AE185" i="1" s="1"/>
  <c r="AA118" i="1"/>
  <c r="KC118" i="1" s="1"/>
  <c r="AE118" i="1" s="1" a="1"/>
  <c r="AE118" i="1" s="1"/>
  <c r="AB118" i="1"/>
  <c r="KD118" i="1" s="1"/>
  <c r="AB180" i="5"/>
  <c r="AA180" i="5"/>
  <c r="Y181" i="5" a="1"/>
  <c r="Y181" i="5" s="1"/>
  <c r="X184" i="5"/>
  <c r="Y183" i="5" a="1"/>
  <c r="Y183" i="5" s="1"/>
  <c r="X267" i="1"/>
  <c r="PB195" i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KK164" i="1"/>
  <c r="KI165" i="1" s="1" a="1"/>
  <c r="KI165" i="1" s="1"/>
  <c r="KJ165" i="1" s="1"/>
  <c r="PG203" i="1"/>
  <c r="Z203" i="1" a="1"/>
  <c r="Z203" i="1" s="1"/>
  <c r="Y205" i="1" s="1" a="1"/>
  <c r="Y205" i="1" s="1"/>
  <c r="RL197" i="1"/>
  <c r="Z197" i="1" a="1"/>
  <c r="Z197" i="1" s="1"/>
  <c r="OU199" i="1"/>
  <c r="PE199" i="1"/>
  <c r="OV199" i="1"/>
  <c r="PH199" i="1" s="1"/>
  <c r="PF199" i="1"/>
  <c r="OT195" i="1"/>
  <c r="PD195" i="1"/>
  <c r="OS195" i="1"/>
  <c r="PC195" i="1"/>
  <c r="PK185" i="1"/>
  <c r="Z185" i="1" a="1"/>
  <c r="Z185" i="1" s="1"/>
  <c r="AB208" i="1"/>
  <c r="KD208" i="1" s="1"/>
  <c r="AA208" i="1"/>
  <c r="AE199" i="1" l="1" a="1"/>
  <c r="AE199" i="1" s="1"/>
  <c r="PG199" i="1"/>
  <c r="Z199" i="1" a="1"/>
  <c r="Z199" i="1" s="1"/>
  <c r="Y200" i="1" s="1" a="1"/>
  <c r="Y200" i="1" s="1"/>
  <c r="AB200" i="1" s="1"/>
  <c r="Z118" i="1" a="1"/>
  <c r="Z118" i="1" s="1"/>
  <c r="Y119" i="1" s="1" a="1"/>
  <c r="Y119" i="1" s="1"/>
  <c r="Y188" i="1" a="1"/>
  <c r="Y188" i="1" s="1"/>
  <c r="AB188" i="1" s="1"/>
  <c r="X185" i="5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X269" i="1" a="1"/>
  <c r="X269" i="1" s="1"/>
  <c r="X271" i="1" s="1" a="1"/>
  <c r="X271" i="1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KK165" i="1"/>
  <c r="KI166" i="1" s="1" a="1"/>
  <c r="KI166" i="1" s="1"/>
  <c r="AA205" i="1"/>
  <c r="AB205" i="1"/>
  <c r="OU195" i="1"/>
  <c r="PE195" i="1"/>
  <c r="OV195" i="1"/>
  <c r="PF195" i="1"/>
  <c r="KI221" i="1" a="1"/>
  <c r="KI221" i="1" s="1"/>
  <c r="KJ166" i="1" l="1"/>
  <c r="KK166" i="1" s="1"/>
  <c r="AA200" i="1"/>
  <c r="OQ200" i="1" s="1"/>
  <c r="AA119" i="1"/>
  <c r="KC119" i="1" s="1"/>
  <c r="AE119" i="1" s="1" a="1"/>
  <c r="AE119" i="1" s="1"/>
  <c r="AB119" i="1"/>
  <c r="KD119" i="1" s="1"/>
  <c r="AA188" i="1"/>
  <c r="OQ188" i="1" s="1"/>
  <c r="OK183" i="5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X273" i="1" a="1"/>
  <c r="X273" i="1" s="1"/>
  <c r="PB188" i="1"/>
  <c r="OR188" i="1"/>
  <c r="AA179" i="4"/>
  <c r="MZ179" i="4" s="1"/>
  <c r="Z179" i="4" s="1" a="1"/>
  <c r="Z179" i="4" s="1"/>
  <c r="Y180" i="4" s="1" a="1"/>
  <c r="Y180" i="4" s="1"/>
  <c r="AB179" i="4"/>
  <c r="NA179" i="4" s="1"/>
  <c r="X182" i="4"/>
  <c r="PB205" i="1"/>
  <c r="OR205" i="1"/>
  <c r="OR200" i="1"/>
  <c r="PB200" i="1"/>
  <c r="OX195" i="1"/>
  <c r="PH195" i="1"/>
  <c r="OW195" i="1"/>
  <c r="PG195" i="1"/>
  <c r="KJ221" i="1"/>
  <c r="KK221" i="1" s="1"/>
  <c r="KL221" i="1" s="1"/>
  <c r="KI222" i="1" a="1"/>
  <c r="KI222" i="1" s="1"/>
  <c r="OQ205" i="1"/>
  <c r="PA205" i="1"/>
  <c r="KL166" i="1" l="1"/>
  <c r="KI167" i="1" s="1" a="1"/>
  <c r="KI167" i="1" s="1"/>
  <c r="KJ167" i="1" s="1"/>
  <c r="KK167" i="1" s="1"/>
  <c r="KL167" i="1" s="1"/>
  <c r="AE166" i="1" a="1"/>
  <c r="AE166" i="1" s="1"/>
  <c r="Z166" i="1" a="1"/>
  <c r="Z166" i="1" s="1"/>
  <c r="Y167" i="1" s="1" a="1"/>
  <c r="Y167" i="1" s="1"/>
  <c r="AB167" i="1" s="1"/>
  <c r="KB167" i="1" s="1"/>
  <c r="KF167" i="1" s="1"/>
  <c r="PA200" i="1"/>
  <c r="Z119" i="1" a="1"/>
  <c r="Z119" i="1" s="1"/>
  <c r="Y120" i="1" s="1" a="1"/>
  <c r="Y120" i="1" s="1"/>
  <c r="PA188" i="1"/>
  <c r="PX187" i="5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X275" i="1" a="1"/>
  <c r="X275" i="1" s="1"/>
  <c r="PD188" i="1"/>
  <c r="OT188" i="1"/>
  <c r="PC188" i="1"/>
  <c r="OS188" i="1"/>
  <c r="AA180" i="4"/>
  <c r="AB180" i="4"/>
  <c r="Y181" i="4" a="1"/>
  <c r="Y181" i="4" s="1"/>
  <c r="X184" i="4"/>
  <c r="Y183" i="4" a="1"/>
  <c r="Y183" i="4" s="1"/>
  <c r="KJ222" i="1"/>
  <c r="KK222" i="1" s="1"/>
  <c r="KL222" i="1" s="1"/>
  <c r="PD205" i="1"/>
  <c r="OT205" i="1"/>
  <c r="OT200" i="1"/>
  <c r="PD200" i="1"/>
  <c r="OS200" i="1"/>
  <c r="PC200" i="1"/>
  <c r="OY195" i="1"/>
  <c r="PI195" i="1"/>
  <c r="OZ195" i="1"/>
  <c r="PL195" i="1" s="1"/>
  <c r="PJ195" i="1"/>
  <c r="KC208" i="1"/>
  <c r="AE208" i="1" s="1" a="1"/>
  <c r="AE208" i="1" s="1"/>
  <c r="PC205" i="1"/>
  <c r="OS205" i="1"/>
  <c r="KD167" i="1" l="1"/>
  <c r="AA167" i="1"/>
  <c r="KA167" i="1" s="1"/>
  <c r="KE167" i="1" s="1"/>
  <c r="AE195" i="1" a="1"/>
  <c r="AE195" i="1" s="1"/>
  <c r="Z208" i="1" a="1"/>
  <c r="Z208" i="1" s="1"/>
  <c r="Y210" i="1" s="1" a="1"/>
  <c r="Y210" i="1" s="1"/>
  <c r="AB210" i="1" s="1"/>
  <c r="AB120" i="1"/>
  <c r="KD120" i="1" s="1"/>
  <c r="AA120" i="1"/>
  <c r="KC120" i="1" s="1"/>
  <c r="AE120" i="1" s="1" a="1"/>
  <c r="AE120" i="1" s="1"/>
  <c r="AB187" i="5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X277" i="1" a="1"/>
  <c r="X277" i="1" s="1"/>
  <c r="OU188" i="1"/>
  <c r="PE188" i="1"/>
  <c r="OV188" i="1"/>
  <c r="PH188" i="1" s="1"/>
  <c r="PF188" i="1"/>
  <c r="KI223" i="1" a="1"/>
  <c r="KI223" i="1" s="1"/>
  <c r="KJ223" i="1" s="1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KC167" i="1"/>
  <c r="KI168" i="1" a="1"/>
  <c r="KI168" i="1" s="1"/>
  <c r="KJ168" i="1" s="1"/>
  <c r="KK168" i="1" s="1"/>
  <c r="KL168" i="1" s="1"/>
  <c r="PF205" i="1"/>
  <c r="OV205" i="1"/>
  <c r="PH205" i="1" s="1"/>
  <c r="OU200" i="1"/>
  <c r="PE200" i="1"/>
  <c r="OV200" i="1"/>
  <c r="PF200" i="1"/>
  <c r="PK195" i="1"/>
  <c r="Z195" i="1" a="1"/>
  <c r="Z195" i="1" s="1"/>
  <c r="PE205" i="1"/>
  <c r="OU205" i="1"/>
  <c r="AE167" i="1" l="1" a="1"/>
  <c r="AE167" i="1" s="1"/>
  <c r="Z167" i="1" a="1"/>
  <c r="Z167" i="1" s="1"/>
  <c r="Y168" i="1" s="1" a="1"/>
  <c r="Y168" i="1" s="1"/>
  <c r="AB168" i="1" s="1"/>
  <c r="AE188" i="1" a="1"/>
  <c r="AE188" i="1" s="1"/>
  <c r="AA210" i="1"/>
  <c r="KC210" i="1" s="1"/>
  <c r="AE210" i="1" s="1" a="1"/>
  <c r="AE210" i="1" s="1"/>
  <c r="Z120" i="1" a="1"/>
  <c r="Z120" i="1" s="1"/>
  <c r="Y121" i="1" s="1" a="1"/>
  <c r="Y121" i="1" s="1"/>
  <c r="OU188" i="5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X279" i="1" a="1"/>
  <c r="X279" i="1" s="1"/>
  <c r="X281" i="1" s="1" a="1"/>
  <c r="X281" i="1" s="1"/>
  <c r="PG188" i="1"/>
  <c r="Z188" i="1" a="1"/>
  <c r="Z188" i="1" s="1"/>
  <c r="Y189" i="1" s="1" a="1"/>
  <c r="Y189" i="1" s="1"/>
  <c r="KK223" i="1"/>
  <c r="KI224" i="1" s="1" a="1"/>
  <c r="KI224" i="1" s="1"/>
  <c r="KJ224" i="1" s="1"/>
  <c r="KK224" i="1" s="1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KI181" i="1" a="1"/>
  <c r="KI181" i="1" s="1"/>
  <c r="KJ181" i="1" s="1"/>
  <c r="KK181" i="1" s="1"/>
  <c r="OX200" i="1"/>
  <c r="PH200" i="1"/>
  <c r="PG200" i="1"/>
  <c r="OW200" i="1"/>
  <c r="KD210" i="1"/>
  <c r="Z210" i="1" a="1"/>
  <c r="Z210" i="1" s="1"/>
  <c r="Y212" i="1" s="1" a="1"/>
  <c r="Y212" i="1" s="1"/>
  <c r="PG205" i="1"/>
  <c r="AE205" i="1" s="1" a="1"/>
  <c r="AE205" i="1" s="1"/>
  <c r="Z205" i="1" l="1" a="1"/>
  <c r="Z205" i="1" s="1"/>
  <c r="AA168" i="1"/>
  <c r="KA168" i="1" s="1"/>
  <c r="AA121" i="1"/>
  <c r="KC121" i="1" s="1"/>
  <c r="AE121" i="1" s="1" a="1"/>
  <c r="AE121" i="1" s="1"/>
  <c r="AB121" i="1"/>
  <c r="KD121" i="1" s="1"/>
  <c r="AA191" i="5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AA189" i="1"/>
  <c r="AB189" i="1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KL181" i="1"/>
  <c r="KM181" i="1" s="1"/>
  <c r="OY200" i="1"/>
  <c r="PI200" i="1"/>
  <c r="OZ200" i="1"/>
  <c r="PL200" i="1" s="1"/>
  <c r="PJ200" i="1"/>
  <c r="KB168" i="1"/>
  <c r="KF168" i="1" s="1"/>
  <c r="KD168" i="1"/>
  <c r="AB212" i="1"/>
  <c r="KD212" i="1" s="1"/>
  <c r="AA212" i="1"/>
  <c r="KC212" i="1" s="1"/>
  <c r="AE212" i="1" s="1" a="1"/>
  <c r="AE212" i="1" s="1"/>
  <c r="KC168" i="1" l="1"/>
  <c r="AE200" i="1" a="1"/>
  <c r="AE200" i="1" s="1"/>
  <c r="AE168" i="1" a="1"/>
  <c r="AE168" i="1" s="1"/>
  <c r="Z121" i="1" a="1"/>
  <c r="Z121" i="1" s="1"/>
  <c r="Y122" i="1" s="1" a="1"/>
  <c r="Y122" i="1" s="1"/>
  <c r="AB192" i="5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KI182" i="1" a="1"/>
  <c r="KI182" i="1" s="1"/>
  <c r="OR189" i="1"/>
  <c r="PB189" i="1"/>
  <c r="PA189" i="1"/>
  <c r="OQ189" i="1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KI233" i="1" a="1"/>
  <c r="KI233" i="1" s="1"/>
  <c r="PK200" i="1"/>
  <c r="Z200" i="1" s="1" a="1"/>
  <c r="Z200" i="1" s="1"/>
  <c r="KE168" i="1"/>
  <c r="Z168" i="1" a="1"/>
  <c r="Z168" i="1" s="1"/>
  <c r="Z212" i="1" a="1"/>
  <c r="Z212" i="1" s="1"/>
  <c r="Y214" i="1" s="1" a="1"/>
  <c r="Y214" i="1" s="1"/>
  <c r="AA122" i="1" l="1"/>
  <c r="KC122" i="1" s="1"/>
  <c r="AE122" i="1" s="1" a="1"/>
  <c r="AE122" i="1" s="1"/>
  <c r="AB122" i="1"/>
  <c r="KD122" i="1" s="1"/>
  <c r="Y207" i="1" a="1"/>
  <c r="Y207" i="1" s="1"/>
  <c r="KJ182" i="1"/>
  <c r="KK182" i="1" s="1"/>
  <c r="KL182" i="1" s="1"/>
  <c r="KM182" i="1" s="1"/>
  <c r="OJ193" i="5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PC189" i="1"/>
  <c r="OS189" i="1"/>
  <c r="OT189" i="1"/>
  <c r="PD189" i="1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KJ233" i="1"/>
  <c r="KK233" i="1" s="1"/>
  <c r="AB214" i="1"/>
  <c r="KD214" i="1" s="1"/>
  <c r="Z214" i="1" s="1" a="1"/>
  <c r="Z214" i="1" s="1"/>
  <c r="Y216" i="1" s="1" a="1"/>
  <c r="Y216" i="1" s="1"/>
  <c r="AA214" i="1"/>
  <c r="KC214" i="1" s="1"/>
  <c r="AE214" i="1" s="1" a="1"/>
  <c r="AE214" i="1" s="1"/>
  <c r="Z122" i="1" l="1" a="1"/>
  <c r="Z122" i="1" s="1"/>
  <c r="Y123" i="1" s="1" a="1"/>
  <c r="Y123" i="1" s="1"/>
  <c r="AA207" i="1"/>
  <c r="AB207" i="1"/>
  <c r="KJ340" i="1"/>
  <c r="PX197" i="5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PF189" i="1"/>
  <c r="OV189" i="1"/>
  <c r="PH189" i="1" s="1"/>
  <c r="OU189" i="1"/>
  <c r="PE189" i="1"/>
  <c r="KI234" i="1" a="1"/>
  <c r="KI234" i="1" s="1"/>
  <c r="KJ234" i="1" s="1"/>
  <c r="KK234" i="1" s="1"/>
  <c r="KI235" i="1" a="1"/>
  <c r="KI235" i="1" s="1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216" i="1"/>
  <c r="KD216" i="1" s="1"/>
  <c r="AA216" i="1"/>
  <c r="KC216" i="1" s="1"/>
  <c r="AE216" i="1" s="1" a="1"/>
  <c r="AE216" i="1" s="1"/>
  <c r="AE189" i="1" l="1" a="1"/>
  <c r="AE189" i="1" s="1"/>
  <c r="Z189" i="1" a="1"/>
  <c r="Z189" i="1" s="1"/>
  <c r="Y190" i="1" s="1" a="1"/>
  <c r="Y190" i="1" s="1"/>
  <c r="AA190" i="1" s="1"/>
  <c r="PG189" i="1"/>
  <c r="AB123" i="1"/>
  <c r="KD123" i="1" s="1"/>
  <c r="AA123" i="1"/>
  <c r="KC123" i="1" s="1"/>
  <c r="AE123" i="1" s="1" a="1"/>
  <c r="AE123" i="1" s="1"/>
  <c r="Y191" i="1" a="1"/>
  <c r="Y191" i="1" s="1"/>
  <c r="OR207" i="1"/>
  <c r="PB207" i="1"/>
  <c r="OQ207" i="1"/>
  <c r="PA207" i="1"/>
  <c r="KK340" i="1"/>
  <c r="KI341" i="1" a="1"/>
  <c r="KI341" i="1" s="1"/>
  <c r="AB197" i="5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KJ235" i="1"/>
  <c r="KK235" i="1" s="1"/>
  <c r="KI236" i="1" a="1"/>
  <c r="KI236" i="1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Z216" i="1" a="1"/>
  <c r="Z216" i="1" s="1"/>
  <c r="AB190" i="1" l="1"/>
  <c r="OR190" i="1" s="1"/>
  <c r="Z123" i="1" a="1"/>
  <c r="Z123" i="1" s="1"/>
  <c r="Y124" i="1" s="1" a="1"/>
  <c r="Y124" i="1" s="1"/>
  <c r="Y217" i="1" a="1"/>
  <c r="Y217" i="1" s="1"/>
  <c r="AA217" i="1" s="1"/>
  <c r="KC217" i="1" s="1"/>
  <c r="Y243" i="1" a="1"/>
  <c r="Y243" i="1" s="1"/>
  <c r="AB191" i="1"/>
  <c r="KD191" i="1" s="1"/>
  <c r="AA191" i="1"/>
  <c r="KC191" i="1" s="1"/>
  <c r="AE191" i="1" s="1" a="1"/>
  <c r="AE191" i="1" s="1"/>
  <c r="OS207" i="1"/>
  <c r="PC207" i="1"/>
  <c r="PD207" i="1"/>
  <c r="OT207" i="1"/>
  <c r="KJ341" i="1"/>
  <c r="KK341" i="1" s="1"/>
  <c r="OZ193" i="5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OQ190" i="1"/>
  <c r="PA190" i="1"/>
  <c r="KJ236" i="1"/>
  <c r="KK236" i="1" s="1"/>
  <c r="KI237" i="1" a="1"/>
  <c r="KI237" i="1" s="1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HG43" i="1"/>
  <c r="AE43" i="1" s="1" a="1"/>
  <c r="AE43" i="1" s="1"/>
  <c r="AD44" i="1" s="1" a="1"/>
  <c r="AD44" i="1" s="1"/>
  <c r="PB190" i="1" l="1"/>
  <c r="AE217" i="1" a="1"/>
  <c r="AE217" i="1" s="1"/>
  <c r="AJ43" i="1" a="1"/>
  <c r="AJ43" i="1" s="1"/>
  <c r="AI44" i="1" s="1" a="1"/>
  <c r="AI44" i="1" s="1"/>
  <c r="AL44" i="1" s="1"/>
  <c r="HF44" i="1" s="1"/>
  <c r="Z191" i="1" a="1"/>
  <c r="Z191" i="1" s="1"/>
  <c r="AA124" i="1"/>
  <c r="KC124" i="1" s="1"/>
  <c r="AE124" i="1" s="1" a="1"/>
  <c r="AE124" i="1" s="1"/>
  <c r="AB124" i="1"/>
  <c r="KD124" i="1" s="1"/>
  <c r="Z124" i="1" s="1" a="1"/>
  <c r="Z124" i="1" s="1"/>
  <c r="Y125" i="1" s="1" a="1"/>
  <c r="Y125" i="1" s="1"/>
  <c r="Z217" i="1" a="1"/>
  <c r="Z217" i="1" s="1"/>
  <c r="Y218" i="1" s="1" a="1"/>
  <c r="Y218" i="1" s="1"/>
  <c r="AB218" i="1" s="1"/>
  <c r="KD218" i="1" s="1"/>
  <c r="AB217" i="1"/>
  <c r="KD217" i="1" s="1"/>
  <c r="AA243" i="1"/>
  <c r="KC243" i="1" s="1"/>
  <c r="AB243" i="1"/>
  <c r="KD243" i="1" s="1"/>
  <c r="PF207" i="1"/>
  <c r="OV207" i="1"/>
  <c r="PH207" i="1" s="1"/>
  <c r="OU207" i="1"/>
  <c r="PE207" i="1"/>
  <c r="Z43" i="1" a="1"/>
  <c r="Z43" i="1" s="1"/>
  <c r="Y44" i="1" s="1" a="1"/>
  <c r="Y44" i="1" s="1"/>
  <c r="AA44" i="1" s="1"/>
  <c r="HG44" i="1" s="1"/>
  <c r="KI342" i="1" a="1"/>
  <c r="KI342" i="1" s="1"/>
  <c r="KJ342" i="1" s="1"/>
  <c r="KK342" i="1" s="1"/>
  <c r="OO189" i="5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T190" i="1"/>
  <c r="PD190" i="1"/>
  <c r="PC190" i="1"/>
  <c r="OS190" i="1"/>
  <c r="KJ237" i="1"/>
  <c r="KK237" i="1" s="1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E207" i="1" l="1" a="1"/>
  <c r="AE207" i="1" s="1"/>
  <c r="AA125" i="1"/>
  <c r="KC125" i="1" s="1"/>
  <c r="AE125" i="1" s="1" a="1"/>
  <c r="AE125" i="1" s="1"/>
  <c r="AB125" i="1"/>
  <c r="KD125" i="1" s="1"/>
  <c r="AK44" i="1"/>
  <c r="HE44" i="1" s="1"/>
  <c r="HW44" i="1" s="1"/>
  <c r="AA218" i="1"/>
  <c r="KC218" i="1" s="1"/>
  <c r="AE218" i="1" s="1" a="1"/>
  <c r="AE218" i="1" s="1"/>
  <c r="Y192" i="1" a="1"/>
  <c r="Y192" i="1" s="1"/>
  <c r="PG207" i="1"/>
  <c r="Z207" i="1" a="1"/>
  <c r="Z207" i="1" s="1"/>
  <c r="Y209" i="1" s="1" a="1"/>
  <c r="Y209" i="1" s="1"/>
  <c r="HV44" i="1"/>
  <c r="HX44" i="1"/>
  <c r="AB44" i="1"/>
  <c r="HH44" i="1" s="1"/>
  <c r="KI343" i="1" a="1"/>
  <c r="KI343" i="1" s="1"/>
  <c r="KJ343" i="1" s="1"/>
  <c r="KK343" i="1" s="1"/>
  <c r="KI238" i="1" a="1"/>
  <c r="KI238" i="1" s="1"/>
  <c r="KJ238" i="1" s="1"/>
  <c r="KK238" i="1" s="1"/>
  <c r="AA202" i="5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OU190" i="1"/>
  <c r="PE190" i="1"/>
  <c r="OV190" i="1"/>
  <c r="PF190" i="1"/>
  <c r="KI239" i="1" a="1"/>
  <c r="KI239" i="1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HU44" i="1" l="1"/>
  <c r="AJ44" i="1" a="1"/>
  <c r="AJ44" i="1" s="1"/>
  <c r="AI45" i="1" s="1" a="1"/>
  <c r="AI45" i="1" s="1"/>
  <c r="AL45" i="1" s="1"/>
  <c r="HF45" i="1" s="1"/>
  <c r="AE44" i="1" a="1"/>
  <c r="AE44" i="1" s="1"/>
  <c r="AD45" i="1" s="1" a="1"/>
  <c r="AD45" i="1" s="1"/>
  <c r="Z218" i="1" a="1"/>
  <c r="Z218" i="1" s="1"/>
  <c r="Y219" i="1" s="1" a="1"/>
  <c r="Y219" i="1" s="1"/>
  <c r="AA219" i="1" s="1"/>
  <c r="KC219" i="1" s="1"/>
  <c r="Z125" i="1" a="1"/>
  <c r="Z125" i="1" s="1"/>
  <c r="Y126" i="1" s="1" a="1"/>
  <c r="Y126" i="1" s="1"/>
  <c r="Z44" i="1" a="1"/>
  <c r="Z44" i="1" s="1"/>
  <c r="Y45" i="1" s="1" a="1"/>
  <c r="Y45" i="1" s="1"/>
  <c r="AA45" i="1" s="1"/>
  <c r="HG45" i="1" s="1"/>
  <c r="AB192" i="1"/>
  <c r="AA192" i="1"/>
  <c r="AA209" i="1"/>
  <c r="AB209" i="1"/>
  <c r="KI344" i="1" a="1"/>
  <c r="KI344" i="1" s="1"/>
  <c r="AB217" i="5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OX190" i="1"/>
  <c r="PH190" i="1"/>
  <c r="OW190" i="1"/>
  <c r="PG190" i="1"/>
  <c r="KJ239" i="1"/>
  <c r="KK239" i="1" s="1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KF222" i="1"/>
  <c r="AK45" i="1" l="1"/>
  <c r="HE45" i="1" s="1"/>
  <c r="AE219" i="1" a="1"/>
  <c r="AE219" i="1" s="1"/>
  <c r="Z219" i="1" a="1"/>
  <c r="Z219" i="1" s="1"/>
  <c r="Y220" i="1" s="1" a="1"/>
  <c r="Y220" i="1" s="1"/>
  <c r="AB220" i="1" s="1"/>
  <c r="KD220" i="1" s="1"/>
  <c r="AB219" i="1"/>
  <c r="KD219" i="1" s="1"/>
  <c r="AB126" i="1"/>
  <c r="KD126" i="1" s="1"/>
  <c r="AA126" i="1"/>
  <c r="KC126" i="1" s="1"/>
  <c r="AE126" i="1" s="1" a="1"/>
  <c r="AE126" i="1" s="1"/>
  <c r="AB45" i="1"/>
  <c r="HH45" i="1" s="1"/>
  <c r="QG192" i="1"/>
  <c r="RC192" i="1"/>
  <c r="QF192" i="1"/>
  <c r="RB192" i="1"/>
  <c r="OR209" i="1"/>
  <c r="PB209" i="1"/>
  <c r="PA209" i="1"/>
  <c r="OQ209" i="1"/>
  <c r="HX45" i="1"/>
  <c r="HV45" i="1"/>
  <c r="KJ344" i="1"/>
  <c r="KK344" i="1" s="1"/>
  <c r="AB208" i="5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KI240" i="1" a="1"/>
  <c r="KI240" i="1" s="1"/>
  <c r="KJ240" i="1" s="1"/>
  <c r="PI190" i="1"/>
  <c r="OY190" i="1"/>
  <c r="PJ190" i="1"/>
  <c r="OZ190" i="1"/>
  <c r="PL190" i="1" s="1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HU45" i="1" l="1"/>
  <c r="AE190" i="1" a="1"/>
  <c r="AE190" i="1" s="1"/>
  <c r="AA220" i="1"/>
  <c r="KC220" i="1" s="1"/>
  <c r="AE220" i="1" s="1" a="1"/>
  <c r="AE220" i="1" s="1"/>
  <c r="Z126" i="1" a="1"/>
  <c r="Z126" i="1" s="1"/>
  <c r="Y127" i="1" s="1" a="1"/>
  <c r="Y127" i="1" s="1"/>
  <c r="RD192" i="1"/>
  <c r="QH192" i="1"/>
  <c r="RE192" i="1"/>
  <c r="QI192" i="1"/>
  <c r="OS209" i="1"/>
  <c r="PC209" i="1"/>
  <c r="PD209" i="1"/>
  <c r="OT209" i="1"/>
  <c r="HW45" i="1"/>
  <c r="AE45" i="1" s="1" a="1"/>
  <c r="AE45" i="1" s="1"/>
  <c r="AD46" i="1" s="1" a="1"/>
  <c r="AD46" i="1" s="1"/>
  <c r="AJ45" i="1" a="1"/>
  <c r="AJ45" i="1" s="1"/>
  <c r="AI46" i="1" s="1" a="1"/>
  <c r="AI46" i="1" s="1"/>
  <c r="Z45" i="1" a="1"/>
  <c r="Z45" i="1" s="1"/>
  <c r="Y46" i="1" s="1" a="1"/>
  <c r="Y46" i="1" s="1"/>
  <c r="KI345" i="1" a="1"/>
  <c r="KI345" i="1" s="1"/>
  <c r="KJ345" i="1" s="1"/>
  <c r="AB219" i="5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KK240" i="1"/>
  <c r="KI241" i="1" a="1"/>
  <c r="KI241" i="1" s="1"/>
  <c r="KJ241" i="1" s="1"/>
  <c r="PK190" i="1"/>
  <c r="Z190" i="1" a="1"/>
  <c r="Z190" i="1" s="1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127" i="1" l="1"/>
  <c r="KD127" i="1" s="1"/>
  <c r="AA127" i="1"/>
  <c r="KC127" i="1" s="1"/>
  <c r="AE127" i="1" s="1" a="1"/>
  <c r="AE127" i="1" s="1"/>
  <c r="Z220" i="1" a="1"/>
  <c r="Z220" i="1" s="1"/>
  <c r="Y223" i="1" s="1" a="1"/>
  <c r="Y223" i="1" s="1"/>
  <c r="QK192" i="1"/>
  <c r="RG192" i="1"/>
  <c r="RF192" i="1"/>
  <c r="QJ192" i="1"/>
  <c r="OV209" i="1"/>
  <c r="PH209" i="1" s="1"/>
  <c r="PF209" i="1"/>
  <c r="OU209" i="1"/>
  <c r="PE209" i="1"/>
  <c r="AL46" i="1"/>
  <c r="HF46" i="1" s="1"/>
  <c r="AK46" i="1"/>
  <c r="HE46" i="1" s="1"/>
  <c r="AA46" i="1"/>
  <c r="HG46" i="1" s="1"/>
  <c r="AB46" i="1"/>
  <c r="HH46" i="1" s="1"/>
  <c r="KK345" i="1"/>
  <c r="KI346" i="1" s="1" a="1"/>
  <c r="KI346" i="1" s="1"/>
  <c r="KJ346" i="1" s="1"/>
  <c r="KK346" i="1" s="1"/>
  <c r="KL346" i="1" s="1"/>
  <c r="AB212" i="5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KK241" i="1"/>
  <c r="KI242" i="1" a="1"/>
  <c r="KI242" i="1" s="1"/>
  <c r="KJ242" i="1" s="1"/>
  <c r="KK242" i="1" s="1"/>
  <c r="KI243" i="1" a="1"/>
  <c r="KI243" i="1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E209" i="1" l="1" a="1"/>
  <c r="AE209" i="1" s="1"/>
  <c r="AB223" i="1"/>
  <c r="KD223" i="1" s="1"/>
  <c r="AA223" i="1"/>
  <c r="KC223" i="1" s="1"/>
  <c r="AE223" i="1" s="1" a="1"/>
  <c r="AE223" i="1" s="1"/>
  <c r="Z127" i="1" a="1"/>
  <c r="Z127" i="1" s="1"/>
  <c r="Y128" i="1" s="1" a="1"/>
  <c r="Y128" i="1" s="1"/>
  <c r="RH192" i="1"/>
  <c r="QL192" i="1"/>
  <c r="RI192" i="1"/>
  <c r="QM192" i="1"/>
  <c r="PG209" i="1"/>
  <c r="Z209" i="1" a="1"/>
  <c r="Z209" i="1" s="1"/>
  <c r="Y211" i="1" s="1" a="1"/>
  <c r="Y211" i="1" s="1"/>
  <c r="HU46" i="1"/>
  <c r="HV46" i="1"/>
  <c r="HX46" i="1"/>
  <c r="KI347" i="1" a="1"/>
  <c r="KI347" i="1" s="1"/>
  <c r="AA214" i="5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KJ243" i="1"/>
  <c r="KK243" i="1" s="1"/>
  <c r="KI244" i="1" a="1"/>
  <c r="KI244" i="1" s="1"/>
  <c r="Z243" i="1" a="1"/>
  <c r="Z243" i="1" s="1"/>
  <c r="Y244" i="1" s="1" a="1"/>
  <c r="Y244" i="1" s="1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A128" i="1" l="1"/>
  <c r="KC128" i="1" s="1"/>
  <c r="AE128" i="1" s="1" a="1"/>
  <c r="AE128" i="1" s="1"/>
  <c r="AB128" i="1"/>
  <c r="KD128" i="1" s="1"/>
  <c r="Z128" i="1" s="1" a="1"/>
  <c r="Z128" i="1" s="1"/>
  <c r="Y129" i="1" s="1" a="1"/>
  <c r="Y129" i="1" s="1"/>
  <c r="Z223" i="1" a="1"/>
  <c r="Z223" i="1" s="1"/>
  <c r="Y224" i="1" s="1" a="1"/>
  <c r="Y224" i="1" s="1"/>
  <c r="QO192" i="1"/>
  <c r="RM192" i="1" s="1"/>
  <c r="RK192" i="1"/>
  <c r="QN192" i="1"/>
  <c r="RJ192" i="1"/>
  <c r="AB211" i="1"/>
  <c r="AA211" i="1"/>
  <c r="HW46" i="1"/>
  <c r="AE46" i="1" s="1" a="1"/>
  <c r="AE46" i="1" s="1"/>
  <c r="AD47" i="1" s="1" a="1"/>
  <c r="AD47" i="1" s="1"/>
  <c r="AJ46" i="1" a="1"/>
  <c r="AJ46" i="1" s="1"/>
  <c r="AI47" i="1" s="1" a="1"/>
  <c r="AI47" i="1" s="1"/>
  <c r="Z46" i="1" a="1"/>
  <c r="Z46" i="1" s="1"/>
  <c r="Y47" i="1" s="1" a="1"/>
  <c r="Y47" i="1" s="1"/>
  <c r="KJ347" i="1"/>
  <c r="KK347" i="1" s="1"/>
  <c r="AB224" i="5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44" i="1"/>
  <c r="KD244" i="1" s="1"/>
  <c r="AA244" i="1"/>
  <c r="KC244" i="1" s="1"/>
  <c r="KJ244" i="1"/>
  <c r="KK244" i="1" s="1"/>
  <c r="KI245" i="1" a="1"/>
  <c r="KI245" i="1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AE192" i="1" l="1" a="1"/>
  <c r="AE192" i="1" s="1"/>
  <c r="AA224" i="1"/>
  <c r="KC224" i="1" s="1"/>
  <c r="AE224" i="1" s="1" a="1"/>
  <c r="AE224" i="1" s="1"/>
  <c r="AB224" i="1"/>
  <c r="KD224" i="1" s="1"/>
  <c r="AA129" i="1"/>
  <c r="KC129" i="1" s="1"/>
  <c r="AE129" i="1" s="1" a="1"/>
  <c r="AE129" i="1" s="1"/>
  <c r="AB129" i="1"/>
  <c r="KD129" i="1" s="1"/>
  <c r="Z233" i="5" a="1"/>
  <c r="Z233" i="5" s="1"/>
  <c r="Y234" i="5" s="1" a="1"/>
  <c r="Y234" i="5" s="1"/>
  <c r="AB234" i="5" s="1"/>
  <c r="KD234" i="5" s="1"/>
  <c r="Z244" i="1" a="1"/>
  <c r="Z244" i="1" s="1"/>
  <c r="Y245" i="1" s="1" a="1"/>
  <c r="Y245" i="1" s="1"/>
  <c r="AA245" i="1" s="1"/>
  <c r="KC245" i="1" s="1"/>
  <c r="RL192" i="1"/>
  <c r="Z192" i="1" a="1"/>
  <c r="Z192" i="1" s="1"/>
  <c r="Y201" i="1" s="1" a="1"/>
  <c r="Y201" i="1" s="1"/>
  <c r="PA211" i="1"/>
  <c r="OQ211" i="1"/>
  <c r="PB211" i="1"/>
  <c r="OR211" i="1"/>
  <c r="AK47" i="1"/>
  <c r="HE47" i="1" s="1"/>
  <c r="AL47" i="1"/>
  <c r="HF47" i="1" s="1"/>
  <c r="AB47" i="1"/>
  <c r="HH47" i="1" s="1"/>
  <c r="AA47" i="1"/>
  <c r="HG47" i="1" s="1"/>
  <c r="KL347" i="1"/>
  <c r="KI348" i="1" s="1" a="1"/>
  <c r="KI348" i="1" s="1"/>
  <c r="KJ348" i="1" s="1"/>
  <c r="KK348" i="1" s="1"/>
  <c r="KJ377" i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316" i="1"/>
  <c r="KD316" i="1" s="1"/>
  <c r="AA316" i="1"/>
  <c r="KC316" i="1" s="1"/>
  <c r="KJ245" i="1"/>
  <c r="KK245" i="1" s="1"/>
  <c r="KI246" i="1" a="1"/>
  <c r="KI246" i="1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Z129" i="1" l="1" a="1"/>
  <c r="Z129" i="1" s="1"/>
  <c r="Y130" i="1" s="1" a="1"/>
  <c r="Y130" i="1" s="1"/>
  <c r="Z224" i="1" a="1"/>
  <c r="Z224" i="1" s="1"/>
  <c r="Z245" i="1" a="1"/>
  <c r="Z245" i="1" s="1"/>
  <c r="AB245" i="1"/>
  <c r="KD245" i="1" s="1"/>
  <c r="AA234" i="5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AB201" i="1"/>
  <c r="KD201" i="1" s="1"/>
  <c r="AA201" i="1"/>
  <c r="KC201" i="1" s="1"/>
  <c r="AE201" i="1" s="1" a="1"/>
  <c r="AE201" i="1" s="1"/>
  <c r="OT211" i="1"/>
  <c r="PD211" i="1"/>
  <c r="PC211" i="1"/>
  <c r="OS211" i="1"/>
  <c r="HU47" i="1"/>
  <c r="HX47" i="1"/>
  <c r="HV47" i="1"/>
  <c r="KI378" i="1" a="1"/>
  <c r="KI378" i="1" s="1"/>
  <c r="KK377" i="1"/>
  <c r="KI349" i="1" a="1"/>
  <c r="KI349" i="1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KJ246" i="1"/>
  <c r="KK246" i="1" s="1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01" i="1" l="1" a="1"/>
  <c r="Z201" i="1" s="1"/>
  <c r="Y202" i="1" s="1" a="1"/>
  <c r="Y202" i="1" s="1"/>
  <c r="AB202" i="1" s="1"/>
  <c r="AA130" i="1"/>
  <c r="KC130" i="1" s="1"/>
  <c r="AE130" i="1" s="1" a="1"/>
  <c r="AE130" i="1" s="1"/>
  <c r="AB130" i="1"/>
  <c r="KD130" i="1" s="1"/>
  <c r="Z214" i="4" a="1"/>
  <c r="Z214" i="4" s="1"/>
  <c r="Y216" i="4" s="1" a="1"/>
  <c r="Y216" i="4" s="1"/>
  <c r="AA216" i="4" s="1"/>
  <c r="JY216" i="4" s="1"/>
  <c r="AB214" i="4"/>
  <c r="JZ214" i="4" s="1"/>
  <c r="OU211" i="1"/>
  <c r="PE211" i="1"/>
  <c r="OV211" i="1"/>
  <c r="PH211" i="1" s="1"/>
  <c r="PF211" i="1"/>
  <c r="HW47" i="1"/>
  <c r="AE47" i="1" s="1" a="1"/>
  <c r="AE47" i="1" s="1"/>
  <c r="Z47" i="1" a="1"/>
  <c r="Z47" i="1" s="1"/>
  <c r="Y48" i="1" s="1" a="1"/>
  <c r="Y48" i="1" s="1"/>
  <c r="KJ378" i="1"/>
  <c r="KK378" i="1" s="1"/>
  <c r="KJ349" i="1"/>
  <c r="KK349" i="1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KI247" i="1" a="1"/>
  <c r="KI247" i="1" s="1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AE211" i="1" l="1" a="1"/>
  <c r="AE211" i="1" s="1"/>
  <c r="AJ47" i="1" a="1"/>
  <c r="AJ47" i="1" s="1"/>
  <c r="AI48" i="1" s="1" a="1"/>
  <c r="AI48" i="1" s="1"/>
  <c r="AK48" i="1" s="1"/>
  <c r="HE48" i="1" s="1"/>
  <c r="AA202" i="1"/>
  <c r="QG202" i="1" s="1"/>
  <c r="PG211" i="1"/>
  <c r="Z211" i="1" s="1" a="1"/>
  <c r="Z211" i="1" s="1"/>
  <c r="Y213" i="1" s="1" a="1"/>
  <c r="Y213" i="1" s="1"/>
  <c r="AA213" i="1" s="1"/>
  <c r="Z130" i="1" a="1"/>
  <c r="Z130" i="1" s="1"/>
  <c r="Y131" i="1" s="1" a="1"/>
  <c r="Y131" i="1" s="1"/>
  <c r="Z216" i="4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RB202" i="1"/>
  <c r="QF202" i="1"/>
  <c r="AA48" i="1"/>
  <c r="HG48" i="1" s="1"/>
  <c r="AB48" i="1"/>
  <c r="HH48" i="1" s="1"/>
  <c r="KI350" i="1" a="1"/>
  <c r="KI350" i="1" s="1"/>
  <c r="KJ350" i="1" s="1"/>
  <c r="KK350" i="1" s="1"/>
  <c r="KI379" i="1" a="1"/>
  <c r="KI379" i="1" s="1"/>
  <c r="KJ379" i="1" s="1"/>
  <c r="PD195" i="5"/>
  <c r="Z195" i="5" a="1"/>
  <c r="Z195" i="5" s="1"/>
  <c r="OO200" i="5"/>
  <c r="OY200" i="5"/>
  <c r="X240" i="5"/>
  <c r="ON200" i="5"/>
  <c r="OX200" i="5"/>
  <c r="AA211" i="5"/>
  <c r="AB211" i="5"/>
  <c r="KJ247" i="1"/>
  <c r="KK247" i="1" s="1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RC202" i="1" l="1"/>
  <c r="AL48" i="1"/>
  <c r="HF48" i="1" s="1"/>
  <c r="HX48" i="1" s="1"/>
  <c r="AB213" i="1"/>
  <c r="OR213" i="1" s="1"/>
  <c r="AA131" i="1"/>
  <c r="KC131" i="1" s="1"/>
  <c r="AE131" i="1" s="1" a="1"/>
  <c r="AE131" i="1" s="1"/>
  <c r="AB131" i="1"/>
  <c r="KD131" i="1" s="1"/>
  <c r="AA234" i="4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KI248" i="1" a="1"/>
  <c r="KI248" i="1" s="1"/>
  <c r="KJ248" i="1" s="1"/>
  <c r="KK248" i="1" s="1"/>
  <c r="OQ213" i="1"/>
  <c r="PA213" i="1"/>
  <c r="QH202" i="1"/>
  <c r="RD202" i="1"/>
  <c r="QI202" i="1"/>
  <c r="RE202" i="1"/>
  <c r="HU48" i="1"/>
  <c r="KK379" i="1"/>
  <c r="KI380" i="1" s="1" a="1"/>
  <c r="KI380" i="1" s="1"/>
  <c r="KJ380" i="1" s="1"/>
  <c r="KK380" i="1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PB213" i="1" l="1"/>
  <c r="HV48" i="1"/>
  <c r="AE48" i="1" s="1" a="1"/>
  <c r="AE48" i="1" s="1"/>
  <c r="AD49" i="1" s="1" a="1"/>
  <c r="AD49" i="1" s="1"/>
  <c r="Z131" i="1" a="1"/>
  <c r="Z131" i="1" s="1"/>
  <c r="Y132" i="1" s="1" a="1"/>
  <c r="Y132" i="1" s="1"/>
  <c r="Z239" i="5" a="1"/>
  <c r="Z239" i="5" s="1"/>
  <c r="Y240" i="5" s="1" a="1"/>
  <c r="Y240" i="5" s="1"/>
  <c r="AA240" i="5" s="1"/>
  <c r="KC240" i="5" s="1"/>
  <c r="AB239" i="5"/>
  <c r="KD239" i="5" s="1"/>
  <c r="OT213" i="1"/>
  <c r="PD213" i="1"/>
  <c r="OS213" i="1"/>
  <c r="PC213" i="1"/>
  <c r="QK202" i="1"/>
  <c r="RG202" i="1"/>
  <c r="QJ202" i="1"/>
  <c r="RF202" i="1"/>
  <c r="HW48" i="1"/>
  <c r="Z48" i="1" a="1"/>
  <c r="Z48" i="1" s="1"/>
  <c r="Y49" i="1" s="1" a="1"/>
  <c r="Y49" i="1" s="1"/>
  <c r="KI249" i="1" a="1"/>
  <c r="KI249" i="1" s="1"/>
  <c r="KJ249" i="1" s="1"/>
  <c r="KK249" i="1" s="1"/>
  <c r="KI381" i="1" a="1"/>
  <c r="KI381" i="1" s="1"/>
  <c r="KJ381" i="1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AJ48" i="1" l="1" a="1"/>
  <c r="AJ48" i="1" s="1"/>
  <c r="AI49" i="1" s="1" a="1"/>
  <c r="AI49" i="1" s="1"/>
  <c r="AL49" i="1" s="1"/>
  <c r="HF49" i="1" s="1"/>
  <c r="AA132" i="1"/>
  <c r="KC132" i="1" s="1"/>
  <c r="AE132" i="1" s="1" a="1"/>
  <c r="AE132" i="1" s="1"/>
  <c r="AB132" i="1"/>
  <c r="KD132" i="1" s="1"/>
  <c r="Z240" i="5" a="1"/>
  <c r="Z240" i="5" s="1"/>
  <c r="Y241" i="5" s="1" a="1"/>
  <c r="Y241" i="5" s="1"/>
  <c r="AB241" i="5" s="1"/>
  <c r="KD241" i="5" s="1"/>
  <c r="AB240" i="5"/>
  <c r="KD240" i="5" s="1"/>
  <c r="OU213" i="1"/>
  <c r="PE213" i="1"/>
  <c r="OV213" i="1"/>
  <c r="PH213" i="1" s="1"/>
  <c r="PF213" i="1"/>
  <c r="QL202" i="1"/>
  <c r="RH202" i="1"/>
  <c r="RI202" i="1"/>
  <c r="QM202" i="1"/>
  <c r="AA49" i="1"/>
  <c r="HG49" i="1" s="1"/>
  <c r="AB49" i="1"/>
  <c r="HH49" i="1" s="1"/>
  <c r="KK381" i="1"/>
  <c r="KI382" i="1" s="1" a="1"/>
  <c r="KI382" i="1" s="1"/>
  <c r="KJ382" i="1" s="1"/>
  <c r="KI250" i="1" a="1"/>
  <c r="KI250" i="1" s="1"/>
  <c r="KJ250" i="1" s="1"/>
  <c r="KK250" i="1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KI251" i="1" a="1"/>
  <c r="KI251" i="1" s="1"/>
  <c r="OZ195" i="4"/>
  <c r="Z195" i="4" a="1"/>
  <c r="Z195" i="4" s="1"/>
  <c r="OK200" i="4"/>
  <c r="OU200" i="4"/>
  <c r="OJ200" i="4"/>
  <c r="OT200" i="4"/>
  <c r="AA211" i="4"/>
  <c r="AB211" i="4"/>
  <c r="AE213" i="1" l="1" a="1"/>
  <c r="AE213" i="1" s="1"/>
  <c r="PG213" i="1"/>
  <c r="Z213" i="1" s="1" a="1"/>
  <c r="Z213" i="1" s="1"/>
  <c r="Y215" i="1" s="1" a="1"/>
  <c r="Y215" i="1" s="1"/>
  <c r="AB215" i="1" s="1"/>
  <c r="AK49" i="1"/>
  <c r="HE49" i="1" s="1"/>
  <c r="Z132" i="1" a="1"/>
  <c r="Z132" i="1" s="1"/>
  <c r="Y133" i="1" s="1" a="1"/>
  <c r="Y133" i="1" s="1"/>
  <c r="AA241" i="5"/>
  <c r="KC241" i="5" s="1"/>
  <c r="Z241" i="5" s="1" a="1"/>
  <c r="Z241" i="5" s="1"/>
  <c r="Y242" i="5" s="1" a="1"/>
  <c r="Y242" i="5" s="1"/>
  <c r="AA242" i="5" s="1"/>
  <c r="KC242" i="5" s="1"/>
  <c r="RK202" i="1"/>
  <c r="QO202" i="1"/>
  <c r="RM202" i="1" s="1"/>
  <c r="RJ202" i="1"/>
  <c r="QN202" i="1"/>
  <c r="HV49" i="1"/>
  <c r="HX49" i="1"/>
  <c r="KK382" i="1"/>
  <c r="KI383" i="1" s="1" a="1"/>
  <c r="KI383" i="1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KJ251" i="1"/>
  <c r="KK251" i="1" s="1"/>
  <c r="KI252" i="1" a="1"/>
  <c r="KI252" i="1" s="1"/>
  <c r="OL200" i="4"/>
  <c r="OV200" i="4"/>
  <c r="OQ211" i="4"/>
  <c r="OG211" i="4"/>
  <c r="OM200" i="4"/>
  <c r="OW200" i="4"/>
  <c r="OP211" i="4"/>
  <c r="OF211" i="4"/>
  <c r="HU49" i="1" l="1"/>
  <c r="AE202" i="1" a="1"/>
  <c r="AE202" i="1" s="1"/>
  <c r="AE49" i="1" a="1"/>
  <c r="AE49" i="1" s="1"/>
  <c r="AD50" i="1" s="1" a="1"/>
  <c r="AD50" i="1" s="1"/>
  <c r="AA215" i="1"/>
  <c r="PA215" i="1" s="1"/>
  <c r="AB133" i="1"/>
  <c r="KD133" i="1" s="1"/>
  <c r="AA133" i="1"/>
  <c r="KC133" i="1" s="1"/>
  <c r="AE133" i="1" s="1" a="1"/>
  <c r="AE133" i="1" s="1"/>
  <c r="Z242" i="5" a="1"/>
  <c r="Z242" i="5" s="1"/>
  <c r="AB242" i="5"/>
  <c r="KD242" i="5" s="1"/>
  <c r="OR215" i="1"/>
  <c r="PB215" i="1"/>
  <c r="RL202" i="1"/>
  <c r="Z202" i="1" a="1"/>
  <c r="Z202" i="1" s="1"/>
  <c r="Y233" i="1" s="1" a="1"/>
  <c r="Y233" i="1" s="1"/>
  <c r="HW49" i="1"/>
  <c r="AJ49" i="1" s="1" a="1"/>
  <c r="AJ49" i="1" s="1"/>
  <c r="AI50" i="1" s="1" a="1"/>
  <c r="AI50" i="1" s="1"/>
  <c r="Z49" i="1" a="1"/>
  <c r="Z49" i="1" s="1"/>
  <c r="Y50" i="1" s="1" a="1"/>
  <c r="Y50" i="1" s="1"/>
  <c r="KJ383" i="1"/>
  <c r="KK383" i="1" s="1"/>
  <c r="AB244" i="5"/>
  <c r="KD244" i="5" s="1"/>
  <c r="AA244" i="5"/>
  <c r="KC244" i="5" s="1"/>
  <c r="Z244" i="5" s="1" a="1"/>
  <c r="Z244" i="5" s="1"/>
  <c r="Y245" i="5" s="1" a="1"/>
  <c r="Y245" i="5" s="1"/>
  <c r="X246" i="5"/>
  <c r="KJ252" i="1"/>
  <c r="KK252" i="1" s="1"/>
  <c r="OO200" i="4"/>
  <c r="PA200" i="4" s="1"/>
  <c r="OY200" i="4"/>
  <c r="OH211" i="4"/>
  <c r="OR211" i="4"/>
  <c r="OI211" i="4"/>
  <c r="OS211" i="4"/>
  <c r="ON200" i="4"/>
  <c r="OX200" i="4"/>
  <c r="OQ215" i="1" l="1"/>
  <c r="OS215" i="1" s="1"/>
  <c r="Z133" i="1" a="1"/>
  <c r="Z133" i="1" s="1"/>
  <c r="Y134" i="1" s="1" a="1"/>
  <c r="Y134" i="1" s="1"/>
  <c r="OT215" i="1"/>
  <c r="PD215" i="1"/>
  <c r="AB233" i="1"/>
  <c r="KD233" i="1" s="1"/>
  <c r="AA233" i="1"/>
  <c r="KC233" i="1" s="1"/>
  <c r="Z233" i="1" s="1" a="1"/>
  <c r="Z233" i="1" s="1"/>
  <c r="Y234" i="1" s="1" a="1"/>
  <c r="Y234" i="1" s="1"/>
  <c r="AL50" i="1"/>
  <c r="HF50" i="1" s="1"/>
  <c r="AK50" i="1"/>
  <c r="HE50" i="1" s="1"/>
  <c r="AA50" i="1"/>
  <c r="HG50" i="1" s="1"/>
  <c r="AB50" i="1"/>
  <c r="HH50" i="1" s="1"/>
  <c r="KI253" i="1" a="1"/>
  <c r="KI253" i="1" s="1"/>
  <c r="KJ253" i="1" s="1"/>
  <c r="KK253" i="1" s="1"/>
  <c r="KI384" i="1" a="1"/>
  <c r="KI384" i="1" s="1"/>
  <c r="KJ384" i="1" s="1"/>
  <c r="AB245" i="5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PC215" i="1" l="1"/>
  <c r="AE50" i="1" a="1"/>
  <c r="AE50" i="1" s="1"/>
  <c r="AD51" i="1" s="1" a="1"/>
  <c r="AD51" i="1" s="1"/>
  <c r="AA134" i="1"/>
  <c r="KC134" i="1" s="1"/>
  <c r="AE134" i="1" s="1" a="1"/>
  <c r="AE134" i="1" s="1"/>
  <c r="AB134" i="1"/>
  <c r="KD134" i="1" s="1"/>
  <c r="OU215" i="1"/>
  <c r="PE215" i="1"/>
  <c r="PF215" i="1"/>
  <c r="OV215" i="1"/>
  <c r="PH215" i="1" s="1"/>
  <c r="AB234" i="1"/>
  <c r="KD234" i="1" s="1"/>
  <c r="AA234" i="1"/>
  <c r="KC234" i="1" s="1"/>
  <c r="Z234" i="1" s="1" a="1"/>
  <c r="Z234" i="1" s="1"/>
  <c r="Y235" i="1" s="1" a="1"/>
  <c r="Y235" i="1" s="1"/>
  <c r="HW50" i="1"/>
  <c r="HU50" i="1"/>
  <c r="HX50" i="1"/>
  <c r="HV50" i="1"/>
  <c r="Z50" i="1" a="1"/>
  <c r="Z50" i="1" s="1"/>
  <c r="AJ50" i="1" a="1"/>
  <c r="AJ50" i="1" s="1"/>
  <c r="AI51" i="1" s="1" a="1"/>
  <c r="AI51" i="1" s="1"/>
  <c r="KK384" i="1"/>
  <c r="KI385" i="1" s="1" a="1"/>
  <c r="KI385" i="1" s="1"/>
  <c r="KJ385" i="1" s="1"/>
  <c r="KK385" i="1" s="1"/>
  <c r="KI386" i="1" s="1" a="1"/>
  <c r="KI386" i="1" s="1"/>
  <c r="KI254" i="1" a="1"/>
  <c r="KI254" i="1" s="1"/>
  <c r="KJ254" i="1" s="1"/>
  <c r="KK254" i="1" s="1"/>
  <c r="AB246" i="5"/>
  <c r="KD246" i="5" s="1"/>
  <c r="AA246" i="5"/>
  <c r="KC246" i="5" s="1"/>
  <c r="Z246" i="5" s="1" a="1"/>
  <c r="Z246" i="5" s="1"/>
  <c r="Y247" i="5" s="1" a="1"/>
  <c r="Y247" i="5" s="1"/>
  <c r="X248" i="5"/>
  <c r="KI255" i="1" a="1"/>
  <c r="KI255" i="1" s="1"/>
  <c r="OV211" i="4"/>
  <c r="Z211" i="4" a="1"/>
  <c r="Z211" i="4" s="1"/>
  <c r="AE215" i="1" l="1" a="1"/>
  <c r="AE215" i="1" s="1"/>
  <c r="Z134" i="1" a="1"/>
  <c r="Z134" i="1" s="1"/>
  <c r="Y135" i="1" s="1" a="1"/>
  <c r="Y135" i="1" s="1"/>
  <c r="PG215" i="1"/>
  <c r="Z215" i="1" a="1"/>
  <c r="Z215" i="1" s="1"/>
  <c r="Y221" i="1" s="1" a="1"/>
  <c r="Y221" i="1" s="1"/>
  <c r="Y246" i="1" a="1"/>
  <c r="Y246" i="1" s="1"/>
  <c r="AA235" i="1"/>
  <c r="KC235" i="1" s="1"/>
  <c r="Z235" i="1" s="1" a="1"/>
  <c r="Z235" i="1" s="1"/>
  <c r="Y236" i="1" s="1" a="1"/>
  <c r="Y236" i="1" s="1"/>
  <c r="AB235" i="1"/>
  <c r="KD235" i="1" s="1"/>
  <c r="AL51" i="1"/>
  <c r="HF51" i="1" s="1"/>
  <c r="AK51" i="1"/>
  <c r="HE51" i="1" s="1"/>
  <c r="KJ386" i="1"/>
  <c r="KK386" i="1" s="1"/>
  <c r="KI387" i="1" s="1" a="1"/>
  <c r="KI387" i="1" s="1"/>
  <c r="KJ387" i="1" s="1"/>
  <c r="AB247" i="5"/>
  <c r="KD247" i="5" s="1"/>
  <c r="AA247" i="5"/>
  <c r="KC247" i="5" s="1"/>
  <c r="Z247" i="5" s="1" a="1"/>
  <c r="Z247" i="5" s="1"/>
  <c r="Y248" i="5" s="1" a="1"/>
  <c r="Y248" i="5" s="1"/>
  <c r="X249" i="5"/>
  <c r="KJ255" i="1"/>
  <c r="KK255" i="1" s="1"/>
  <c r="AA135" i="1" l="1"/>
  <c r="KC135" i="1" s="1"/>
  <c r="AE135" i="1" s="1" a="1"/>
  <c r="AE135" i="1" s="1"/>
  <c r="AB135" i="1"/>
  <c r="KD135" i="1" s="1"/>
  <c r="AB221" i="1"/>
  <c r="KD221" i="1" s="1"/>
  <c r="AA221" i="1"/>
  <c r="AA246" i="1"/>
  <c r="KC246" i="1" s="1"/>
  <c r="Z246" i="1" s="1" a="1"/>
  <c r="Z246" i="1" s="1"/>
  <c r="Y247" i="1" s="1" a="1"/>
  <c r="Y247" i="1" s="1"/>
  <c r="AB246" i="1"/>
  <c r="KD246" i="1" s="1"/>
  <c r="AA236" i="1"/>
  <c r="KC236" i="1" s="1"/>
  <c r="Z236" i="1" s="1" a="1"/>
  <c r="Z236" i="1" s="1"/>
  <c r="Y237" i="1" s="1" a="1"/>
  <c r="Y237" i="1" s="1"/>
  <c r="AB236" i="1"/>
  <c r="KD236" i="1" s="1"/>
  <c r="HU51" i="1"/>
  <c r="HX51" i="1"/>
  <c r="HV51" i="1"/>
  <c r="KK387" i="1"/>
  <c r="KI388" i="1" a="1"/>
  <c r="KI388" i="1" s="1"/>
  <c r="KI256" i="1" a="1"/>
  <c r="KI256" i="1" s="1"/>
  <c r="KJ256" i="1" s="1"/>
  <c r="AB248" i="5"/>
  <c r="KD248" i="5" s="1"/>
  <c r="AA248" i="5"/>
  <c r="KC248" i="5" s="1"/>
  <c r="Z248" i="5" s="1" a="1"/>
  <c r="Z248" i="5" s="1"/>
  <c r="Y249" i="5" s="1" a="1"/>
  <c r="Y249" i="5" s="1"/>
  <c r="X250" i="5"/>
  <c r="Z135" i="1" l="1" a="1"/>
  <c r="Z135" i="1" s="1"/>
  <c r="Y136" i="1" s="1" a="1"/>
  <c r="Y136" i="1" s="1"/>
  <c r="KC221" i="1"/>
  <c r="KA221" i="1"/>
  <c r="AB247" i="1"/>
  <c r="KD247" i="1" s="1"/>
  <c r="AA247" i="1"/>
  <c r="KC247" i="1" s="1"/>
  <c r="AA237" i="1"/>
  <c r="KC237" i="1" s="1"/>
  <c r="Z237" i="1" s="1" a="1"/>
  <c r="Z237" i="1" s="1"/>
  <c r="Y238" i="1" s="1" a="1"/>
  <c r="Y238" i="1" s="1"/>
  <c r="AB237" i="1"/>
  <c r="KD237" i="1" s="1"/>
  <c r="HW51" i="1"/>
  <c r="AE51" i="1" s="1" a="1"/>
  <c r="AE51" i="1" s="1"/>
  <c r="AD52" i="1" s="1" a="1"/>
  <c r="AD52" i="1" s="1"/>
  <c r="AJ51" i="1" a="1"/>
  <c r="AJ51" i="1" s="1"/>
  <c r="AI52" i="1" s="1" a="1"/>
  <c r="AI52" i="1" s="1"/>
  <c r="Z51" i="1" a="1"/>
  <c r="Z51" i="1" s="1"/>
  <c r="Y52" i="1" s="1" a="1"/>
  <c r="Y52" i="1" s="1"/>
  <c r="KJ388" i="1"/>
  <c r="KK388" i="1" s="1"/>
  <c r="KK256" i="1"/>
  <c r="KI257" i="1" a="1"/>
  <c r="KI257" i="1" s="1"/>
  <c r="KJ257" i="1" s="1"/>
  <c r="KK257" i="1" s="1"/>
  <c r="AB249" i="5"/>
  <c r="KD249" i="5" s="1"/>
  <c r="AA249" i="5"/>
  <c r="KC249" i="5" s="1"/>
  <c r="Z249" i="5" s="1" a="1"/>
  <c r="Z249" i="5" s="1"/>
  <c r="Y250" i="5" s="1" a="1"/>
  <c r="Y250" i="5" s="1"/>
  <c r="X251" i="5"/>
  <c r="AE221" i="1" l="1" a="1"/>
  <c r="AE221" i="1" s="1"/>
  <c r="KE221" i="1"/>
  <c r="Z221" i="1" s="1" a="1"/>
  <c r="Z221" i="1" s="1"/>
  <c r="Y222" i="1" s="1" a="1"/>
  <c r="Y222" i="1" s="1"/>
  <c r="AA222" i="1" s="1"/>
  <c r="AA136" i="1"/>
  <c r="KC136" i="1" s="1"/>
  <c r="AE136" i="1" s="1" a="1"/>
  <c r="AE136" i="1" s="1"/>
  <c r="AB136" i="1"/>
  <c r="KD136" i="1" s="1"/>
  <c r="Z136" i="1" s="1" a="1"/>
  <c r="Z136" i="1" s="1"/>
  <c r="Y137" i="1" s="1" a="1"/>
  <c r="Y137" i="1" s="1"/>
  <c r="Z247" i="1" a="1"/>
  <c r="Z247" i="1" s="1"/>
  <c r="Y248" i="1" s="1" a="1"/>
  <c r="Y248" i="1" s="1"/>
  <c r="AA248" i="1" s="1"/>
  <c r="KC248" i="1" s="1"/>
  <c r="AA238" i="1"/>
  <c r="KC238" i="1" s="1"/>
  <c r="Z238" i="1" s="1" a="1"/>
  <c r="Z238" i="1" s="1"/>
  <c r="Y239" i="1" s="1" a="1"/>
  <c r="Y239" i="1" s="1"/>
  <c r="AB238" i="1"/>
  <c r="KD238" i="1" s="1"/>
  <c r="AL52" i="1"/>
  <c r="HF52" i="1" s="1"/>
  <c r="AK52" i="1"/>
  <c r="HE52" i="1" s="1"/>
  <c r="AB52" i="1"/>
  <c r="HH52" i="1" s="1"/>
  <c r="AA52" i="1"/>
  <c r="HG52" i="1" s="1"/>
  <c r="KI389" i="1" a="1"/>
  <c r="KI389" i="1" s="1"/>
  <c r="KJ389" i="1" s="1"/>
  <c r="KK389" i="1" s="1"/>
  <c r="KI390" i="1" s="1" a="1"/>
  <c r="KI390" i="1" s="1"/>
  <c r="KI258" i="1" a="1"/>
  <c r="KI258" i="1" s="1"/>
  <c r="KJ258" i="1" s="1"/>
  <c r="KK258" i="1" s="1"/>
  <c r="AB250" i="5"/>
  <c r="KD250" i="5" s="1"/>
  <c r="AA250" i="5"/>
  <c r="KC250" i="5" s="1"/>
  <c r="Z250" i="5" s="1" a="1"/>
  <c r="Z250" i="5" s="1"/>
  <c r="X252" i="5"/>
  <c r="Y251" i="5" a="1"/>
  <c r="Y251" i="5" s="1"/>
  <c r="KI259" i="1" a="1"/>
  <c r="KI259" i="1" s="1"/>
  <c r="AB222" i="1" l="1"/>
  <c r="KD222" i="1" s="1"/>
  <c r="AA137" i="1"/>
  <c r="KC137" i="1" s="1"/>
  <c r="AE137" i="1" s="1" a="1"/>
  <c r="AE137" i="1" s="1"/>
  <c r="AB137" i="1"/>
  <c r="KD137" i="1" s="1"/>
  <c r="Z248" i="1" a="1"/>
  <c r="Z248" i="1" s="1"/>
  <c r="Y249" i="1" s="1" a="1"/>
  <c r="Y249" i="1" s="1"/>
  <c r="AB249" i="1" s="1"/>
  <c r="KD249" i="1" s="1"/>
  <c r="AB248" i="1"/>
  <c r="KD248" i="1" s="1"/>
  <c r="KC222" i="1"/>
  <c r="KA222" i="1"/>
  <c r="AA239" i="1"/>
  <c r="KC239" i="1" s="1"/>
  <c r="Z239" i="1" s="1" a="1"/>
  <c r="Z239" i="1" s="1"/>
  <c r="Y240" i="1" s="1" a="1"/>
  <c r="Y240" i="1" s="1"/>
  <c r="AB239" i="1"/>
  <c r="KD239" i="1" s="1"/>
  <c r="HU52" i="1"/>
  <c r="HV52" i="1"/>
  <c r="HX52" i="1"/>
  <c r="KJ390" i="1"/>
  <c r="KK390" i="1" s="1"/>
  <c r="X253" i="5"/>
  <c r="AB251" i="5"/>
  <c r="KD251" i="5" s="1"/>
  <c r="AA251" i="5"/>
  <c r="KC251" i="5" s="1"/>
  <c r="Z251" i="5" s="1" a="1"/>
  <c r="Z251" i="5" s="1"/>
  <c r="Y252" i="5" s="1" a="1"/>
  <c r="Y252" i="5" s="1"/>
  <c r="KJ259" i="1"/>
  <c r="KK259" i="1" s="1"/>
  <c r="KI260" i="1" a="1"/>
  <c r="KI260" i="1" s="1"/>
  <c r="AE222" i="1" l="1" a="1"/>
  <c r="AE222" i="1" s="1"/>
  <c r="Z137" i="1" a="1"/>
  <c r="Z137" i="1" s="1"/>
  <c r="Y138" i="1" s="1" a="1"/>
  <c r="Y138" i="1" s="1"/>
  <c r="AA249" i="1"/>
  <c r="KC249" i="1" s="1"/>
  <c r="Z249" i="1" s="1" a="1"/>
  <c r="Z249" i="1" s="1"/>
  <c r="Y250" i="1" s="1" a="1"/>
  <c r="Y250" i="1" s="1"/>
  <c r="AB250" i="1" s="1"/>
  <c r="KD250" i="1" s="1"/>
  <c r="Z222" i="1" a="1"/>
  <c r="Z222" i="1" s="1"/>
  <c r="KE222" i="1"/>
  <c r="AB240" i="1"/>
  <c r="KD240" i="1" s="1"/>
  <c r="AA240" i="1"/>
  <c r="KC240" i="1" s="1"/>
  <c r="Z240" i="1" s="1" a="1"/>
  <c r="Z240" i="1" s="1"/>
  <c r="Y241" i="1" s="1" a="1"/>
  <c r="Y241" i="1" s="1"/>
  <c r="HW52" i="1"/>
  <c r="AE52" i="1" s="1" a="1"/>
  <c r="AE52" i="1" s="1"/>
  <c r="Z52" i="1" a="1"/>
  <c r="Z52" i="1" s="1"/>
  <c r="Y53" i="1" s="1" a="1"/>
  <c r="Y53" i="1" s="1"/>
  <c r="KI391" i="1" a="1"/>
  <c r="KI391" i="1" s="1"/>
  <c r="KJ391" i="1" s="1"/>
  <c r="KK391" i="1" s="1"/>
  <c r="KI392" i="1" s="1" a="1"/>
  <c r="KI392" i="1" s="1"/>
  <c r="AB252" i="5"/>
  <c r="KD252" i="5" s="1"/>
  <c r="AA252" i="5"/>
  <c r="KC252" i="5" s="1"/>
  <c r="Z252" i="5" s="1" a="1"/>
  <c r="Z252" i="5" s="1"/>
  <c r="Y253" i="5" s="1" a="1"/>
  <c r="Y253" i="5" s="1"/>
  <c r="X254" i="5"/>
  <c r="KJ260" i="1"/>
  <c r="KK260" i="1" s="1"/>
  <c r="AJ52" i="1" l="1" a="1"/>
  <c r="AJ52" i="1" s="1"/>
  <c r="AI53" i="1" s="1" a="1"/>
  <c r="AI53" i="1" s="1"/>
  <c r="AK53" i="1" s="1"/>
  <c r="HE53" i="1" s="1"/>
  <c r="AB138" i="1"/>
  <c r="KD138" i="1" s="1"/>
  <c r="AA138" i="1"/>
  <c r="KC138" i="1" s="1"/>
  <c r="AE138" i="1" s="1" a="1"/>
  <c r="AE138" i="1" s="1"/>
  <c r="AA250" i="1"/>
  <c r="KC250" i="1" s="1"/>
  <c r="Z250" i="1" s="1" a="1"/>
  <c r="Z250" i="1" s="1"/>
  <c r="Y251" i="1" s="1" a="1"/>
  <c r="Y251" i="1" s="1"/>
  <c r="AB251" i="1" s="1"/>
  <c r="KD251" i="1" s="1"/>
  <c r="KI261" i="1" a="1"/>
  <c r="KI261" i="1" s="1"/>
  <c r="KJ261" i="1" s="1"/>
  <c r="AB241" i="1"/>
  <c r="KD241" i="1" s="1"/>
  <c r="AA241" i="1"/>
  <c r="KC241" i="1" s="1"/>
  <c r="Z241" i="1" s="1" a="1"/>
  <c r="Z241" i="1" s="1"/>
  <c r="Y242" i="1" s="1" a="1"/>
  <c r="Y242" i="1" s="1"/>
  <c r="AA53" i="1"/>
  <c r="HG53" i="1" s="1"/>
  <c r="AB53" i="1"/>
  <c r="HH53" i="1" s="1"/>
  <c r="KJ392" i="1"/>
  <c r="KK392" i="1" s="1"/>
  <c r="AA253" i="5"/>
  <c r="KC253" i="5" s="1"/>
  <c r="Z253" i="5" s="1" a="1"/>
  <c r="Z253" i="5" s="1"/>
  <c r="Y254" i="5" s="1" a="1"/>
  <c r="Y254" i="5" s="1"/>
  <c r="AB253" i="5"/>
  <c r="KD253" i="5" s="1"/>
  <c r="X255" i="5"/>
  <c r="AL53" i="1" l="1"/>
  <c r="HF53" i="1" s="1"/>
  <c r="HX53" i="1" s="1"/>
  <c r="Z138" i="1" a="1"/>
  <c r="Z138" i="1" s="1"/>
  <c r="Y139" i="1" s="1" a="1"/>
  <c r="Y139" i="1" s="1"/>
  <c r="AA251" i="1"/>
  <c r="KC251" i="1" s="1"/>
  <c r="Z251" i="1" s="1" a="1"/>
  <c r="Z251" i="1" s="1"/>
  <c r="Y252" i="1" s="1" a="1"/>
  <c r="Y252" i="1" s="1"/>
  <c r="AA252" i="1" s="1"/>
  <c r="KC252" i="1" s="1"/>
  <c r="KK261" i="1"/>
  <c r="KI262" i="1" a="1"/>
  <c r="KI262" i="1" s="1"/>
  <c r="KJ262" i="1" s="1"/>
  <c r="KK262" i="1" s="1"/>
  <c r="AA242" i="1"/>
  <c r="KC242" i="1" s="1"/>
  <c r="Z242" i="1" s="1" a="1"/>
  <c r="Z242" i="1" s="1"/>
  <c r="AB242" i="1"/>
  <c r="KD242" i="1" s="1"/>
  <c r="HU53" i="1"/>
  <c r="KI393" i="1" a="1"/>
  <c r="KI393" i="1" s="1"/>
  <c r="KJ393" i="1" s="1"/>
  <c r="KK393" i="1" s="1"/>
  <c r="AB254" i="5"/>
  <c r="KD254" i="5" s="1"/>
  <c r="AA254" i="5"/>
  <c r="KC254" i="5" s="1"/>
  <c r="Z254" i="5" s="1" a="1"/>
  <c r="Z254" i="5" s="1"/>
  <c r="Y255" i="5" s="1" a="1"/>
  <c r="Y255" i="5" s="1"/>
  <c r="X256" i="5"/>
  <c r="KI263" i="1" a="1"/>
  <c r="KI263" i="1" s="1"/>
  <c r="HV53" i="1" l="1"/>
  <c r="AA139" i="1"/>
  <c r="KC139" i="1" s="1"/>
  <c r="AE139" i="1" s="1" a="1"/>
  <c r="AE139" i="1" s="1"/>
  <c r="AB139" i="1"/>
  <c r="KD139" i="1" s="1"/>
  <c r="Z139" i="1" s="1" a="1"/>
  <c r="Z139" i="1" s="1"/>
  <c r="Y140" i="1" s="1" a="1"/>
  <c r="Y140" i="1" s="1"/>
  <c r="Z252" i="1" a="1"/>
  <c r="Z252" i="1" s="1"/>
  <c r="Y253" i="1" s="1" a="1"/>
  <c r="Y253" i="1" s="1"/>
  <c r="AA253" i="1" s="1"/>
  <c r="KC253" i="1" s="1"/>
  <c r="AB252" i="1"/>
  <c r="KD252" i="1" s="1"/>
  <c r="HW53" i="1"/>
  <c r="AE53" i="1" s="1" a="1"/>
  <c r="AE53" i="1" s="1"/>
  <c r="AD54" i="1" s="1" a="1"/>
  <c r="AD54" i="1" s="1"/>
  <c r="AJ53" i="1" a="1"/>
  <c r="AJ53" i="1" s="1"/>
  <c r="AI54" i="1" s="1" a="1"/>
  <c r="AI54" i="1" s="1"/>
  <c r="Z53" i="1" a="1"/>
  <c r="Z53" i="1" s="1"/>
  <c r="Y54" i="1" s="1" a="1"/>
  <c r="Y54" i="1" s="1"/>
  <c r="KI394" i="1" a="1"/>
  <c r="KI394" i="1" s="1"/>
  <c r="KJ394" i="1" s="1"/>
  <c r="KK394" i="1" s="1"/>
  <c r="KI395" i="1" s="1" a="1"/>
  <c r="KI395" i="1" s="1"/>
  <c r="AB255" i="5"/>
  <c r="KD255" i="5" s="1"/>
  <c r="AA255" i="5"/>
  <c r="KC255" i="5" s="1"/>
  <c r="Z255" i="5" s="1" a="1"/>
  <c r="Z255" i="5" s="1"/>
  <c r="Y256" i="5" s="1" a="1"/>
  <c r="Y256" i="5" s="1"/>
  <c r="X257" i="5"/>
  <c r="KJ263" i="1"/>
  <c r="KK263" i="1" s="1"/>
  <c r="KI264" i="1" a="1"/>
  <c r="KI264" i="1" s="1"/>
  <c r="AA140" i="1" l="1"/>
  <c r="KC140" i="1" s="1"/>
  <c r="AE140" i="1" s="1" a="1"/>
  <c r="AE140" i="1" s="1"/>
  <c r="AB140" i="1"/>
  <c r="KD140" i="1" s="1"/>
  <c r="Z253" i="1" a="1"/>
  <c r="Z253" i="1" s="1"/>
  <c r="Y254" i="1" s="1" a="1"/>
  <c r="Y254" i="1" s="1"/>
  <c r="AA254" i="1" s="1"/>
  <c r="KC254" i="1" s="1"/>
  <c r="AB253" i="1"/>
  <c r="KD253" i="1" s="1"/>
  <c r="AL54" i="1"/>
  <c r="HF54" i="1" s="1"/>
  <c r="AK54" i="1"/>
  <c r="HE54" i="1" s="1"/>
  <c r="AA54" i="1"/>
  <c r="HG54" i="1" s="1"/>
  <c r="AB54" i="1"/>
  <c r="HH54" i="1" s="1"/>
  <c r="KJ395" i="1"/>
  <c r="KK395" i="1" s="1"/>
  <c r="AB256" i="5"/>
  <c r="KD256" i="5" s="1"/>
  <c r="AA256" i="5"/>
  <c r="KC256" i="5" s="1"/>
  <c r="Z256" i="5" s="1" a="1"/>
  <c r="Z256" i="5" s="1"/>
  <c r="Y257" i="5" s="1" a="1"/>
  <c r="Y257" i="5" s="1"/>
  <c r="X258" i="5"/>
  <c r="KJ264" i="1"/>
  <c r="KK264" i="1" s="1"/>
  <c r="Z140" i="1" l="1" a="1"/>
  <c r="Z140" i="1" s="1"/>
  <c r="Y141" i="1" s="1" a="1"/>
  <c r="Y141" i="1" s="1"/>
  <c r="Z254" i="1" a="1"/>
  <c r="Z254" i="1" s="1"/>
  <c r="Y255" i="1" s="1" a="1"/>
  <c r="Y255" i="1" s="1"/>
  <c r="AA255" i="1" s="1"/>
  <c r="KC255" i="1" s="1"/>
  <c r="AB254" i="1"/>
  <c r="KD254" i="1" s="1"/>
  <c r="HU54" i="1"/>
  <c r="HX54" i="1"/>
  <c r="HV54" i="1"/>
  <c r="KI396" i="1" a="1"/>
  <c r="KI396" i="1" s="1"/>
  <c r="KJ396" i="1" s="1"/>
  <c r="KK396" i="1" s="1"/>
  <c r="KI265" i="1" a="1"/>
  <c r="KI265" i="1" s="1"/>
  <c r="KJ265" i="1" s="1"/>
  <c r="AB257" i="5"/>
  <c r="KD257" i="5" s="1"/>
  <c r="AA257" i="5"/>
  <c r="KC257" i="5" s="1"/>
  <c r="Z257" i="5" s="1" a="1"/>
  <c r="Z257" i="5" s="1"/>
  <c r="Y258" i="5" s="1" a="1"/>
  <c r="Y258" i="5" s="1"/>
  <c r="X259" i="5"/>
  <c r="AA141" i="1" l="1"/>
  <c r="KC141" i="1" s="1"/>
  <c r="AE141" i="1" s="1" a="1"/>
  <c r="AE141" i="1" s="1"/>
  <c r="AB141" i="1"/>
  <c r="KD141" i="1" s="1"/>
  <c r="Z255" i="1" a="1"/>
  <c r="Z255" i="1" s="1"/>
  <c r="Y256" i="1" s="1" a="1"/>
  <c r="Y256" i="1" s="1"/>
  <c r="AA256" i="1" s="1"/>
  <c r="KC256" i="1" s="1"/>
  <c r="AB255" i="1"/>
  <c r="KD255" i="1" s="1"/>
  <c r="HW54" i="1"/>
  <c r="AE54" i="1" s="1" a="1"/>
  <c r="AE54" i="1" s="1"/>
  <c r="AD55" i="1" s="1" a="1"/>
  <c r="AD55" i="1" s="1"/>
  <c r="Z54" i="1" a="1"/>
  <c r="Z54" i="1" s="1"/>
  <c r="Y55" i="1" s="1" a="1"/>
  <c r="Y55" i="1" s="1"/>
  <c r="KI397" i="1" a="1"/>
  <c r="KI397" i="1" s="1"/>
  <c r="KJ397" i="1" s="1"/>
  <c r="KK397" i="1" s="1"/>
  <c r="KI398" i="1" s="1" a="1"/>
  <c r="KI398" i="1" s="1"/>
  <c r="KK265" i="1"/>
  <c r="KI266" i="1" a="1"/>
  <c r="KI266" i="1" s="1"/>
  <c r="KJ266" i="1" s="1"/>
  <c r="KK266" i="1" s="1"/>
  <c r="AB258" i="5"/>
  <c r="KD258" i="5" s="1"/>
  <c r="AA258" i="5"/>
  <c r="KC258" i="5" s="1"/>
  <c r="Z258" i="5" s="1" a="1"/>
  <c r="Z258" i="5" s="1"/>
  <c r="X260" i="5"/>
  <c r="Y259" i="5" a="1"/>
  <c r="Y259" i="5" s="1"/>
  <c r="AJ54" i="1" l="1" a="1"/>
  <c r="AJ54" i="1" s="1"/>
  <c r="AI55" i="1" s="1" a="1"/>
  <c r="AI55" i="1" s="1"/>
  <c r="AL55" i="1" s="1"/>
  <c r="HF55" i="1" s="1"/>
  <c r="Z141" i="1" a="1"/>
  <c r="Z141" i="1" s="1"/>
  <c r="Y142" i="1" s="1" a="1"/>
  <c r="Y142" i="1" s="1"/>
  <c r="Z256" i="1" a="1"/>
  <c r="Z256" i="1" s="1"/>
  <c r="Y257" i="1" s="1" a="1"/>
  <c r="Y257" i="1" s="1"/>
  <c r="AB257" i="1" s="1"/>
  <c r="KD257" i="1" s="1"/>
  <c r="AB256" i="1"/>
  <c r="KD256" i="1" s="1"/>
  <c r="AB55" i="1"/>
  <c r="HH55" i="1" s="1"/>
  <c r="AA55" i="1"/>
  <c r="HG55" i="1" s="1"/>
  <c r="KJ398" i="1"/>
  <c r="KK398" i="1" s="1"/>
  <c r="AB259" i="5"/>
  <c r="KD259" i="5" s="1"/>
  <c r="AA259" i="5"/>
  <c r="KC259" i="5" s="1"/>
  <c r="Z259" i="5" s="1" a="1"/>
  <c r="Z259" i="5" s="1"/>
  <c r="Y260" i="5" s="1" a="1"/>
  <c r="Y260" i="5" s="1"/>
  <c r="X261" i="5"/>
  <c r="KJ316" i="1"/>
  <c r="KK316" i="1" s="1"/>
  <c r="Z316" i="1" a="1"/>
  <c r="Z316" i="1" s="1"/>
  <c r="Y317" i="1" s="1" a="1"/>
  <c r="Y317" i="1" s="1"/>
  <c r="AK55" i="1" l="1"/>
  <c r="HE55" i="1" s="1"/>
  <c r="AA142" i="1"/>
  <c r="KC142" i="1" s="1"/>
  <c r="AE142" i="1" s="1" a="1"/>
  <c r="AE142" i="1" s="1"/>
  <c r="AB142" i="1"/>
  <c r="KD142" i="1" s="1"/>
  <c r="Z142" i="1" s="1" a="1"/>
  <c r="Z142" i="1" s="1"/>
  <c r="Y143" i="1" s="1" a="1"/>
  <c r="Y143" i="1" s="1"/>
  <c r="AA257" i="1"/>
  <c r="KC257" i="1" s="1"/>
  <c r="Z257" i="1" s="1" a="1"/>
  <c r="Z257" i="1" s="1"/>
  <c r="Y258" i="1" s="1" a="1"/>
  <c r="Y258" i="1" s="1"/>
  <c r="AA258" i="1" s="1"/>
  <c r="KC258" i="1" s="1"/>
  <c r="HV55" i="1"/>
  <c r="HX55" i="1"/>
  <c r="KI399" i="1" a="1"/>
  <c r="KI399" i="1" s="1"/>
  <c r="KJ399" i="1" s="1"/>
  <c r="KK399" i="1" s="1"/>
  <c r="KI400" i="1" s="1" a="1"/>
  <c r="KI400" i="1" s="1"/>
  <c r="KJ400" i="1" s="1"/>
  <c r="KK400" i="1" s="1"/>
  <c r="KI317" i="1" a="1"/>
  <c r="KI317" i="1" s="1"/>
  <c r="AA260" i="5"/>
  <c r="KC260" i="5" s="1"/>
  <c r="Z260" i="5" s="1" a="1"/>
  <c r="Z260" i="5" s="1"/>
  <c r="Y261" i="5" s="1" a="1"/>
  <c r="Y261" i="5" s="1"/>
  <c r="AB260" i="5"/>
  <c r="KD260" i="5" s="1"/>
  <c r="X262" i="5"/>
  <c r="AA317" i="1"/>
  <c r="KC317" i="1" s="1"/>
  <c r="AB317" i="1"/>
  <c r="KD317" i="1" s="1"/>
  <c r="HU55" i="1" l="1"/>
  <c r="AE55" i="1" a="1"/>
  <c r="AE55" i="1" s="1"/>
  <c r="AA143" i="1"/>
  <c r="KC143" i="1" s="1"/>
  <c r="AE143" i="1" s="1" a="1"/>
  <c r="AE143" i="1" s="1"/>
  <c r="AB143" i="1"/>
  <c r="KD143" i="1" s="1"/>
  <c r="Z143" i="1" s="1" a="1"/>
  <c r="Z143" i="1" s="1"/>
  <c r="Y144" i="1" s="1" a="1"/>
  <c r="Y144" i="1" s="1"/>
  <c r="Z258" i="1" a="1"/>
  <c r="Z258" i="1" s="1"/>
  <c r="Y259" i="1" s="1" a="1"/>
  <c r="Y259" i="1" s="1"/>
  <c r="AA259" i="1" s="1"/>
  <c r="KC259" i="1" s="1"/>
  <c r="AB258" i="1"/>
  <c r="KD258" i="1" s="1"/>
  <c r="Z317" i="1" a="1"/>
  <c r="Z317" i="1" s="1"/>
  <c r="KJ317" i="1"/>
  <c r="KK317" i="1" s="1"/>
  <c r="HW55" i="1"/>
  <c r="AJ55" i="1" s="1" a="1"/>
  <c r="AJ55" i="1" s="1"/>
  <c r="Z55" i="1" a="1"/>
  <c r="Z55" i="1" s="1"/>
  <c r="KI401" i="1" a="1"/>
  <c r="KI401" i="1" s="1"/>
  <c r="AB261" i="5"/>
  <c r="KD261" i="5" s="1"/>
  <c r="AA261" i="5"/>
  <c r="KC261" i="5" s="1"/>
  <c r="Z261" i="5" s="1" a="1"/>
  <c r="Z261" i="5" s="1"/>
  <c r="Y262" i="5" s="1" a="1"/>
  <c r="Y262" i="5" s="1"/>
  <c r="X263" i="5"/>
  <c r="AA144" i="1" l="1"/>
  <c r="KC144" i="1" s="1"/>
  <c r="AE144" i="1" s="1" a="1"/>
  <c r="AE144" i="1" s="1"/>
  <c r="AB144" i="1"/>
  <c r="KD144" i="1" s="1"/>
  <c r="Z144" i="1" s="1" a="1"/>
  <c r="Z144" i="1" s="1"/>
  <c r="Y145" i="1" s="1" a="1"/>
  <c r="Y145" i="1" s="1"/>
  <c r="Z259" i="1" a="1"/>
  <c r="Z259" i="1" s="1"/>
  <c r="Y260" i="1" s="1" a="1"/>
  <c r="Y260" i="1" s="1"/>
  <c r="AB260" i="1" s="1"/>
  <c r="KD260" i="1" s="1"/>
  <c r="AB259" i="1"/>
  <c r="KD259" i="1" s="1"/>
  <c r="Z319" i="1" a="1"/>
  <c r="Z319" i="1" s="1"/>
  <c r="Y320" i="1" s="1" a="1"/>
  <c r="Y320" i="1" s="1"/>
  <c r="KI402" i="1" a="1"/>
  <c r="KI402" i="1" s="1"/>
  <c r="KJ402" i="1" s="1"/>
  <c r="KJ401" i="1"/>
  <c r="KK401" i="1" s="1"/>
  <c r="AB262" i="5"/>
  <c r="KD262" i="5" s="1"/>
  <c r="AA262" i="5"/>
  <c r="KC262" i="5" s="1"/>
  <c r="Z262" i="5" s="1" a="1"/>
  <c r="Z262" i="5" s="1"/>
  <c r="Y263" i="5" s="1" a="1"/>
  <c r="Y263" i="5" s="1"/>
  <c r="X264" i="5"/>
  <c r="AA145" i="1" l="1"/>
  <c r="KC145" i="1" s="1"/>
  <c r="AE145" i="1" s="1" a="1"/>
  <c r="AE145" i="1" s="1"/>
  <c r="AB145" i="1"/>
  <c r="KD145" i="1" s="1"/>
  <c r="Z145" i="1" s="1" a="1"/>
  <c r="Z145" i="1" s="1"/>
  <c r="Y146" i="1" s="1" a="1"/>
  <c r="Y146" i="1" s="1"/>
  <c r="AA260" i="1"/>
  <c r="KC260" i="1" s="1"/>
  <c r="Z260" i="1" s="1" a="1"/>
  <c r="Z260" i="1" s="1"/>
  <c r="Y261" i="1" s="1" a="1"/>
  <c r="Y261" i="1" s="1"/>
  <c r="AA261" i="1" s="1"/>
  <c r="KC261" i="1" s="1"/>
  <c r="KK402" i="1"/>
  <c r="KI403" i="1" a="1"/>
  <c r="KI403" i="1" s="1"/>
  <c r="KJ403" i="1" s="1"/>
  <c r="AB346" i="1"/>
  <c r="KB346" i="1" s="1"/>
  <c r="AA346" i="1"/>
  <c r="KA346" i="1" s="1"/>
  <c r="Y321" i="1" a="1"/>
  <c r="Y321" i="1" s="1"/>
  <c r="AA320" i="1"/>
  <c r="AB320" i="1"/>
  <c r="AB263" i="5"/>
  <c r="KD263" i="5" s="1"/>
  <c r="AA263" i="5"/>
  <c r="KC263" i="5" s="1"/>
  <c r="Z263" i="5" s="1" a="1"/>
  <c r="Z263" i="5" s="1"/>
  <c r="Y264" i="5" s="1" a="1"/>
  <c r="Y264" i="5" s="1"/>
  <c r="X265" i="5"/>
  <c r="AA146" i="1" l="1"/>
  <c r="KC146" i="1" s="1"/>
  <c r="AE146" i="1" s="1" a="1"/>
  <c r="AE146" i="1" s="1"/>
  <c r="AB146" i="1"/>
  <c r="KD146" i="1" s="1"/>
  <c r="Z261" i="1" a="1"/>
  <c r="Z261" i="1" s="1"/>
  <c r="Y262" i="1" s="1" a="1"/>
  <c r="Y262" i="1" s="1"/>
  <c r="AB262" i="1" s="1"/>
  <c r="KD262" i="1" s="1"/>
  <c r="AB261" i="1"/>
  <c r="KD261" i="1" s="1"/>
  <c r="KD320" i="1"/>
  <c r="KB320" i="1"/>
  <c r="KF320" i="1" s="1"/>
  <c r="KC320" i="1"/>
  <c r="KA320" i="1"/>
  <c r="KE320" i="1" s="1"/>
  <c r="AA321" i="1"/>
  <c r="LP321" i="1" s="1"/>
  <c r="AB321" i="1"/>
  <c r="LQ321" i="1" s="1"/>
  <c r="KK403" i="1"/>
  <c r="KI404" i="1" a="1"/>
  <c r="KI404" i="1" s="1"/>
  <c r="KJ404" i="1" s="1"/>
  <c r="KC346" i="1"/>
  <c r="KF346" i="1"/>
  <c r="KD346" i="1"/>
  <c r="AB264" i="5"/>
  <c r="KD264" i="5" s="1"/>
  <c r="AA264" i="5"/>
  <c r="KC264" i="5" s="1"/>
  <c r="Z264" i="5" s="1" a="1"/>
  <c r="Z264" i="5" s="1"/>
  <c r="Y265" i="5" s="1" a="1"/>
  <c r="Y265" i="5" s="1"/>
  <c r="X266" i="5"/>
  <c r="Z146" i="1" l="1" a="1"/>
  <c r="Z146" i="1" s="1"/>
  <c r="Y147" i="1" s="1" a="1"/>
  <c r="Y147" i="1" s="1"/>
  <c r="AA262" i="1"/>
  <c r="KC262" i="1" s="1"/>
  <c r="Z262" i="1" s="1" a="1"/>
  <c r="Z262" i="1" s="1"/>
  <c r="Y263" i="1" s="1" a="1"/>
  <c r="Y263" i="1" s="1"/>
  <c r="AB263" i="1" s="1"/>
  <c r="KD263" i="1" s="1"/>
  <c r="Z321" i="1" a="1"/>
  <c r="Z321" i="1" s="1"/>
  <c r="Y322" i="1" s="1" a="1"/>
  <c r="Y322" i="1" s="1"/>
  <c r="AA322" i="1" s="1"/>
  <c r="LP322" i="1" s="1"/>
  <c r="Z320" i="1" a="1"/>
  <c r="Z320" i="1" s="1"/>
  <c r="KK404" i="1"/>
  <c r="KI405" i="1" a="1"/>
  <c r="KI405" i="1" s="1"/>
  <c r="KJ405" i="1" s="1"/>
  <c r="Z346" i="1" a="1"/>
  <c r="Z346" i="1" s="1"/>
  <c r="Y347" i="1" s="1" a="1"/>
  <c r="Y347" i="1" s="1"/>
  <c r="KE346" i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A147" i="1" l="1"/>
  <c r="KC147" i="1" s="1"/>
  <c r="AE147" i="1" s="1" a="1"/>
  <c r="AE147" i="1" s="1"/>
  <c r="AB147" i="1"/>
  <c r="KD147" i="1" s="1"/>
  <c r="AA263" i="1"/>
  <c r="KC263" i="1" s="1"/>
  <c r="Z263" i="1" s="1" a="1"/>
  <c r="Z263" i="1" s="1"/>
  <c r="Y264" i="1" s="1" a="1"/>
  <c r="Y264" i="1" s="1"/>
  <c r="AB264" i="1" s="1"/>
  <c r="KD264" i="1" s="1"/>
  <c r="Z322" i="1" a="1"/>
  <c r="Z322" i="1" s="1"/>
  <c r="Y323" i="1" s="1" a="1"/>
  <c r="Y323" i="1" s="1"/>
  <c r="AB323" i="1" s="1"/>
  <c r="LQ323" i="1" s="1"/>
  <c r="AB322" i="1"/>
  <c r="LQ322" i="1" s="1"/>
  <c r="KK405" i="1"/>
  <c r="KI406" i="1" a="1"/>
  <c r="KI406" i="1" s="1"/>
  <c r="KJ406" i="1" s="1"/>
  <c r="AB347" i="1"/>
  <c r="AA347" i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Z147" i="1" l="1" a="1"/>
  <c r="Z147" i="1" s="1"/>
  <c r="Y148" i="1" s="1" a="1"/>
  <c r="Y148" i="1" s="1"/>
  <c r="AA264" i="1"/>
  <c r="KC264" i="1" s="1"/>
  <c r="Z264" i="1" s="1" a="1"/>
  <c r="Z264" i="1" s="1"/>
  <c r="Y265" i="1" s="1" a="1"/>
  <c r="Y265" i="1" s="1"/>
  <c r="AB265" i="1" s="1"/>
  <c r="KD265" i="1" s="1"/>
  <c r="AA323" i="1"/>
  <c r="LP323" i="1" s="1"/>
  <c r="Z323" i="1" s="1" a="1"/>
  <c r="Z323" i="1" s="1"/>
  <c r="Y324" i="1" s="1" a="1"/>
  <c r="Y324" i="1" s="1"/>
  <c r="AB324" i="1" s="1"/>
  <c r="LQ324" i="1" s="1"/>
  <c r="KK406" i="1"/>
  <c r="KI407" i="1" a="1"/>
  <c r="KI407" i="1" s="1"/>
  <c r="KC347" i="1"/>
  <c r="KA347" i="1"/>
  <c r="KB347" i="1"/>
  <c r="KF347" i="1" s="1"/>
  <c r="KD347" i="1"/>
  <c r="AB267" i="5"/>
  <c r="HH267" i="5" s="1"/>
  <c r="AA267" i="5"/>
  <c r="HG267" i="5" s="1"/>
  <c r="X273" i="5" a="1"/>
  <c r="X273" i="5" s="1"/>
  <c r="AA148" i="1" l="1"/>
  <c r="KC148" i="1" s="1"/>
  <c r="AE148" i="1" s="1" a="1"/>
  <c r="AE148" i="1" s="1"/>
  <c r="AB148" i="1"/>
  <c r="KD148" i="1" s="1"/>
  <c r="AA265" i="1"/>
  <c r="KC265" i="1" s="1"/>
  <c r="Z265" i="1" s="1" a="1"/>
  <c r="Z265" i="1" s="1"/>
  <c r="Y266" i="1" s="1" a="1"/>
  <c r="Y266" i="1" s="1"/>
  <c r="AA266" i="1" s="1"/>
  <c r="KC266" i="1" s="1"/>
  <c r="AA324" i="1"/>
  <c r="LP324" i="1" s="1"/>
  <c r="Z324" i="1" s="1" a="1"/>
  <c r="Z324" i="1" s="1"/>
  <c r="Y327" i="1" s="1" a="1"/>
  <c r="Y327" i="1" s="1"/>
  <c r="AA327" i="1" s="1"/>
  <c r="KI408" i="1" a="1"/>
  <c r="KI408" i="1" s="1"/>
  <c r="KJ407" i="1"/>
  <c r="KK407" i="1" s="1"/>
  <c r="Z347" i="1" a="1"/>
  <c r="Z347" i="1" s="1"/>
  <c r="KE347" i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Z148" i="1" l="1" a="1"/>
  <c r="Z148" i="1" s="1"/>
  <c r="Y149" i="1" s="1" a="1"/>
  <c r="Y149" i="1" s="1"/>
  <c r="Z266" i="1" a="1"/>
  <c r="Z266" i="1" s="1"/>
  <c r="Y267" i="1" s="1" a="1"/>
  <c r="Y267" i="1" s="1"/>
  <c r="AB267" i="1" s="1"/>
  <c r="HH267" i="1" s="1"/>
  <c r="AB266" i="1"/>
  <c r="KD266" i="1" s="1"/>
  <c r="AB327" i="1"/>
  <c r="KJ408" i="1"/>
  <c r="KK408" i="1" s="1"/>
  <c r="Y348" i="1" a="1"/>
  <c r="Y348" i="1" s="1"/>
  <c r="AB348" i="1" s="1"/>
  <c r="KD348" i="1" s="1"/>
  <c r="AF268" i="5"/>
  <c r="AG268" i="5"/>
  <c r="AI268" i="5" a="1"/>
  <c r="AI268" i="5" s="1"/>
  <c r="AA269" i="5"/>
  <c r="HG269" i="5" s="1"/>
  <c r="AB269" i="5"/>
  <c r="HH269" i="5" s="1"/>
  <c r="X277" i="5" a="1"/>
  <c r="X277" i="5" s="1"/>
  <c r="AA149" i="1" l="1"/>
  <c r="KC149" i="1" s="1"/>
  <c r="AE149" i="1" s="1" a="1"/>
  <c r="AE149" i="1" s="1"/>
  <c r="AB149" i="1"/>
  <c r="KD149" i="1" s="1"/>
  <c r="AA267" i="1"/>
  <c r="HG267" i="1" s="1"/>
  <c r="AJ267" i="1" a="1"/>
  <c r="AJ267" i="1" s="1"/>
  <c r="AH268" i="1" s="1"/>
  <c r="AE267" i="1" a="1"/>
  <c r="AE267" i="1" s="1"/>
  <c r="AD268" i="1" s="1" a="1"/>
  <c r="AD268" i="1" s="1"/>
  <c r="Z267" i="1" a="1"/>
  <c r="Z267" i="1" s="1"/>
  <c r="Y269" i="1" s="1" a="1"/>
  <c r="Y269" i="1" s="1"/>
  <c r="KI409" i="1" a="1"/>
  <c r="KI409" i="1" s="1"/>
  <c r="KJ409" i="1" s="1"/>
  <c r="KK409" i="1" s="1"/>
  <c r="KI410" i="1" s="1" a="1"/>
  <c r="KI410" i="1" s="1"/>
  <c r="AA348" i="1"/>
  <c r="KC348" i="1" s="1"/>
  <c r="Z348" i="1" s="1" a="1"/>
  <c r="Z348" i="1" s="1"/>
  <c r="Y349" i="1" s="1" a="1"/>
  <c r="Y349" i="1" s="1"/>
  <c r="AB349" i="1" s="1"/>
  <c r="KD349" i="1" s="1"/>
  <c r="BG268" i="5"/>
  <c r="BU268" i="5"/>
  <c r="BF268" i="5"/>
  <c r="BT268" i="5"/>
  <c r="X279" i="5" a="1"/>
  <c r="X279" i="5" s="1"/>
  <c r="X281" i="5" s="1" a="1"/>
  <c r="X281" i="5" s="1"/>
  <c r="AL268" i="5"/>
  <c r="AK268" i="5"/>
  <c r="Z149" i="1" l="1" a="1"/>
  <c r="Z149" i="1" s="1"/>
  <c r="Y150" i="1" s="1" a="1"/>
  <c r="Y150" i="1" s="1"/>
  <c r="AB269" i="1"/>
  <c r="HH269" i="1" s="1"/>
  <c r="AA269" i="1"/>
  <c r="HG269" i="1" s="1"/>
  <c r="AF268" i="1"/>
  <c r="AG268" i="1"/>
  <c r="AI268" i="1" a="1"/>
  <c r="AI268" i="1" s="1"/>
  <c r="KJ410" i="1"/>
  <c r="KK410" i="1" s="1"/>
  <c r="AA349" i="1"/>
  <c r="KC349" i="1" s="1"/>
  <c r="Z349" i="1" s="1" a="1"/>
  <c r="Z349" i="1" s="1"/>
  <c r="Y350" i="1" s="1" a="1"/>
  <c r="Y350" i="1" s="1"/>
  <c r="AB350" i="1" s="1"/>
  <c r="KD350" i="1" s="1"/>
  <c r="BQ268" i="5"/>
  <c r="CG268" i="5"/>
  <c r="BP268" i="5"/>
  <c r="CF268" i="5"/>
  <c r="BI268" i="5"/>
  <c r="BW268" i="5"/>
  <c r="BV268" i="5"/>
  <c r="BH268" i="5"/>
  <c r="AA150" i="1" l="1"/>
  <c r="KC150" i="1" s="1"/>
  <c r="AE150" i="1" s="1" a="1"/>
  <c r="AE150" i="1" s="1"/>
  <c r="AB150" i="1"/>
  <c r="KD150" i="1" s="1"/>
  <c r="AL268" i="1"/>
  <c r="AK268" i="1"/>
  <c r="BU268" i="1"/>
  <c r="BG268" i="1"/>
  <c r="BF268" i="1"/>
  <c r="BT268" i="1"/>
  <c r="KI411" i="1" a="1"/>
  <c r="KI411" i="1" s="1"/>
  <c r="KJ411" i="1" s="1"/>
  <c r="AA350" i="1"/>
  <c r="KC350" i="1" s="1"/>
  <c r="Z350" i="1" s="1" a="1"/>
  <c r="Z350" i="1" s="1"/>
  <c r="BR268" i="5"/>
  <c r="CJ268" i="5" s="1"/>
  <c r="CH268" i="5"/>
  <c r="BS268" i="5"/>
  <c r="CK268" i="5" s="1"/>
  <c r="CI268" i="5"/>
  <c r="BK268" i="5"/>
  <c r="BY268" i="5"/>
  <c r="BX268" i="5"/>
  <c r="BJ268" i="5"/>
  <c r="Z150" i="1" l="1" a="1"/>
  <c r="Z150" i="1" s="1"/>
  <c r="Y151" i="1" s="1" a="1"/>
  <c r="Y151" i="1" s="1"/>
  <c r="BV268" i="1"/>
  <c r="BH268" i="1"/>
  <c r="BI268" i="1"/>
  <c r="BW268" i="1"/>
  <c r="BP268" i="1"/>
  <c r="CF268" i="1"/>
  <c r="BQ268" i="1"/>
  <c r="CG268" i="1"/>
  <c r="KK411" i="1"/>
  <c r="KI412" i="1" a="1"/>
  <c r="KI412" i="1" s="1"/>
  <c r="KJ412" i="1" s="1"/>
  <c r="KK412" i="1" s="1"/>
  <c r="BM268" i="5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B151" i="1" l="1"/>
  <c r="KD151" i="1" s="1"/>
  <c r="AA151" i="1"/>
  <c r="KC151" i="1" s="1"/>
  <c r="AE151" i="1" s="1" a="1"/>
  <c r="AE151" i="1" s="1"/>
  <c r="BS268" i="1"/>
  <c r="CK268" i="1" s="1"/>
  <c r="CI268" i="1"/>
  <c r="BR268" i="1"/>
  <c r="CJ268" i="1" s="1"/>
  <c r="CH268" i="1"/>
  <c r="BK268" i="1"/>
  <c r="BY268" i="1"/>
  <c r="BJ268" i="1"/>
  <c r="BX268" i="1"/>
  <c r="KI413" i="1" a="1"/>
  <c r="KI413" i="1" s="1"/>
  <c r="KJ413" i="1" s="1"/>
  <c r="AI269" i="5" a="1"/>
  <c r="AI269" i="5" s="1"/>
  <c r="AG269" i="5"/>
  <c r="AF269" i="5"/>
  <c r="Z151" i="1" l="1" a="1"/>
  <c r="Z151" i="1" s="1"/>
  <c r="Y152" i="1" s="1" a="1"/>
  <c r="Y152" i="1" s="1"/>
  <c r="BZ268" i="1"/>
  <c r="BL268" i="1"/>
  <c r="CB268" i="1" s="1"/>
  <c r="AE268" i="1" a="1"/>
  <c r="AE268" i="1" s="1"/>
  <c r="AD269" i="1" s="1" a="1"/>
  <c r="AD269" i="1" s="1"/>
  <c r="AJ268" i="1" a="1"/>
  <c r="AJ268" i="1" s="1"/>
  <c r="AH269" i="1" s="1"/>
  <c r="BM268" i="1"/>
  <c r="CC268" i="1" s="1"/>
  <c r="CA268" i="1"/>
  <c r="KK413" i="1"/>
  <c r="KI414" i="1" a="1"/>
  <c r="KI414" i="1" s="1"/>
  <c r="KJ414" i="1" s="1"/>
  <c r="KK414" i="1" s="1"/>
  <c r="KI415" i="1" s="1" a="1"/>
  <c r="KI415" i="1" s="1"/>
  <c r="GU269" i="5"/>
  <c r="HI269" i="5"/>
  <c r="GV269" i="5"/>
  <c r="HJ269" i="5"/>
  <c r="AK269" i="5"/>
  <c r="AL269" i="5"/>
  <c r="AA152" i="1" l="1"/>
  <c r="KC152" i="1" s="1"/>
  <c r="AE152" i="1" s="1" a="1"/>
  <c r="AE152" i="1" s="1"/>
  <c r="AB152" i="1"/>
  <c r="KD152" i="1" s="1"/>
  <c r="Z152" i="1" s="1" a="1"/>
  <c r="Z152" i="1" s="1"/>
  <c r="Y153" i="1" s="1" a="1"/>
  <c r="Y153" i="1" s="1"/>
  <c r="AI269" i="1" a="1"/>
  <c r="AI269" i="1" s="1"/>
  <c r="AG269" i="1"/>
  <c r="AF269" i="1"/>
  <c r="KI416" i="1" a="1"/>
  <c r="KI416" i="1" s="1"/>
  <c r="KJ416" i="1" s="1"/>
  <c r="KJ415" i="1"/>
  <c r="KK415" i="1" s="1"/>
  <c r="HF269" i="5"/>
  <c r="HX269" i="5" s="1"/>
  <c r="HV269" i="5"/>
  <c r="HE269" i="5"/>
  <c r="HW269" i="5" s="1"/>
  <c r="HU269" i="5"/>
  <c r="GX269" i="5"/>
  <c r="HL269" i="5"/>
  <c r="GW269" i="5"/>
  <c r="HK269" i="5"/>
  <c r="AA153" i="1" l="1"/>
  <c r="KC153" i="1" s="1"/>
  <c r="AE153" i="1" s="1" a="1"/>
  <c r="AE153" i="1" s="1"/>
  <c r="AB153" i="1"/>
  <c r="KD153" i="1" s="1"/>
  <c r="HI269" i="1"/>
  <c r="GU269" i="1"/>
  <c r="HJ269" i="1"/>
  <c r="GV269" i="1"/>
  <c r="AL269" i="1"/>
  <c r="AK269" i="1"/>
  <c r="KK416" i="1"/>
  <c r="KI417" i="1" a="1"/>
  <c r="KI417" i="1" s="1"/>
  <c r="GY269" i="5"/>
  <c r="HM269" i="5"/>
  <c r="GZ269" i="5"/>
  <c r="HN269" i="5"/>
  <c r="Z153" i="1" l="1" a="1"/>
  <c r="Z153" i="1" s="1"/>
  <c r="Y154" i="1" s="1" a="1"/>
  <c r="Y154" i="1" s="1"/>
  <c r="HE269" i="1"/>
  <c r="HW269" i="1" s="1"/>
  <c r="HU269" i="1"/>
  <c r="HF269" i="1"/>
  <c r="HX269" i="1" s="1"/>
  <c r="HV269" i="1"/>
  <c r="GX269" i="1"/>
  <c r="HL269" i="1"/>
  <c r="GW269" i="1"/>
  <c r="HK269" i="1"/>
  <c r="KI418" i="1" a="1"/>
  <c r="KI418" i="1" s="1"/>
  <c r="KJ417" i="1"/>
  <c r="KK417" i="1" s="1"/>
  <c r="HB269" i="5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A154" i="1" l="1"/>
  <c r="KC154" i="1" s="1"/>
  <c r="AE154" i="1" s="1" a="1"/>
  <c r="AE154" i="1" s="1"/>
  <c r="AB154" i="1"/>
  <c r="KD154" i="1" s="1"/>
  <c r="HM269" i="1"/>
  <c r="GY269" i="1"/>
  <c r="GZ269" i="1"/>
  <c r="HN269" i="1"/>
  <c r="KI419" i="1" a="1"/>
  <c r="KI419" i="1" s="1"/>
  <c r="KJ419" i="1" s="1"/>
  <c r="KK419" i="1" s="1"/>
  <c r="KJ418" i="1"/>
  <c r="KK418" i="1" s="1"/>
  <c r="AB271" i="5"/>
  <c r="HH271" i="5" s="1"/>
  <c r="AA271" i="5"/>
  <c r="HG271" i="5" s="1"/>
  <c r="AI270" i="5" a="1"/>
  <c r="AI270" i="5" s="1"/>
  <c r="AG270" i="5"/>
  <c r="AF270" i="5"/>
  <c r="Z154" i="1" l="1" a="1"/>
  <c r="Z154" i="1" s="1"/>
  <c r="Y155" i="1" s="1" a="1"/>
  <c r="Y155" i="1" s="1"/>
  <c r="HP269" i="1"/>
  <c r="HB269" i="1"/>
  <c r="HR269" i="1" s="1"/>
  <c r="HO269" i="1"/>
  <c r="HA269" i="1"/>
  <c r="HQ269" i="1" s="1"/>
  <c r="AE269" i="1" a="1"/>
  <c r="AE269" i="1" s="1"/>
  <c r="AD270" i="1" s="1" a="1"/>
  <c r="AD270" i="1" s="1"/>
  <c r="Z269" i="1" a="1"/>
  <c r="Z269" i="1" s="1"/>
  <c r="Y271" i="1" s="1" a="1"/>
  <c r="Y271" i="1" s="1"/>
  <c r="AJ269" i="1" a="1"/>
  <c r="AJ269" i="1" s="1"/>
  <c r="AH270" i="1" s="1"/>
  <c r="KI420" i="1" a="1"/>
  <c r="KI420" i="1" s="1"/>
  <c r="KJ420" i="1" s="1"/>
  <c r="AL270" i="5"/>
  <c r="AK270" i="5"/>
  <c r="BF270" i="5"/>
  <c r="BT270" i="5"/>
  <c r="BG270" i="5"/>
  <c r="BU270" i="5"/>
  <c r="AA155" i="1" l="1"/>
  <c r="KC155" i="1" s="1"/>
  <c r="AE155" i="1" s="1" a="1"/>
  <c r="AE155" i="1" s="1"/>
  <c r="AB155" i="1"/>
  <c r="KD155" i="1" s="1"/>
  <c r="AI270" i="1" a="1"/>
  <c r="AI270" i="1" s="1"/>
  <c r="AB271" i="1"/>
  <c r="HH271" i="1" s="1"/>
  <c r="AA271" i="1"/>
  <c r="HG271" i="1" s="1"/>
  <c r="AF270" i="1"/>
  <c r="AG270" i="1"/>
  <c r="KK420" i="1"/>
  <c r="KI421" i="1" s="1" a="1"/>
  <c r="KI421" i="1" s="1"/>
  <c r="BH270" i="5"/>
  <c r="BV270" i="5"/>
  <c r="BQ270" i="5"/>
  <c r="CG270" i="5"/>
  <c r="BI270" i="5"/>
  <c r="BW270" i="5"/>
  <c r="BP270" i="5"/>
  <c r="CF270" i="5"/>
  <c r="Z155" i="1" l="1" a="1"/>
  <c r="Z155" i="1" s="1"/>
  <c r="Y156" i="1" s="1" a="1"/>
  <c r="Y156" i="1" s="1"/>
  <c r="BU270" i="1"/>
  <c r="BG270" i="1"/>
  <c r="BT270" i="1"/>
  <c r="BF270" i="1"/>
  <c r="AK270" i="1"/>
  <c r="AL270" i="1"/>
  <c r="KJ421" i="1"/>
  <c r="KK421" i="1" s="1"/>
  <c r="BK270" i="5"/>
  <c r="BY270" i="5"/>
  <c r="BS270" i="5"/>
  <c r="CK270" i="5" s="1"/>
  <c r="CI270" i="5"/>
  <c r="BR270" i="5"/>
  <c r="CJ270" i="5" s="1"/>
  <c r="CH270" i="5"/>
  <c r="BJ270" i="5"/>
  <c r="BX270" i="5"/>
  <c r="AA156" i="1" l="1"/>
  <c r="KC156" i="1" s="1"/>
  <c r="AE156" i="1" s="1" a="1"/>
  <c r="AE156" i="1" s="1"/>
  <c r="AB156" i="1"/>
  <c r="KD156" i="1" s="1"/>
  <c r="BQ270" i="1"/>
  <c r="CG270" i="1"/>
  <c r="BV270" i="1"/>
  <c r="BH270" i="1"/>
  <c r="BP270" i="1"/>
  <c r="CF270" i="1"/>
  <c r="BI270" i="1"/>
  <c r="BW270" i="1"/>
  <c r="KI422" i="1" a="1"/>
  <c r="KI422" i="1" s="1"/>
  <c r="KJ422" i="1" s="1"/>
  <c r="BL270" i="5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Z156" i="1" l="1" a="1"/>
  <c r="Z156" i="1" s="1"/>
  <c r="Y157" i="1" s="1" a="1"/>
  <c r="Y157" i="1" s="1"/>
  <c r="BK270" i="1"/>
  <c r="BY270" i="1"/>
  <c r="BJ270" i="1"/>
  <c r="BX270" i="1"/>
  <c r="BR270" i="1"/>
  <c r="CJ270" i="1" s="1"/>
  <c r="CH270" i="1"/>
  <c r="BS270" i="1"/>
  <c r="CK270" i="1" s="1"/>
  <c r="CI270" i="1"/>
  <c r="KK422" i="1"/>
  <c r="KI423" i="1" a="1"/>
  <c r="KI423" i="1" s="1"/>
  <c r="KJ423" i="1" s="1"/>
  <c r="AI271" i="5" a="1"/>
  <c r="AI271" i="5" s="1"/>
  <c r="AB157" i="1" l="1"/>
  <c r="KD157" i="1" s="1"/>
  <c r="AA157" i="1"/>
  <c r="KC157" i="1" s="1"/>
  <c r="AE157" i="1" s="1" a="1"/>
  <c r="AE157" i="1" s="1"/>
  <c r="BL270" i="1"/>
  <c r="CB270" i="1" s="1"/>
  <c r="BZ270" i="1"/>
  <c r="AJ270" i="1" a="1"/>
  <c r="AJ270" i="1" s="1"/>
  <c r="AH271" i="1" s="1"/>
  <c r="AE270" i="1" a="1"/>
  <c r="AE270" i="1" s="1"/>
  <c r="AD271" i="1" s="1" a="1"/>
  <c r="AD271" i="1" s="1"/>
  <c r="CA270" i="1"/>
  <c r="BM270" i="1"/>
  <c r="CC270" i="1" s="1"/>
  <c r="KK423" i="1"/>
  <c r="KI445" i="1" a="1"/>
  <c r="KI445" i="1" s="1"/>
  <c r="AL271" i="5"/>
  <c r="AK271" i="5"/>
  <c r="Z157" i="1" l="1" a="1"/>
  <c r="Z157" i="1" s="1"/>
  <c r="Y158" i="1" s="1" a="1"/>
  <c r="Y158" i="1" s="1"/>
  <c r="AF271" i="1"/>
  <c r="AG271" i="1"/>
  <c r="AI271" i="1" a="1"/>
  <c r="AI271" i="1" s="1"/>
  <c r="KJ445" i="1"/>
  <c r="HE271" i="5"/>
  <c r="HU271" i="5"/>
  <c r="HF271" i="5"/>
  <c r="HX271" i="5" s="1"/>
  <c r="HV271" i="5"/>
  <c r="AA158" i="1" l="1"/>
  <c r="KC158" i="1" s="1"/>
  <c r="AE158" i="1" s="1" a="1"/>
  <c r="AE158" i="1" s="1"/>
  <c r="AB158" i="1"/>
  <c r="KD158" i="1" s="1"/>
  <c r="Z158" i="1" s="1" a="1"/>
  <c r="Z158" i="1" s="1"/>
  <c r="Y159" i="1" s="1" a="1"/>
  <c r="Y159" i="1" s="1"/>
  <c r="AK271" i="1"/>
  <c r="AL271" i="1"/>
  <c r="GV271" i="1"/>
  <c r="HJ271" i="1"/>
  <c r="HI271" i="1"/>
  <c r="GU271" i="1"/>
  <c r="KK445" i="1"/>
  <c r="KI446" i="1" s="1" a="1"/>
  <c r="KI446" i="1" s="1"/>
  <c r="KJ446" i="1" s="1"/>
  <c r="KK446" i="1" s="1"/>
  <c r="Z445" i="1" a="1"/>
  <c r="Z445" i="1" s="1"/>
  <c r="Y446" i="1" s="1" a="1"/>
  <c r="Y446" i="1" s="1"/>
  <c r="AE271" i="5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A159" i="1" l="1"/>
  <c r="KC159" i="1" s="1"/>
  <c r="AE159" i="1" s="1" a="1"/>
  <c r="AE159" i="1" s="1"/>
  <c r="AB159" i="1"/>
  <c r="KD159" i="1" s="1"/>
  <c r="GW271" i="1"/>
  <c r="HK271" i="1"/>
  <c r="HL271" i="1"/>
  <c r="GX271" i="1"/>
  <c r="HF271" i="1"/>
  <c r="HX271" i="1" s="1"/>
  <c r="HV271" i="1"/>
  <c r="HE271" i="1"/>
  <c r="HW271" i="1" s="1"/>
  <c r="HU271" i="1"/>
  <c r="AA446" i="1"/>
  <c r="KC446" i="1" s="1"/>
  <c r="Z446" i="1" s="1" a="1"/>
  <c r="Z446" i="1" s="1"/>
  <c r="Y491" i="1" s="1" a="1"/>
  <c r="Y491" i="1" s="1"/>
  <c r="AB446" i="1"/>
  <c r="KD446" i="1" s="1"/>
  <c r="AI272" i="5" a="1"/>
  <c r="AI272" i="5" s="1"/>
  <c r="AB273" i="5"/>
  <c r="HH273" i="5" s="1"/>
  <c r="AA273" i="5"/>
  <c r="HG273" i="5" s="1"/>
  <c r="AD272" i="5" a="1"/>
  <c r="AD272" i="5" s="1"/>
  <c r="CE272" i="5"/>
  <c r="CD272" i="5"/>
  <c r="Z159" i="1" l="1" a="1"/>
  <c r="Z159" i="1" s="1"/>
  <c r="Y160" i="1" s="1" a="1"/>
  <c r="Y160" i="1" s="1"/>
  <c r="GZ271" i="1"/>
  <c r="HN271" i="1"/>
  <c r="GY271" i="1"/>
  <c r="HM271" i="1"/>
  <c r="AB491" i="1"/>
  <c r="HH491" i="1" s="1"/>
  <c r="AA491" i="1"/>
  <c r="HG491" i="1" s="1"/>
  <c r="AF272" i="5"/>
  <c r="AG272" i="5"/>
  <c r="AL272" i="5"/>
  <c r="AK272" i="5"/>
  <c r="AA160" i="1" l="1"/>
  <c r="KC160" i="1" s="1"/>
  <c r="AE160" i="1" s="1" a="1"/>
  <c r="AE160" i="1" s="1"/>
  <c r="AB160" i="1"/>
  <c r="KD160" i="1" s="1"/>
  <c r="Z160" i="1" s="1" a="1"/>
  <c r="Z160" i="1" s="1"/>
  <c r="Y161" i="1" s="1" a="1"/>
  <c r="Y161" i="1" s="1"/>
  <c r="HO271" i="1"/>
  <c r="HA271" i="1"/>
  <c r="HQ271" i="1" s="1"/>
  <c r="AE271" i="1" a="1"/>
  <c r="AE271" i="1" s="1"/>
  <c r="AC272" i="1" s="1"/>
  <c r="AJ271" i="1" a="1"/>
  <c r="AJ271" i="1" s="1"/>
  <c r="AH272" i="1" s="1"/>
  <c r="HP271" i="1"/>
  <c r="HB271" i="1"/>
  <c r="HR271" i="1" s="1"/>
  <c r="Z271" i="1" s="1" a="1"/>
  <c r="Z271" i="1" s="1"/>
  <c r="Y273" i="1" s="1" a="1"/>
  <c r="Y273" i="1" s="1"/>
  <c r="BG272" i="5"/>
  <c r="BU272" i="5"/>
  <c r="BQ272" i="5"/>
  <c r="CG272" i="5"/>
  <c r="BP272" i="5"/>
  <c r="CF272" i="5"/>
  <c r="BF272" i="5"/>
  <c r="BT272" i="5"/>
  <c r="AA161" i="1" l="1"/>
  <c r="KC161" i="1" s="1"/>
  <c r="AE161" i="1" s="1" a="1"/>
  <c r="AE161" i="1" s="1"/>
  <c r="AB161" i="1"/>
  <c r="KD161" i="1" s="1"/>
  <c r="AI272" i="1" a="1"/>
  <c r="AI272" i="1" s="1"/>
  <c r="AD272" i="1" a="1"/>
  <c r="AD272" i="1" s="1"/>
  <c r="CD272" i="1"/>
  <c r="CE272" i="1"/>
  <c r="AA273" i="1"/>
  <c r="HG273" i="1" s="1"/>
  <c r="AB273" i="1"/>
  <c r="HH273" i="1" s="1"/>
  <c r="BH272" i="5"/>
  <c r="BV272" i="5"/>
  <c r="BS272" i="5"/>
  <c r="CK272" i="5" s="1"/>
  <c r="CI272" i="5"/>
  <c r="BR272" i="5"/>
  <c r="CJ272" i="5" s="1"/>
  <c r="CH272" i="5"/>
  <c r="BI272" i="5"/>
  <c r="BW272" i="5"/>
  <c r="Z161" i="1" l="1" a="1"/>
  <c r="Z161" i="1" s="1"/>
  <c r="Y162" i="1" s="1" a="1"/>
  <c r="Y162" i="1" s="1"/>
  <c r="AG272" i="1"/>
  <c r="AF272" i="1"/>
  <c r="AK272" i="1"/>
  <c r="AL272" i="1"/>
  <c r="BK272" i="5"/>
  <c r="BY272" i="5"/>
  <c r="BJ272" i="5"/>
  <c r="BX272" i="5"/>
  <c r="AB162" i="1" l="1"/>
  <c r="KD162" i="1" s="1"/>
  <c r="AA162" i="1"/>
  <c r="KC162" i="1" s="1"/>
  <c r="AE162" i="1" s="1" a="1"/>
  <c r="AE162" i="1" s="1"/>
  <c r="BP272" i="1"/>
  <c r="CF272" i="1"/>
  <c r="BF272" i="1"/>
  <c r="BT272" i="1"/>
  <c r="BQ272" i="1"/>
  <c r="CG272" i="1"/>
  <c r="BG272" i="1"/>
  <c r="BU272" i="1"/>
  <c r="BL272" i="5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Z162" i="1" l="1" a="1"/>
  <c r="Z162" i="1" s="1"/>
  <c r="Y163" i="1" s="1" a="1"/>
  <c r="Y163" i="1" s="1"/>
  <c r="BS272" i="1"/>
  <c r="CK272" i="1" s="1"/>
  <c r="CI272" i="1"/>
  <c r="BH272" i="1"/>
  <c r="BV272" i="1"/>
  <c r="BI272" i="1"/>
  <c r="BW272" i="1"/>
  <c r="BR272" i="1"/>
  <c r="CJ272" i="1" s="1"/>
  <c r="CH272" i="1"/>
  <c r="AI273" i="5" a="1"/>
  <c r="AI273" i="5" s="1"/>
  <c r="HS273" i="5"/>
  <c r="AD273" i="5" a="1"/>
  <c r="AD273" i="5" s="1"/>
  <c r="HT273" i="5"/>
  <c r="AA163" i="1" l="1"/>
  <c r="KC163" i="1" s="1"/>
  <c r="AE163" i="1" s="1" a="1"/>
  <c r="AE163" i="1" s="1"/>
  <c r="AB163" i="1"/>
  <c r="KD163" i="1" s="1"/>
  <c r="BK272" i="1"/>
  <c r="BY272" i="1"/>
  <c r="BJ272" i="1"/>
  <c r="BX272" i="1"/>
  <c r="AG273" i="5"/>
  <c r="AF273" i="5"/>
  <c r="AL273" i="5"/>
  <c r="AK273" i="5"/>
  <c r="Z163" i="1" l="1" a="1"/>
  <c r="Z163" i="1" s="1"/>
  <c r="Y164" i="1" s="1" a="1"/>
  <c r="Y164" i="1" s="1"/>
  <c r="BL272" i="1"/>
  <c r="CB272" i="1" s="1"/>
  <c r="BZ272" i="1"/>
  <c r="AJ272" i="1" a="1"/>
  <c r="AJ272" i="1" s="1"/>
  <c r="AH273" i="1" s="1"/>
  <c r="AE272" i="1" a="1"/>
  <c r="AE272" i="1" s="1"/>
  <c r="AC273" i="1" s="1"/>
  <c r="BM272" i="1"/>
  <c r="CC272" i="1" s="1"/>
  <c r="CA272" i="1"/>
  <c r="HF273" i="5"/>
  <c r="HX273" i="5" s="1"/>
  <c r="HV273" i="5"/>
  <c r="HE273" i="5"/>
  <c r="HW273" i="5" s="1"/>
  <c r="HU273" i="5"/>
  <c r="GU273" i="5"/>
  <c r="HI273" i="5"/>
  <c r="GV273" i="5"/>
  <c r="HJ273" i="5"/>
  <c r="AA164" i="1" l="1"/>
  <c r="KC164" i="1" s="1"/>
  <c r="AE164" i="1" s="1" a="1"/>
  <c r="AE164" i="1" s="1"/>
  <c r="AB164" i="1"/>
  <c r="KD164" i="1" s="1"/>
  <c r="Z164" i="1" s="1" a="1"/>
  <c r="Z164" i="1" s="1"/>
  <c r="Y165" i="1" s="1" a="1"/>
  <c r="Y165" i="1" s="1"/>
  <c r="HT273" i="1"/>
  <c r="HS273" i="1"/>
  <c r="AD273" i="1" a="1"/>
  <c r="AD273" i="1" s="1"/>
  <c r="AI273" i="1" a="1"/>
  <c r="AI273" i="1" s="1"/>
  <c r="GW273" i="5"/>
  <c r="HK273" i="5"/>
  <c r="GX273" i="5"/>
  <c r="HL273" i="5"/>
  <c r="AA165" i="1" l="1"/>
  <c r="KC165" i="1" s="1"/>
  <c r="AE165" i="1" s="1" a="1"/>
  <c r="AE165" i="1" s="1"/>
  <c r="AB165" i="1"/>
  <c r="KD165" i="1" s="1"/>
  <c r="AK273" i="1"/>
  <c r="AL273" i="1"/>
  <c r="AF273" i="1"/>
  <c r="AG273" i="1"/>
  <c r="GZ273" i="5"/>
  <c r="HN273" i="5"/>
  <c r="GY273" i="5"/>
  <c r="HM273" i="5"/>
  <c r="Z165" i="1" l="1" a="1"/>
  <c r="Z165" i="1" s="1"/>
  <c r="Y170" i="1" s="1" a="1"/>
  <c r="Y170" i="1" s="1"/>
  <c r="GV273" i="1"/>
  <c r="HJ273" i="1"/>
  <c r="GU273" i="1"/>
  <c r="HI273" i="1"/>
  <c r="HF273" i="1"/>
  <c r="HX273" i="1" s="1"/>
  <c r="HV273" i="1"/>
  <c r="HE273" i="1"/>
  <c r="HW273" i="1" s="1"/>
  <c r="HU273" i="1"/>
  <c r="HA273" i="5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AA170" i="1" l="1"/>
  <c r="LP170" i="1" s="1"/>
  <c r="AE170" i="1" s="1" a="1"/>
  <c r="AE170" i="1" s="1"/>
  <c r="AB170" i="1"/>
  <c r="LQ170" i="1" s="1"/>
  <c r="GW273" i="1"/>
  <c r="HK273" i="1"/>
  <c r="GX273" i="1"/>
  <c r="HL273" i="1"/>
  <c r="CE274" i="5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Z170" i="1" l="1" a="1"/>
  <c r="Z170" i="1" s="1"/>
  <c r="Y171" i="1" s="1" a="1"/>
  <c r="Y171" i="1" s="1"/>
  <c r="GZ273" i="1"/>
  <c r="HN273" i="1"/>
  <c r="GY273" i="1"/>
  <c r="HM273" i="1"/>
  <c r="AG274" i="5"/>
  <c r="AF274" i="5"/>
  <c r="AL275" i="5"/>
  <c r="AK275" i="5"/>
  <c r="AG275" i="5"/>
  <c r="AF275" i="5"/>
  <c r="AL274" i="5"/>
  <c r="AK274" i="5"/>
  <c r="AA171" i="1" l="1"/>
  <c r="LP171" i="1" s="1"/>
  <c r="AE171" i="1" s="1" a="1"/>
  <c r="AE171" i="1" s="1"/>
  <c r="AB171" i="1"/>
  <c r="LQ171" i="1" s="1"/>
  <c r="Z171" i="1" s="1" a="1"/>
  <c r="Z171" i="1" s="1"/>
  <c r="Y172" i="1" s="1" a="1"/>
  <c r="Y172" i="1" s="1"/>
  <c r="HA273" i="1"/>
  <c r="HQ273" i="1" s="1"/>
  <c r="HO273" i="1"/>
  <c r="Z273" i="1" a="1"/>
  <c r="Z273" i="1" s="1"/>
  <c r="Y275" i="1" s="1" a="1"/>
  <c r="Y275" i="1" s="1"/>
  <c r="AE273" i="1" a="1"/>
  <c r="AE273" i="1" s="1"/>
  <c r="AC274" i="1" s="1"/>
  <c r="AJ273" i="1" a="1"/>
  <c r="AJ273" i="1" s="1"/>
  <c r="AH274" i="1" s="1"/>
  <c r="HB273" i="1"/>
  <c r="HR273" i="1" s="1"/>
  <c r="HP273" i="1"/>
  <c r="BP274" i="5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AA172" i="1" l="1"/>
  <c r="LP172" i="1" s="1"/>
  <c r="AE172" i="1" s="1" a="1"/>
  <c r="AE172" i="1" s="1"/>
  <c r="AB172" i="1"/>
  <c r="LQ172" i="1" s="1"/>
  <c r="Z172" i="1" s="1" a="1"/>
  <c r="Z172" i="1" s="1"/>
  <c r="Y173" i="1" s="1" a="1"/>
  <c r="Y173" i="1" s="1"/>
  <c r="AI274" i="1" a="1"/>
  <c r="AI274" i="1" s="1"/>
  <c r="AI275" i="1" a="1"/>
  <c r="AI275" i="1" s="1"/>
  <c r="CD274" i="1"/>
  <c r="CE274" i="1"/>
  <c r="AD274" i="1" a="1"/>
  <c r="AD274" i="1" s="1"/>
  <c r="AD275" i="1" a="1"/>
  <c r="AD275" i="1" s="1"/>
  <c r="AB275" i="1"/>
  <c r="HH275" i="1" s="1"/>
  <c r="AA275" i="1"/>
  <c r="HG275" i="1" s="1"/>
  <c r="HL275" i="5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AA173" i="1" l="1"/>
  <c r="LP173" i="1" s="1"/>
  <c r="AE173" i="1" s="1" a="1"/>
  <c r="AE173" i="1" s="1"/>
  <c r="AB173" i="1"/>
  <c r="LQ173" i="1" s="1"/>
  <c r="Z173" i="1" s="1" a="1"/>
  <c r="Z173" i="1" s="1"/>
  <c r="Y174" i="1" s="1" a="1"/>
  <c r="Y174" i="1" s="1"/>
  <c r="AF275" i="1"/>
  <c r="AG275" i="1"/>
  <c r="AK275" i="1"/>
  <c r="AL275" i="1"/>
  <c r="AF274" i="1"/>
  <c r="AG274" i="1"/>
  <c r="AK274" i="1"/>
  <c r="AL274" i="1"/>
  <c r="BJ274" i="5"/>
  <c r="BX274" i="5"/>
  <c r="BK274" i="5"/>
  <c r="BY274" i="5"/>
  <c r="HM275" i="5"/>
  <c r="GY275" i="5"/>
  <c r="HN275" i="5"/>
  <c r="GZ275" i="5"/>
  <c r="AA174" i="1" l="1"/>
  <c r="LP174" i="1" s="1"/>
  <c r="AE174" i="1" s="1" a="1"/>
  <c r="AE174" i="1" s="1"/>
  <c r="AB174" i="1"/>
  <c r="LQ174" i="1" s="1"/>
  <c r="BQ274" i="1"/>
  <c r="CG274" i="1"/>
  <c r="BP274" i="1"/>
  <c r="CF274" i="1"/>
  <c r="HV275" i="1"/>
  <c r="HF275" i="1"/>
  <c r="HX275" i="1" s="1"/>
  <c r="HE275" i="1"/>
  <c r="HW275" i="1" s="1"/>
  <c r="HU275" i="1"/>
  <c r="GV275" i="1"/>
  <c r="HJ275" i="1"/>
  <c r="BG274" i="1"/>
  <c r="BU274" i="1"/>
  <c r="BF274" i="1"/>
  <c r="BT274" i="1"/>
  <c r="GU275" i="1"/>
  <c r="HI275" i="1"/>
  <c r="HO275" i="5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Z174" i="1" l="1" a="1"/>
  <c r="Z174" i="1" s="1"/>
  <c r="Y175" i="1" s="1" a="1"/>
  <c r="Y175" i="1" s="1"/>
  <c r="BI274" i="1"/>
  <c r="BW274" i="1"/>
  <c r="GX275" i="1"/>
  <c r="HL275" i="1"/>
  <c r="HK275" i="1"/>
  <c r="GW275" i="1"/>
  <c r="BR274" i="1"/>
  <c r="CJ274" i="1" s="1"/>
  <c r="CH274" i="1"/>
  <c r="BH274" i="1"/>
  <c r="BV274" i="1"/>
  <c r="BS274" i="1"/>
  <c r="CK274" i="1" s="1"/>
  <c r="CI274" i="1"/>
  <c r="AA277" i="5"/>
  <c r="HG277" i="5" s="1"/>
  <c r="AB277" i="5"/>
  <c r="HH277" i="5" s="1"/>
  <c r="AI276" i="5" a="1"/>
  <c r="AI276" i="5" s="1"/>
  <c r="CE276" i="5"/>
  <c r="CD276" i="5"/>
  <c r="AD276" i="5" a="1"/>
  <c r="AD276" i="5" s="1"/>
  <c r="AA175" i="1" l="1"/>
  <c r="LP175" i="1" s="1"/>
  <c r="AE175" i="1" s="1" a="1"/>
  <c r="AE175" i="1" s="1"/>
  <c r="AB175" i="1"/>
  <c r="LQ175" i="1" s="1"/>
  <c r="BJ274" i="1"/>
  <c r="BX274" i="1"/>
  <c r="GY275" i="1"/>
  <c r="HM275" i="1"/>
  <c r="GZ275" i="1"/>
  <c r="HN275" i="1"/>
  <c r="BK274" i="1"/>
  <c r="BY274" i="1"/>
  <c r="AL276" i="5"/>
  <c r="AK276" i="5"/>
  <c r="AF276" i="5"/>
  <c r="AG276" i="5"/>
  <c r="Z175" i="1" l="1" a="1"/>
  <c r="Z175" i="1" s="1"/>
  <c r="Y176" i="1" s="1" a="1"/>
  <c r="Y176" i="1" s="1"/>
  <c r="HB275" i="1"/>
  <c r="HR275" i="1" s="1"/>
  <c r="HP275" i="1"/>
  <c r="HA275" i="1"/>
  <c r="HQ275" i="1" s="1"/>
  <c r="HO275" i="1"/>
  <c r="AE275" i="1" a="1"/>
  <c r="AE275" i="1" s="1"/>
  <c r="AC276" i="1" s="1"/>
  <c r="Z275" i="1" a="1"/>
  <c r="Z275" i="1" s="1"/>
  <c r="Y277" i="1" s="1" a="1"/>
  <c r="Y277" i="1" s="1"/>
  <c r="AJ275" i="1" a="1"/>
  <c r="AJ275" i="1" s="1"/>
  <c r="AH276" i="1" s="1"/>
  <c r="BM274" i="1"/>
  <c r="CC274" i="1" s="1"/>
  <c r="CA274" i="1"/>
  <c r="BL274" i="1"/>
  <c r="CB274" i="1" s="1"/>
  <c r="BZ274" i="1"/>
  <c r="AJ274" i="1" a="1"/>
  <c r="AJ274" i="1" s="1"/>
  <c r="AE274" i="1" a="1"/>
  <c r="AE274" i="1" s="1"/>
  <c r="BP276" i="5"/>
  <c r="CF276" i="5"/>
  <c r="BG276" i="5"/>
  <c r="BU276" i="5"/>
  <c r="BF276" i="5"/>
  <c r="BT276" i="5"/>
  <c r="BQ276" i="5"/>
  <c r="CG276" i="5"/>
  <c r="AB176" i="1" l="1"/>
  <c r="LQ176" i="1" s="1"/>
  <c r="AA176" i="1"/>
  <c r="LP176" i="1" s="1"/>
  <c r="AE176" i="1" s="1" a="1"/>
  <c r="AE176" i="1" s="1"/>
  <c r="AD276" i="1" a="1"/>
  <c r="AD276" i="1" s="1"/>
  <c r="CD276" i="1"/>
  <c r="CE276" i="1"/>
  <c r="AI276" i="1" a="1"/>
  <c r="AI276" i="1" s="1"/>
  <c r="AB277" i="1"/>
  <c r="HH277" i="1" s="1"/>
  <c r="AA277" i="1"/>
  <c r="HG277" i="1" s="1"/>
  <c r="BS276" i="5"/>
  <c r="CK276" i="5" s="1"/>
  <c r="CI276" i="5"/>
  <c r="BI276" i="5"/>
  <c r="BW276" i="5"/>
  <c r="BH276" i="5"/>
  <c r="BV276" i="5"/>
  <c r="BR276" i="5"/>
  <c r="CJ276" i="5" s="1"/>
  <c r="CH276" i="5"/>
  <c r="Z176" i="1" l="1" a="1"/>
  <c r="Z176" i="1" s="1"/>
  <c r="Y179" i="1" s="1" a="1"/>
  <c r="Y179" i="1" s="1"/>
  <c r="AK276" i="1"/>
  <c r="AL276" i="1"/>
  <c r="AF276" i="1"/>
  <c r="AG276" i="1"/>
  <c r="BJ276" i="5"/>
  <c r="BX276" i="5"/>
  <c r="BK276" i="5"/>
  <c r="BY276" i="5"/>
  <c r="AB179" i="1" l="1"/>
  <c r="NH179" i="1" s="1"/>
  <c r="AA179" i="1"/>
  <c r="NG179" i="1" s="1"/>
  <c r="AE179" i="1" s="1" a="1"/>
  <c r="AE179" i="1" s="1"/>
  <c r="BG276" i="1"/>
  <c r="BU276" i="1"/>
  <c r="BF276" i="1"/>
  <c r="BT276" i="1"/>
  <c r="BP276" i="1"/>
  <c r="CF276" i="1"/>
  <c r="BQ276" i="1"/>
  <c r="CG276" i="1"/>
  <c r="BM276" i="5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Z179" i="1" l="1" a="1"/>
  <c r="Z179" i="1" s="1"/>
  <c r="Y180" i="1" s="1" a="1"/>
  <c r="Y180" i="1" s="1"/>
  <c r="BR276" i="1"/>
  <c r="CJ276" i="1" s="1"/>
  <c r="CH276" i="1"/>
  <c r="BV276" i="1"/>
  <c r="BH276" i="1"/>
  <c r="BS276" i="1"/>
  <c r="CK276" i="1" s="1"/>
  <c r="CI276" i="1"/>
  <c r="BI276" i="1"/>
  <c r="BW276" i="1"/>
  <c r="AI277" i="5" a="1"/>
  <c r="AI277" i="5" s="1"/>
  <c r="HS277" i="5"/>
  <c r="AD277" i="5" a="1"/>
  <c r="AD277" i="5" s="1"/>
  <c r="HT277" i="5"/>
  <c r="AA180" i="1" l="1"/>
  <c r="AB180" i="1"/>
  <c r="BJ276" i="1"/>
  <c r="BX276" i="1"/>
  <c r="BK276" i="1"/>
  <c r="BY276" i="1"/>
  <c r="AG277" i="5"/>
  <c r="AF277" i="5"/>
  <c r="AL277" i="5"/>
  <c r="AK277" i="5"/>
  <c r="BM276" i="1" l="1"/>
  <c r="CC276" i="1" s="1"/>
  <c r="CA276" i="1"/>
  <c r="BL276" i="1"/>
  <c r="CB276" i="1" s="1"/>
  <c r="BZ276" i="1"/>
  <c r="AJ276" i="1" a="1"/>
  <c r="AJ276" i="1" s="1"/>
  <c r="AH277" i="1" s="1"/>
  <c r="AE276" i="1" a="1"/>
  <c r="AE276" i="1" s="1"/>
  <c r="AC277" i="1" s="1"/>
  <c r="GU277" i="5"/>
  <c r="HI277" i="5"/>
  <c r="HE277" i="5"/>
  <c r="HW277" i="5" s="1"/>
  <c r="HU277" i="5"/>
  <c r="HF277" i="5"/>
  <c r="HX277" i="5" s="1"/>
  <c r="HV277" i="5"/>
  <c r="GV277" i="5"/>
  <c r="HJ277" i="5"/>
  <c r="HS277" i="1" l="1"/>
  <c r="HT277" i="1"/>
  <c r="AD277" i="1" a="1"/>
  <c r="AD277" i="1" s="1"/>
  <c r="AI277" i="1" a="1"/>
  <c r="AI277" i="1" s="1"/>
  <c r="GX277" i="5"/>
  <c r="HL277" i="5"/>
  <c r="GW277" i="5"/>
  <c r="HK277" i="5"/>
  <c r="AG277" i="1" l="1"/>
  <c r="AF277" i="1"/>
  <c r="AK277" i="1"/>
  <c r="AL277" i="1"/>
  <c r="GY277" i="5"/>
  <c r="HM277" i="5"/>
  <c r="GZ277" i="5"/>
  <c r="HN277" i="5"/>
  <c r="HF277" i="1" l="1"/>
  <c r="HX277" i="1" s="1"/>
  <c r="HV277" i="1"/>
  <c r="HE277" i="1"/>
  <c r="HW277" i="1" s="1"/>
  <c r="HU277" i="1"/>
  <c r="GU277" i="1"/>
  <c r="HI277" i="1"/>
  <c r="GV277" i="1"/>
  <c r="HJ277" i="1"/>
  <c r="HB277" i="5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GX277" i="1" l="1"/>
  <c r="HL277" i="1"/>
  <c r="GW277" i="1"/>
  <c r="HK277" i="1"/>
  <c r="CE278" i="5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GZ277" i="1" l="1"/>
  <c r="HN277" i="1"/>
  <c r="GY277" i="1"/>
  <c r="HM277" i="1"/>
  <c r="AL278" i="5"/>
  <c r="AK278" i="5"/>
  <c r="AG278" i="5"/>
  <c r="AF278" i="5"/>
  <c r="AF279" i="5"/>
  <c r="AG279" i="5"/>
  <c r="HA277" i="1" l="1"/>
  <c r="HO277" i="1"/>
  <c r="HB277" i="1"/>
  <c r="HR277" i="1" s="1"/>
  <c r="HP277" i="1"/>
  <c r="HI279" i="5"/>
  <c r="GU279" i="5"/>
  <c r="BP278" i="5"/>
  <c r="CF278" i="5"/>
  <c r="BG278" i="5"/>
  <c r="BU278" i="5"/>
  <c r="HJ279" i="5"/>
  <c r="GV279" i="5"/>
  <c r="BF278" i="5"/>
  <c r="BT278" i="5"/>
  <c r="BQ278" i="5"/>
  <c r="CG278" i="5"/>
  <c r="HQ277" i="1" l="1"/>
  <c r="Z277" i="1" a="1"/>
  <c r="Z277" i="1" s="1"/>
  <c r="Y279" i="1" s="1" a="1"/>
  <c r="Y279" i="1" s="1"/>
  <c r="AE277" i="1" a="1"/>
  <c r="AE277" i="1" s="1"/>
  <c r="AC278" i="1" s="1"/>
  <c r="AJ277" i="1" a="1"/>
  <c r="AJ277" i="1" s="1"/>
  <c r="AH278" i="1" s="1"/>
  <c r="BS278" i="5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AI278" i="1" l="1" a="1"/>
  <c r="AI278" i="1" s="1"/>
  <c r="CE278" i="1"/>
  <c r="AD278" i="1" a="1"/>
  <c r="AD278" i="1" s="1"/>
  <c r="CD278" i="1"/>
  <c r="AB279" i="1"/>
  <c r="HH279" i="1" s="1"/>
  <c r="AA279" i="1"/>
  <c r="HG279" i="1" s="1"/>
  <c r="HM279" i="5"/>
  <c r="GY279" i="5"/>
  <c r="HN279" i="5"/>
  <c r="GZ279" i="5"/>
  <c r="BK278" i="5"/>
  <c r="BY278" i="5"/>
  <c r="BJ278" i="5"/>
  <c r="BX278" i="5"/>
  <c r="AL278" i="1" l="1"/>
  <c r="BQ278" i="1" s="1"/>
  <c r="BS278" i="1" s="1"/>
  <c r="AK278" i="1"/>
  <c r="AF278" i="1"/>
  <c r="AG278" i="1"/>
  <c r="BM278" i="5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CG278" i="1" l="1"/>
  <c r="BG278" i="1"/>
  <c r="BU278" i="1"/>
  <c r="BF278" i="1"/>
  <c r="BT278" i="1"/>
  <c r="BP278" i="1"/>
  <c r="CF278" i="1"/>
  <c r="CI278" i="1"/>
  <c r="CK278" i="1"/>
  <c r="AI279" i="5" a="1"/>
  <c r="AI279" i="5" s="1"/>
  <c r="BR278" i="1" l="1"/>
  <c r="CJ278" i="1" s="1"/>
  <c r="CH278" i="1"/>
  <c r="BV278" i="1"/>
  <c r="BH278" i="1"/>
  <c r="BW278" i="1"/>
  <c r="BI278" i="1"/>
  <c r="AL279" i="5"/>
  <c r="AK279" i="5"/>
  <c r="AD279" i="1" a="1"/>
  <c r="AD279" i="1" s="1"/>
  <c r="BK278" i="1" l="1"/>
  <c r="BY278" i="1"/>
  <c r="BX278" i="1"/>
  <c r="BJ278" i="1"/>
  <c r="HE279" i="5"/>
  <c r="HU279" i="5"/>
  <c r="HF279" i="5"/>
  <c r="HX279" i="5" s="1"/>
  <c r="HV279" i="5"/>
  <c r="AF279" i="1"/>
  <c r="AG279" i="1"/>
  <c r="BL278" i="1" l="1"/>
  <c r="BZ278" i="1"/>
  <c r="CA278" i="1"/>
  <c r="BM278" i="1"/>
  <c r="CC278" i="1" s="1"/>
  <c r="AE279" i="5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GV279" i="1"/>
  <c r="HJ279" i="1"/>
  <c r="GU279" i="1"/>
  <c r="HI279" i="1"/>
  <c r="CB278" i="1" l="1"/>
  <c r="AE278" i="1" a="1"/>
  <c r="AE278" i="1" s="1"/>
  <c r="AJ278" i="1" a="1"/>
  <c r="AJ278" i="1" s="1"/>
  <c r="AH279" i="1" s="1"/>
  <c r="AI280" i="5" a="1"/>
  <c r="AI280" i="5" s="1"/>
  <c r="AB281" i="5"/>
  <c r="HH281" i="5" s="1"/>
  <c r="AA281" i="5"/>
  <c r="HG281" i="5" s="1"/>
  <c r="CE280" i="5"/>
  <c r="CD280" i="5"/>
  <c r="AD280" i="5" a="1"/>
  <c r="AD280" i="5" s="1"/>
  <c r="GW279" i="1"/>
  <c r="HK279" i="1"/>
  <c r="GX279" i="1"/>
  <c r="HL279" i="1"/>
  <c r="AI279" i="1" l="1" a="1"/>
  <c r="AI279" i="1" s="1"/>
  <c r="AL280" i="5"/>
  <c r="AK280" i="5"/>
  <c r="AG280" i="5"/>
  <c r="AF280" i="5"/>
  <c r="GZ279" i="1"/>
  <c r="HN279" i="1"/>
  <c r="GY279" i="1"/>
  <c r="HM279" i="1"/>
  <c r="AK279" i="1" l="1"/>
  <c r="AL279" i="1"/>
  <c r="BG280" i="5"/>
  <c r="BU280" i="5"/>
  <c r="BP280" i="5"/>
  <c r="CF280" i="5"/>
  <c r="BF280" i="5"/>
  <c r="BT280" i="5"/>
  <c r="BQ280" i="5"/>
  <c r="CG280" i="5"/>
  <c r="HA279" i="1"/>
  <c r="HO279" i="1"/>
  <c r="HB279" i="1"/>
  <c r="HP279" i="1"/>
  <c r="HF279" i="1" l="1"/>
  <c r="HX279" i="1" s="1"/>
  <c r="HV279" i="1"/>
  <c r="HE279" i="1"/>
  <c r="HW279" i="1" s="1"/>
  <c r="HU279" i="1"/>
  <c r="BS280" i="5"/>
  <c r="CK280" i="5" s="1"/>
  <c r="CI280" i="5"/>
  <c r="BR280" i="5"/>
  <c r="CJ280" i="5" s="1"/>
  <c r="CH280" i="5"/>
  <c r="BH280" i="5"/>
  <c r="BV280" i="5"/>
  <c r="BI280" i="5"/>
  <c r="BW280" i="5"/>
  <c r="HR279" i="1"/>
  <c r="HQ279" i="1"/>
  <c r="BJ280" i="5" l="1"/>
  <c r="BX280" i="5"/>
  <c r="BK280" i="5"/>
  <c r="BY280" i="5"/>
  <c r="AJ279" i="1" a="1"/>
  <c r="AJ279" i="1" s="1"/>
  <c r="AE279" i="1" a="1"/>
  <c r="AE279" i="1" s="1"/>
  <c r="Z279" i="1" a="1"/>
  <c r="Z279" i="1" s="1"/>
  <c r="Y281" i="1" s="1" a="1"/>
  <c r="Y281" i="1" s="1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AH280" i="1"/>
  <c r="AI280" i="1" s="1" a="1"/>
  <c r="AI280" i="1" s="1"/>
  <c r="AA281" i="1"/>
  <c r="HG281" i="1" s="1"/>
  <c r="AB281" i="1"/>
  <c r="HH281" i="1" s="1"/>
  <c r="AC280" i="1"/>
  <c r="AL280" i="1" l="1"/>
  <c r="BQ280" i="1" s="1"/>
  <c r="BS280" i="1" s="1"/>
  <c r="AK280" i="1"/>
  <c r="BP280" i="1" s="1"/>
  <c r="BR280" i="1" s="1"/>
  <c r="HT281" i="5"/>
  <c r="HS281" i="5"/>
  <c r="AD281" i="5" a="1"/>
  <c r="AD281" i="5" s="1"/>
  <c r="AI281" i="5" a="1"/>
  <c r="AI281" i="5" s="1"/>
  <c r="CE280" i="1"/>
  <c r="CD280" i="1"/>
  <c r="AD280" i="1" a="1"/>
  <c r="AD280" i="1" s="1"/>
  <c r="CF280" i="1" l="1"/>
  <c r="CJ280" i="1"/>
  <c r="AF281" i="5"/>
  <c r="AG281" i="5"/>
  <c r="AL281" i="5"/>
  <c r="AK281" i="5"/>
  <c r="AF280" i="1"/>
  <c r="AG280" i="1"/>
  <c r="GV281" i="5" l="1"/>
  <c r="HJ281" i="5"/>
  <c r="HF281" i="5"/>
  <c r="HX281" i="5" s="1"/>
  <c r="HV281" i="5"/>
  <c r="HE281" i="5"/>
  <c r="HW281" i="5" s="1"/>
  <c r="HU281" i="5"/>
  <c r="GU281" i="5"/>
  <c r="HI281" i="5"/>
  <c r="CH280" i="1"/>
  <c r="BG280" i="1"/>
  <c r="BU280" i="1"/>
  <c r="BF280" i="1"/>
  <c r="BT280" i="1"/>
  <c r="GW281" i="5" l="1"/>
  <c r="HK281" i="5"/>
  <c r="GX281" i="5"/>
  <c r="HL281" i="5"/>
  <c r="BH280" i="1"/>
  <c r="BV280" i="1"/>
  <c r="BI280" i="1"/>
  <c r="BW280" i="1"/>
  <c r="CG280" i="1" l="1"/>
  <c r="GZ281" i="5"/>
  <c r="HN281" i="5"/>
  <c r="GY281" i="5"/>
  <c r="HM281" i="5"/>
  <c r="BK280" i="1"/>
  <c r="BY280" i="1"/>
  <c r="BJ280" i="1"/>
  <c r="BX280" i="1"/>
  <c r="CI280" i="1" l="1"/>
  <c r="CK280" i="1"/>
  <c r="HA281" i="5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BL280" i="1"/>
  <c r="CB280" i="1" s="1"/>
  <c r="BZ280" i="1"/>
  <c r="AE280" i="1" a="1"/>
  <c r="AE280" i="1" s="1"/>
  <c r="AJ280" i="1" a="1"/>
  <c r="AJ280" i="1" s="1"/>
  <c r="BM280" i="1"/>
  <c r="CC280" i="1" s="1"/>
  <c r="CA280" i="1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H281" i="1"/>
  <c r="AI281" i="1" s="1" a="1"/>
  <c r="AI281" i="1" s="1"/>
  <c r="AC281" i="1"/>
  <c r="AL281" i="1" l="1"/>
  <c r="AK281" i="1"/>
  <c r="AG282" i="5"/>
  <c r="AF282" i="5"/>
  <c r="AL282" i="5"/>
  <c r="AK282" i="5"/>
  <c r="AG283" i="5"/>
  <c r="AF283" i="5"/>
  <c r="HS281" i="1"/>
  <c r="HT281" i="1"/>
  <c r="AD281" i="1" a="1"/>
  <c r="AD281" i="1" s="1"/>
  <c r="HF281" i="1" l="1"/>
  <c r="HX281" i="1" s="1"/>
  <c r="HU281" i="1"/>
  <c r="HE281" i="1"/>
  <c r="HW281" i="1" s="1"/>
  <c r="BG283" i="5"/>
  <c r="BU283" i="5"/>
  <c r="BQ282" i="5"/>
  <c r="CG282" i="5"/>
  <c r="BT283" i="5"/>
  <c r="BF283" i="5"/>
  <c r="BF282" i="5"/>
  <c r="BT282" i="5"/>
  <c r="BP282" i="5"/>
  <c r="CF282" i="5"/>
  <c r="BG282" i="5"/>
  <c r="BU282" i="5"/>
  <c r="HV281" i="1"/>
  <c r="AG281" i="1"/>
  <c r="AF281" i="1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GU281" i="1"/>
  <c r="HI281" i="1"/>
  <c r="GV281" i="1"/>
  <c r="HJ281" i="1"/>
  <c r="BJ282" i="5" l="1"/>
  <c r="BX282" i="5"/>
  <c r="BX283" i="5"/>
  <c r="BJ283" i="5"/>
  <c r="BY283" i="5"/>
  <c r="BK283" i="5"/>
  <c r="BK282" i="5"/>
  <c r="BY282" i="5"/>
  <c r="GX281" i="1"/>
  <c r="HL281" i="1"/>
  <c r="GW281" i="1"/>
  <c r="HK281" i="1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GZ281" i="1"/>
  <c r="HN281" i="1"/>
  <c r="GY281" i="1"/>
  <c r="HM281" i="1"/>
  <c r="CB283" i="5" l="1"/>
  <c r="BN283" i="5"/>
  <c r="CC283" i="5"/>
  <c r="BO283" i="5"/>
  <c r="CE283" i="5" s="1"/>
  <c r="HA281" i="1"/>
  <c r="HO281" i="1"/>
  <c r="HB281" i="1"/>
  <c r="HP281" i="1"/>
  <c r="CD283" i="5" l="1"/>
  <c r="AE283" i="5" a="1"/>
  <c r="AE283" i="5" s="1"/>
  <c r="AC284" i="5" s="1"/>
  <c r="AJ283" i="5" a="1"/>
  <c r="AJ283" i="5" s="1"/>
  <c r="AH284" i="5" s="1"/>
  <c r="HR281" i="1"/>
  <c r="HQ281" i="1"/>
  <c r="AD284" i="5" l="1" a="1"/>
  <c r="AD284" i="5" s="1"/>
  <c r="CJ284" i="5"/>
  <c r="CI284" i="5"/>
  <c r="CH284" i="5"/>
  <c r="CG284" i="5"/>
  <c r="CF284" i="5"/>
  <c r="AI284" i="5" a="1"/>
  <c r="AI284" i="5" s="1"/>
  <c r="CK284" i="5"/>
  <c r="Z281" i="1" a="1"/>
  <c r="Z281" i="1" s="1"/>
  <c r="AJ281" i="1" a="1"/>
  <c r="AJ281" i="1" s="1"/>
  <c r="AE281" i="1" a="1"/>
  <c r="AE281" i="1" s="1"/>
  <c r="AG284" i="5" l="1"/>
  <c r="AF284" i="5"/>
  <c r="AH282" i="1"/>
  <c r="AC282" i="1"/>
  <c r="BF284" i="5" l="1"/>
  <c r="BT284" i="5"/>
  <c r="BG284" i="5"/>
  <c r="BU284" i="5"/>
  <c r="AI282" i="1" a="1"/>
  <c r="AI282" i="1" s="1"/>
  <c r="AI283" i="1" a="1"/>
  <c r="AI283" i="1" s="1"/>
  <c r="CE282" i="1"/>
  <c r="CD282" i="1"/>
  <c r="AD282" i="1" a="1"/>
  <c r="AD282" i="1" s="1"/>
  <c r="AK283" i="1" l="1"/>
  <c r="BP283" i="1" s="1"/>
  <c r="BR283" i="1" s="1"/>
  <c r="AL283" i="1"/>
  <c r="BQ283" i="1" s="1"/>
  <c r="BS283" i="1" s="1"/>
  <c r="AL282" i="1"/>
  <c r="BQ282" i="1" s="1"/>
  <c r="BS282" i="1" s="1"/>
  <c r="AK282" i="1"/>
  <c r="BP282" i="1" s="1"/>
  <c r="BR282" i="1" s="1"/>
  <c r="BI284" i="5"/>
  <c r="BW284" i="5"/>
  <c r="BH284" i="5"/>
  <c r="BV284" i="5"/>
  <c r="AG282" i="1"/>
  <c r="AF282" i="1"/>
  <c r="CF282" i="1" l="1"/>
  <c r="CG283" i="1"/>
  <c r="CF283" i="1"/>
  <c r="BJ284" i="5"/>
  <c r="BX284" i="5"/>
  <c r="BK284" i="5"/>
  <c r="BY284" i="5"/>
  <c r="BF282" i="1"/>
  <c r="BT282" i="1"/>
  <c r="BG282" i="1"/>
  <c r="BU282" i="1"/>
  <c r="CJ283" i="1" l="1"/>
  <c r="CH283" i="1"/>
  <c r="CK283" i="1"/>
  <c r="CI283" i="1"/>
  <c r="BM284" i="5"/>
  <c r="CA284" i="5"/>
  <c r="BL284" i="5"/>
  <c r="BZ284" i="5"/>
  <c r="CH282" i="1"/>
  <c r="CJ282" i="1"/>
  <c r="BI282" i="1"/>
  <c r="BW282" i="1"/>
  <c r="BH282" i="1"/>
  <c r="BV282" i="1"/>
  <c r="CG282" i="1" l="1"/>
  <c r="BN284" i="5"/>
  <c r="CB284" i="5"/>
  <c r="BO284" i="5"/>
  <c r="CE284" i="5" s="1"/>
  <c r="CC284" i="5"/>
  <c r="BJ282" i="1"/>
  <c r="BX282" i="1"/>
  <c r="BK282" i="1"/>
  <c r="BY282" i="1"/>
  <c r="CK282" i="1" l="1"/>
  <c r="CI282" i="1"/>
  <c r="CD284" i="5"/>
  <c r="AJ284" i="5" a="1"/>
  <c r="AJ284" i="5" s="1"/>
  <c r="AH285" i="5" s="1"/>
  <c r="AE284" i="5" a="1"/>
  <c r="AE284" i="5" s="1"/>
  <c r="AC285" i="5" s="1"/>
  <c r="BM282" i="1"/>
  <c r="CC282" i="1" s="1"/>
  <c r="CA282" i="1"/>
  <c r="BL282" i="1"/>
  <c r="CB282" i="1" s="1"/>
  <c r="BZ282" i="1"/>
  <c r="AE282" i="1" a="1"/>
  <c r="AE282" i="1" s="1"/>
  <c r="AJ282" i="1" a="1"/>
  <c r="AJ282" i="1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D283" i="1" a="1"/>
  <c r="AD283" i="1" s="1"/>
  <c r="AF285" i="5" l="1"/>
  <c r="AG285" i="5"/>
  <c r="AG286" i="5"/>
  <c r="AF286" i="5"/>
  <c r="LX286" i="5" s="1"/>
  <c r="AE286" i="5" s="1" a="1"/>
  <c r="AE286" i="5" s="1"/>
  <c r="AC287" i="5" s="1"/>
  <c r="AF283" i="1"/>
  <c r="AG283" i="1"/>
  <c r="AD287" i="5" l="1" a="1"/>
  <c r="AD287" i="5" s="1"/>
  <c r="BG285" i="5"/>
  <c r="BU285" i="5"/>
  <c r="BF285" i="5"/>
  <c r="BT285" i="5"/>
  <c r="BG283" i="1"/>
  <c r="BU283" i="1"/>
  <c r="BF283" i="1"/>
  <c r="BT283" i="1"/>
  <c r="BH285" i="5" l="1"/>
  <c r="BV285" i="5"/>
  <c r="BI285" i="5"/>
  <c r="BW285" i="5"/>
  <c r="AG287" i="5"/>
  <c r="AF287" i="5"/>
  <c r="LX287" i="5" s="1"/>
  <c r="AE287" i="5" s="1" a="1"/>
  <c r="AE287" i="5" s="1"/>
  <c r="AC288" i="5" s="1"/>
  <c r="BH283" i="1"/>
  <c r="BV283" i="1"/>
  <c r="BI283" i="1"/>
  <c r="BW283" i="1"/>
  <c r="AD288" i="5" l="1" a="1"/>
  <c r="AD288" i="5" s="1"/>
  <c r="BK285" i="5"/>
  <c r="BY285" i="5"/>
  <c r="BJ285" i="5"/>
  <c r="BX285" i="5"/>
  <c r="BK283" i="1"/>
  <c r="BY283" i="1"/>
  <c r="BJ283" i="1"/>
  <c r="BX283" i="1"/>
  <c r="BL285" i="5" l="1"/>
  <c r="BZ285" i="5"/>
  <c r="BM285" i="5"/>
  <c r="CA285" i="5"/>
  <c r="AG288" i="5"/>
  <c r="AF288" i="5"/>
  <c r="LX288" i="5" s="1"/>
  <c r="AE288" i="5" s="1" a="1"/>
  <c r="AE288" i="5" s="1"/>
  <c r="AC289" i="5" s="1"/>
  <c r="BL283" i="1"/>
  <c r="BZ283" i="1"/>
  <c r="BM283" i="1"/>
  <c r="CA283" i="1"/>
  <c r="AD289" i="5" l="1" a="1"/>
  <c r="AD289" i="5" s="1"/>
  <c r="BO285" i="5"/>
  <c r="CE285" i="5" s="1"/>
  <c r="CC285" i="5"/>
  <c r="BN285" i="5"/>
  <c r="CB285" i="5"/>
  <c r="BO283" i="1"/>
  <c r="CE283" i="1" s="1"/>
  <c r="CC283" i="1"/>
  <c r="BN283" i="1"/>
  <c r="CB283" i="1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J283" i="1" a="1"/>
  <c r="AJ283" i="1" s="1"/>
  <c r="AH284" i="1" s="1"/>
  <c r="CD283" i="1"/>
  <c r="AE283" i="1" a="1"/>
  <c r="AE283" i="1" s="1"/>
  <c r="AC284" i="1" s="1"/>
  <c r="AD290" i="5" l="1" a="1"/>
  <c r="AD290" i="5" s="1"/>
  <c r="AI284" i="1" a="1"/>
  <c r="AI284" i="1" s="1"/>
  <c r="AD284" i="1" a="1"/>
  <c r="AD284" i="1" s="1"/>
  <c r="AK284" i="1" l="1"/>
  <c r="BP284" i="1" s="1"/>
  <c r="BR284" i="1" s="1"/>
  <c r="AL284" i="1"/>
  <c r="BQ284" i="1" s="1"/>
  <c r="BS284" i="1" s="1"/>
  <c r="AG290" i="5"/>
  <c r="AF290" i="5"/>
  <c r="LX290" i="5" s="1"/>
  <c r="AE290" i="5" s="1" a="1"/>
  <c r="AE290" i="5" s="1"/>
  <c r="AC291" i="5" s="1"/>
  <c r="AF284" i="1"/>
  <c r="AG284" i="1"/>
  <c r="CG284" i="1" l="1"/>
  <c r="CF284" i="1"/>
  <c r="AD291" i="5" a="1"/>
  <c r="AD291" i="5" s="1"/>
  <c r="BG284" i="1"/>
  <c r="BU284" i="1"/>
  <c r="BF284" i="1"/>
  <c r="BT284" i="1"/>
  <c r="CJ284" i="1" l="1"/>
  <c r="CH284" i="1"/>
  <c r="CK284" i="1"/>
  <c r="CI284" i="1"/>
  <c r="AG291" i="5"/>
  <c r="AF291" i="5"/>
  <c r="LX291" i="5" s="1"/>
  <c r="AE291" i="5" s="1" a="1"/>
  <c r="AE291" i="5" s="1"/>
  <c r="AC292" i="5" s="1"/>
  <c r="BH284" i="1"/>
  <c r="BV284" i="1"/>
  <c r="BI284" i="1"/>
  <c r="BW284" i="1"/>
  <c r="AD292" i="5" l="1" a="1"/>
  <c r="AD292" i="5" s="1"/>
  <c r="BK284" i="1"/>
  <c r="BY284" i="1"/>
  <c r="BJ284" i="1"/>
  <c r="BX284" i="1"/>
  <c r="AG292" i="5" l="1"/>
  <c r="AF292" i="5"/>
  <c r="LX292" i="5" s="1"/>
  <c r="AE292" i="5" s="1" a="1"/>
  <c r="AE292" i="5" s="1"/>
  <c r="AC293" i="5" s="1"/>
  <c r="BL284" i="1"/>
  <c r="BZ284" i="1"/>
  <c r="BM284" i="1"/>
  <c r="CA284" i="1"/>
  <c r="AD293" i="5" l="1" a="1"/>
  <c r="AD293" i="5" s="1"/>
  <c r="BO284" i="1"/>
  <c r="CE284" i="1" s="1"/>
  <c r="CC284" i="1"/>
  <c r="BN284" i="1"/>
  <c r="CB284" i="1"/>
  <c r="AG293" i="5" l="1"/>
  <c r="AF293" i="5"/>
  <c r="LX293" i="5" s="1"/>
  <c r="AE293" i="5" s="1" a="1"/>
  <c r="AE293" i="5" s="1"/>
  <c r="AC294" i="5" s="1"/>
  <c r="CD284" i="1"/>
  <c r="AJ284" i="1" a="1"/>
  <c r="AJ284" i="1" s="1"/>
  <c r="AH285" i="1" s="1"/>
  <c r="AE284" i="1" a="1"/>
  <c r="AE284" i="1" s="1"/>
  <c r="AC285" i="1" s="1"/>
  <c r="AD286" i="1" s="1" a="1"/>
  <c r="AD286" i="1" s="1"/>
  <c r="AD294" i="5" l="1" a="1"/>
  <c r="AD294" i="5" s="1"/>
  <c r="AF286" i="1"/>
  <c r="AG286" i="1"/>
  <c r="MA286" i="1" s="1"/>
  <c r="AI285" i="1" a="1"/>
  <c r="AI285" i="1" s="1"/>
  <c r="AD285" i="1" a="1"/>
  <c r="AD285" i="1" s="1"/>
  <c r="LZ286" i="1" l="1"/>
  <c r="AE286" i="1" s="1" a="1"/>
  <c r="AE286" i="1" s="1"/>
  <c r="AC287" i="1" s="1"/>
  <c r="AK285" i="1"/>
  <c r="BP285" i="1" s="1"/>
  <c r="BR285" i="1" s="1"/>
  <c r="AL285" i="1"/>
  <c r="BQ285" i="1" s="1"/>
  <c r="BS285" i="1" s="1"/>
  <c r="AG294" i="5"/>
  <c r="AF294" i="5"/>
  <c r="LX294" i="5" s="1"/>
  <c r="AE294" i="5" s="1" a="1"/>
  <c r="AE294" i="5" s="1"/>
  <c r="AF285" i="1"/>
  <c r="AG285" i="1"/>
  <c r="AD287" i="1" l="1" a="1"/>
  <c r="AD287" i="1" s="1"/>
  <c r="AF287" i="1" s="1"/>
  <c r="CG285" i="1"/>
  <c r="CF285" i="1"/>
  <c r="HX327" i="1"/>
  <c r="HV327" i="1"/>
  <c r="HU327" i="1"/>
  <c r="HW327" i="1"/>
  <c r="BG285" i="1"/>
  <c r="BU285" i="1"/>
  <c r="BF285" i="1"/>
  <c r="BT285" i="1"/>
  <c r="AG287" i="1" l="1"/>
  <c r="MA287" i="1" s="1"/>
  <c r="CJ285" i="1"/>
  <c r="CH285" i="1"/>
  <c r="CK285" i="1"/>
  <c r="CI285" i="1"/>
  <c r="AE287" i="1" a="1"/>
  <c r="AE287" i="1" s="1"/>
  <c r="AC288" i="1" s="1"/>
  <c r="LZ287" i="1"/>
  <c r="BH285" i="1"/>
  <c r="BV285" i="1"/>
  <c r="BI285" i="1"/>
  <c r="BW285" i="1"/>
  <c r="AD288" i="1" l="1" a="1"/>
  <c r="AD288" i="1" s="1"/>
  <c r="AF288" i="1" s="1"/>
  <c r="LZ288" i="1" s="1"/>
  <c r="BK285" i="1"/>
  <c r="BY285" i="1"/>
  <c r="BJ285" i="1"/>
  <c r="BX285" i="1"/>
  <c r="AE288" i="1" l="1" a="1"/>
  <c r="AE288" i="1" s="1"/>
  <c r="AC289" i="1" s="1"/>
  <c r="AG288" i="1"/>
  <c r="MA288" i="1" s="1"/>
  <c r="BL285" i="1"/>
  <c r="BZ285" i="1"/>
  <c r="BM285" i="1"/>
  <c r="CA285" i="1"/>
  <c r="AD289" i="1" l="1" a="1"/>
  <c r="AD289" i="1" s="1"/>
  <c r="BO285" i="1"/>
  <c r="CE285" i="1" s="1"/>
  <c r="CC285" i="1"/>
  <c r="BN285" i="1"/>
  <c r="CB285" i="1"/>
  <c r="AF289" i="1" l="1"/>
  <c r="LZ289" i="1" s="1"/>
  <c r="AE289" i="1" s="1" a="1"/>
  <c r="AE289" i="1" s="1"/>
  <c r="AC290" i="1" s="1"/>
  <c r="AG289" i="1"/>
  <c r="MA289" i="1" s="1"/>
  <c r="CD285" i="1"/>
  <c r="AE285" i="1" a="1"/>
  <c r="AE285" i="1" s="1"/>
  <c r="AJ285" i="1" a="1"/>
  <c r="AJ285" i="1" s="1"/>
  <c r="AD290" i="1" l="1" a="1"/>
  <c r="AD290" i="1" s="1"/>
  <c r="AF290" i="1" l="1"/>
  <c r="LZ290" i="1" s="1"/>
  <c r="AE290" i="1" s="1" a="1"/>
  <c r="AE290" i="1" s="1"/>
  <c r="AC291" i="1" s="1"/>
  <c r="AG290" i="1"/>
  <c r="MA290" i="1" s="1"/>
  <c r="AD291" i="1" l="1" a="1"/>
  <c r="AD291" i="1" s="1"/>
  <c r="AF291" i="1" l="1"/>
  <c r="LZ291" i="1" s="1"/>
  <c r="AE291" i="1" s="1" a="1"/>
  <c r="AE291" i="1" s="1"/>
  <c r="AC292" i="1" s="1"/>
  <c r="AG291" i="1"/>
  <c r="MA291" i="1" s="1"/>
  <c r="AD292" i="1" l="1" a="1"/>
  <c r="AD292" i="1" s="1"/>
  <c r="AF292" i="1" l="1"/>
  <c r="LZ292" i="1" s="1"/>
  <c r="AE292" i="1" s="1" a="1"/>
  <c r="AE292" i="1" s="1"/>
  <c r="AC293" i="1" s="1"/>
  <c r="AG292" i="1"/>
  <c r="MA292" i="1" s="1"/>
  <c r="AD293" i="1" l="1" a="1"/>
  <c r="AD293" i="1" s="1"/>
  <c r="AG293" i="1" l="1"/>
  <c r="MA293" i="1" s="1"/>
  <c r="AF293" i="1"/>
  <c r="LZ293" i="1" s="1"/>
  <c r="AE293" i="1" s="1" a="1"/>
  <c r="AE293" i="1" s="1"/>
  <c r="AC294" i="1" s="1"/>
  <c r="AG318" i="1" l="1"/>
  <c r="MA318" i="1" s="1"/>
  <c r="AD294" i="1" a="1"/>
  <c r="AD294" i="1" s="1"/>
  <c r="US318" i="1" l="1"/>
  <c r="UR318" i="1"/>
  <c r="UV318" i="1" s="1"/>
  <c r="AF318" i="1"/>
  <c r="AF294" i="1"/>
  <c r="LZ294" i="1" s="1"/>
  <c r="AE294" i="1" s="1" a="1"/>
  <c r="AE294" i="1" s="1"/>
  <c r="AD295" i="1" s="1" a="1"/>
  <c r="AD295" i="1" s="1"/>
  <c r="AG294" i="1"/>
  <c r="MA294" i="1" s="1"/>
  <c r="AG295" i="1" l="1"/>
  <c r="MA295" i="1" s="1"/>
  <c r="AF295" i="1"/>
  <c r="LZ295" i="1" s="1"/>
  <c r="AE295" i="1" s="1" a="1"/>
  <c r="AE295" i="1" s="1"/>
  <c r="AC296" i="1" s="1"/>
  <c r="UT318" i="1"/>
  <c r="UQ318" i="1"/>
  <c r="AD296" i="1" l="1" a="1"/>
  <c r="AD296" i="1" s="1"/>
  <c r="UU318" i="1"/>
  <c r="AE318" i="1" s="1" a="1"/>
  <c r="AE318" i="1" s="1"/>
  <c r="AG296" i="1" l="1"/>
  <c r="MA296" i="1" s="1"/>
  <c r="AF296" i="1"/>
  <c r="LZ296" i="1" s="1"/>
  <c r="AE296" i="1" s="1" a="1"/>
  <c r="AE296" i="1" s="1"/>
  <c r="AC297" i="1" s="1"/>
  <c r="AD297" i="1" l="1" a="1"/>
  <c r="AD297" i="1" s="1"/>
  <c r="AF297" i="1" l="1"/>
  <c r="LZ297" i="1" s="1"/>
  <c r="AE297" i="1" s="1" a="1"/>
  <c r="AE297" i="1" s="1"/>
  <c r="AC298" i="1" s="1"/>
  <c r="AG297" i="1"/>
  <c r="MA297" i="1" s="1"/>
  <c r="AD298" i="1" l="1" a="1"/>
  <c r="AD298" i="1" s="1"/>
  <c r="AG298" i="1" l="1"/>
  <c r="MA298" i="1" s="1"/>
  <c r="AF298" i="1"/>
  <c r="LZ298" i="1" s="1"/>
  <c r="AE298" i="1" s="1" a="1"/>
  <c r="AE298" i="1" s="1"/>
  <c r="AC299" i="1" s="1"/>
  <c r="AD299" i="1" l="1" a="1"/>
  <c r="AD299" i="1" s="1"/>
  <c r="AF299" i="1" l="1"/>
  <c r="LZ299" i="1" s="1"/>
  <c r="AE299" i="1" s="1" a="1"/>
  <c r="AE299" i="1" s="1"/>
  <c r="AC300" i="1" s="1"/>
  <c r="AG299" i="1"/>
  <c r="MA299" i="1" s="1"/>
  <c r="AA340" i="1" l="1"/>
  <c r="KC340" i="1" s="1"/>
  <c r="Z340" i="1" s="1" a="1"/>
  <c r="Z340" i="1" s="1"/>
  <c r="Y341" i="1" s="1" a="1"/>
  <c r="Y341" i="1" s="1"/>
  <c r="AB340" i="1"/>
  <c r="KD340" i="1" s="1"/>
  <c r="AA341" i="1" l="1"/>
  <c r="KC341" i="1" s="1"/>
  <c r="Z341" i="1" s="1" a="1"/>
  <c r="Z341" i="1" s="1"/>
  <c r="Y342" i="1" s="1" a="1"/>
  <c r="Y342" i="1" s="1"/>
  <c r="AB341" i="1"/>
  <c r="KD341" i="1" s="1"/>
  <c r="AD300" i="1" l="1" a="1"/>
  <c r="AD300" i="1" s="1"/>
  <c r="AB342" i="1"/>
  <c r="KD342" i="1" s="1"/>
  <c r="AA342" i="1"/>
  <c r="KC342" i="1" s="1"/>
  <c r="Z342" i="1" l="1" a="1"/>
  <c r="Z342" i="1" s="1"/>
  <c r="Y343" i="1" s="1" a="1"/>
  <c r="Y343" i="1" s="1"/>
  <c r="AA343" i="1" s="1"/>
  <c r="KC343" i="1" s="1"/>
  <c r="AF300" i="1"/>
  <c r="AG300" i="1"/>
  <c r="MA300" i="1" s="1"/>
  <c r="Z343" i="1" l="1" a="1"/>
  <c r="Z343" i="1" s="1"/>
  <c r="Y344" i="1" s="1" a="1"/>
  <c r="Y344" i="1" s="1"/>
  <c r="AA344" i="1" s="1"/>
  <c r="KC344" i="1" s="1"/>
  <c r="AB343" i="1"/>
  <c r="KD343" i="1" s="1"/>
  <c r="AE300" i="1" a="1"/>
  <c r="AE300" i="1" s="1"/>
  <c r="AD301" i="1" s="1" a="1"/>
  <c r="AD301" i="1" s="1"/>
  <c r="LZ300" i="1"/>
  <c r="Z344" i="1" l="1" a="1"/>
  <c r="Z344" i="1" s="1"/>
  <c r="Y345" i="1" s="1" a="1"/>
  <c r="Y345" i="1" s="1"/>
  <c r="AA345" i="1" s="1"/>
  <c r="KC345" i="1" s="1"/>
  <c r="AB344" i="1"/>
  <c r="KD344" i="1" s="1"/>
  <c r="AG301" i="1"/>
  <c r="MA301" i="1" s="1"/>
  <c r="AF301" i="1"/>
  <c r="LZ301" i="1" s="1"/>
  <c r="AE301" i="1" s="1" a="1"/>
  <c r="AE301" i="1" s="1"/>
  <c r="AC302" i="1" s="1"/>
  <c r="AB345" i="1" l="1"/>
  <c r="KD345" i="1" s="1"/>
  <c r="Z345" i="1" a="1"/>
  <c r="Z345" i="1" s="1"/>
  <c r="AD302" i="1" a="1"/>
  <c r="AD302" i="1" s="1"/>
  <c r="AB377" i="1"/>
  <c r="KD377" i="1" s="1"/>
  <c r="AA377" i="1"/>
  <c r="KC377" i="1" s="1"/>
  <c r="Z377" i="1" s="1" a="1"/>
  <c r="Z377" i="1" s="1"/>
  <c r="Y378" i="1" s="1" a="1"/>
  <c r="Y378" i="1" s="1"/>
  <c r="AF302" i="1" l="1"/>
  <c r="LZ302" i="1" s="1"/>
  <c r="AE302" i="1" s="1" a="1"/>
  <c r="AE302" i="1" s="1"/>
  <c r="AC303" i="1" s="1"/>
  <c r="AG302" i="1"/>
  <c r="MA302" i="1" s="1"/>
  <c r="AB378" i="1"/>
  <c r="KD378" i="1" s="1"/>
  <c r="AA378" i="1"/>
  <c r="KC378" i="1" s="1"/>
  <c r="AD303" i="1" l="1" a="1"/>
  <c r="AD303" i="1" s="1"/>
  <c r="Z378" i="1" a="1"/>
  <c r="Z378" i="1" s="1"/>
  <c r="Y379" i="1" s="1" a="1"/>
  <c r="Y379" i="1" s="1"/>
  <c r="AA379" i="1" s="1"/>
  <c r="KC379" i="1" s="1"/>
  <c r="AG303" i="1" l="1"/>
  <c r="MA303" i="1" s="1"/>
  <c r="AF303" i="1"/>
  <c r="LZ303" i="1" s="1"/>
  <c r="AE303" i="1" s="1" a="1"/>
  <c r="AE303" i="1" s="1"/>
  <c r="AC304" i="1" s="1"/>
  <c r="Z379" i="1" a="1"/>
  <c r="Z379" i="1" s="1"/>
  <c r="Y380" i="1" s="1" a="1"/>
  <c r="Y380" i="1" s="1"/>
  <c r="AA380" i="1" s="1"/>
  <c r="KC380" i="1" s="1"/>
  <c r="AB379" i="1"/>
  <c r="KD379" i="1" s="1"/>
  <c r="AD304" i="1" l="1" a="1"/>
  <c r="AD304" i="1" s="1"/>
  <c r="Z380" i="1" a="1"/>
  <c r="Z380" i="1" s="1"/>
  <c r="Y381" i="1" s="1" a="1"/>
  <c r="Y381" i="1" s="1"/>
  <c r="AA381" i="1" s="1"/>
  <c r="KC381" i="1" s="1"/>
  <c r="AB380" i="1"/>
  <c r="KD380" i="1" s="1"/>
  <c r="AF304" i="1" l="1"/>
  <c r="LZ304" i="1" s="1"/>
  <c r="AE304" i="1" s="1" a="1"/>
  <c r="AE304" i="1" s="1"/>
  <c r="AC305" i="1" s="1"/>
  <c r="AG304" i="1"/>
  <c r="MA304" i="1" s="1"/>
  <c r="AB381" i="1"/>
  <c r="KD381" i="1" s="1"/>
  <c r="Z381" i="1" s="1" a="1"/>
  <c r="Z381" i="1" s="1"/>
  <c r="Y382" i="1" s="1" a="1"/>
  <c r="Y382" i="1" s="1"/>
  <c r="AA382" i="1" s="1"/>
  <c r="KC382" i="1" s="1"/>
  <c r="AD305" i="1" l="1" a="1"/>
  <c r="AD305" i="1" s="1"/>
  <c r="Z382" i="1" a="1"/>
  <c r="Z382" i="1" s="1"/>
  <c r="Y383" i="1" s="1" a="1"/>
  <c r="Y383" i="1" s="1"/>
  <c r="AB383" i="1" s="1"/>
  <c r="KD383" i="1" s="1"/>
  <c r="AB382" i="1"/>
  <c r="KD382" i="1" s="1"/>
  <c r="AG305" i="1" l="1"/>
  <c r="MA305" i="1" s="1"/>
  <c r="AF305" i="1"/>
  <c r="LZ305" i="1" s="1"/>
  <c r="AE305" i="1" s="1" a="1"/>
  <c r="AE305" i="1" s="1"/>
  <c r="AC306" i="1" s="1"/>
  <c r="AA383" i="1"/>
  <c r="KC383" i="1" s="1"/>
  <c r="Z383" i="1" s="1" a="1"/>
  <c r="Z383" i="1" s="1"/>
  <c r="Y384" i="1" s="1" a="1"/>
  <c r="Y384" i="1" s="1"/>
  <c r="AB384" i="1" s="1"/>
  <c r="KD384" i="1" s="1"/>
  <c r="AD306" i="1" l="1" a="1"/>
  <c r="AD306" i="1" s="1"/>
  <c r="AD325" i="1" a="1"/>
  <c r="AD325" i="1" s="1"/>
  <c r="AA384" i="1"/>
  <c r="KC384" i="1" s="1"/>
  <c r="Z384" i="1" s="1" a="1"/>
  <c r="Z384" i="1" s="1"/>
  <c r="Y385" i="1" s="1" a="1"/>
  <c r="Y385" i="1" s="1"/>
  <c r="AF325" i="1" l="1"/>
  <c r="AG325" i="1"/>
  <c r="MA325" i="1" s="1"/>
  <c r="AF306" i="1"/>
  <c r="LZ306" i="1" s="1"/>
  <c r="AE306" i="1" s="1" a="1"/>
  <c r="AE306" i="1" s="1"/>
  <c r="AG306" i="1"/>
  <c r="MA306" i="1" s="1"/>
  <c r="US325" i="1" l="1"/>
  <c r="UR325" i="1"/>
  <c r="UV325" i="1" s="1"/>
  <c r="UQ325" i="1"/>
  <c r="UT325" i="1"/>
  <c r="UU325" i="1" l="1"/>
  <c r="AE325" i="1" a="1"/>
  <c r="AE325" i="1" s="1"/>
  <c r="AC326" i="1" s="1"/>
  <c r="AD326" i="1" l="1" a="1"/>
  <c r="AD326" i="1" s="1"/>
  <c r="AF326" i="1" s="1"/>
  <c r="AG326" i="1" l="1"/>
  <c r="LZ326" i="1" l="1"/>
  <c r="AE326" i="1" s="1" a="1"/>
  <c r="AE326" i="1" s="1"/>
  <c r="AC327" i="1" s="1"/>
  <c r="MA326" i="1"/>
  <c r="AD327" i="1" l="1" a="1"/>
  <c r="AD327" i="1" s="1"/>
  <c r="AF327" i="1" l="1"/>
  <c r="AG327" i="1"/>
  <c r="MA327" i="1" l="1"/>
  <c r="GV327" i="1"/>
  <c r="HL327" i="1" s="1"/>
  <c r="HJ327" i="1"/>
  <c r="GU327" i="1"/>
  <c r="HI327" i="1"/>
  <c r="AE327" i="1" l="1" a="1"/>
  <c r="AE327" i="1" s="1"/>
  <c r="AC328" i="1" s="1"/>
  <c r="AJ327" i="1" a="1"/>
  <c r="AJ327" i="1" s="1"/>
  <c r="AH328" i="1" s="1"/>
  <c r="AI328" i="1" s="1" a="1"/>
  <c r="AI328" i="1" s="1"/>
  <c r="AK328" i="1" s="1"/>
  <c r="Z327" i="1" a="1"/>
  <c r="Z327" i="1" s="1"/>
  <c r="Y328" i="1" s="1" a="1"/>
  <c r="Y328" i="1" s="1"/>
  <c r="HK327" i="1"/>
  <c r="AL328" i="1" l="1"/>
  <c r="HF328" i="1" s="1"/>
  <c r="HX328" i="1" s="1"/>
  <c r="AA328" i="1"/>
  <c r="AB328" i="1"/>
  <c r="AD328" i="1" a="1"/>
  <c r="AD328" i="1" s="1"/>
  <c r="HE328" i="1"/>
  <c r="HW328" i="1" s="1"/>
  <c r="HU328" i="1"/>
  <c r="HV328" i="1" l="1"/>
  <c r="AG328" i="1"/>
  <c r="AF328" i="1"/>
  <c r="GU328" i="1" l="1"/>
  <c r="HI328" i="1"/>
  <c r="MA328" i="1"/>
  <c r="HJ328" i="1"/>
  <c r="GV328" i="1"/>
  <c r="HL328" i="1" s="1"/>
  <c r="AD351" i="1" a="1"/>
  <c r="AD351" i="1" s="1"/>
  <c r="AG351" i="1" s="1"/>
  <c r="MA351" i="1" s="1"/>
  <c r="AJ328" i="1" l="1" a="1"/>
  <c r="AJ328" i="1" s="1"/>
  <c r="AH329" i="1" s="1"/>
  <c r="AI329" i="1" s="1" a="1"/>
  <c r="AI329" i="1" s="1"/>
  <c r="AK329" i="1" s="1"/>
  <c r="AE328" i="1" a="1"/>
  <c r="AE328" i="1" s="1"/>
  <c r="AC329" i="1" s="1"/>
  <c r="Z328" i="1" a="1"/>
  <c r="Z328" i="1" s="1"/>
  <c r="HK328" i="1"/>
  <c r="BG351" i="1"/>
  <c r="BU351" i="1"/>
  <c r="AF351" i="1"/>
  <c r="AL329" i="1" l="1"/>
  <c r="BQ329" i="1" s="1"/>
  <c r="AD329" i="1" a="1"/>
  <c r="AD329" i="1" s="1"/>
  <c r="BP329" i="1"/>
  <c r="CF329" i="1"/>
  <c r="BF351" i="1"/>
  <c r="BT351" i="1"/>
  <c r="BI351" i="1"/>
  <c r="BW351" i="1"/>
  <c r="CG329" i="1" l="1"/>
  <c r="AG329" i="1"/>
  <c r="AF329" i="1"/>
  <c r="BS329" i="1"/>
  <c r="CK329" i="1" s="1"/>
  <c r="CI329" i="1"/>
  <c r="BR329" i="1"/>
  <c r="CJ329" i="1" s="1"/>
  <c r="CH329" i="1"/>
  <c r="BK351" i="1"/>
  <c r="CA351" i="1" s="1"/>
  <c r="BY351" i="1"/>
  <c r="BH351" i="1"/>
  <c r="BV351" i="1"/>
  <c r="BF329" i="1" l="1"/>
  <c r="BT329" i="1"/>
  <c r="BU329" i="1"/>
  <c r="MA329" i="1"/>
  <c r="BG329" i="1"/>
  <c r="BX351" i="1"/>
  <c r="BJ351" i="1"/>
  <c r="BZ351" i="1" s="1"/>
  <c r="AJ351" i="1" a="1"/>
  <c r="AJ351" i="1" s="1"/>
  <c r="AH352" i="1" s="1"/>
  <c r="AI352" i="1" s="1" a="1"/>
  <c r="AI352" i="1" s="1"/>
  <c r="AL352" i="1" s="1"/>
  <c r="AE351" i="1" a="1"/>
  <c r="AE351" i="1" s="1"/>
  <c r="AC352" i="1" s="1"/>
  <c r="BI329" i="1" l="1"/>
  <c r="BW329" i="1"/>
  <c r="BH329" i="1"/>
  <c r="BV329" i="1"/>
  <c r="AK352" i="1"/>
  <c r="BP352" i="1" s="1"/>
  <c r="CD352" i="1"/>
  <c r="CC352" i="1"/>
  <c r="CE352" i="1"/>
  <c r="CB352" i="1"/>
  <c r="AD352" i="1" a="1"/>
  <c r="AD352" i="1" s="1"/>
  <c r="BQ352" i="1"/>
  <c r="CG352" i="1"/>
  <c r="BX329" i="1" l="1"/>
  <c r="BJ329" i="1"/>
  <c r="BY329" i="1"/>
  <c r="BK329" i="1"/>
  <c r="CA329" i="1" s="1"/>
  <c r="CF352" i="1"/>
  <c r="AF352" i="1"/>
  <c r="AG352" i="1"/>
  <c r="MA352" i="1" s="1"/>
  <c r="BR352" i="1"/>
  <c r="CJ352" i="1" s="1"/>
  <c r="CH352" i="1"/>
  <c r="BS352" i="1"/>
  <c r="CK352" i="1" s="1"/>
  <c r="CI352" i="1"/>
  <c r="AE329" i="1" l="1" a="1"/>
  <c r="AE329" i="1" s="1"/>
  <c r="AC330" i="1" s="1"/>
  <c r="AJ329" i="1" a="1"/>
  <c r="AJ329" i="1" s="1"/>
  <c r="AH330" i="1" s="1"/>
  <c r="AI330" i="1" s="1" a="1"/>
  <c r="AI330" i="1" s="1"/>
  <c r="AK330" i="1" s="1"/>
  <c r="BZ329" i="1"/>
  <c r="BU352" i="1"/>
  <c r="BG352" i="1"/>
  <c r="BF352" i="1"/>
  <c r="BT352" i="1"/>
  <c r="AL330" i="1" l="1"/>
  <c r="BQ330" i="1" s="1"/>
  <c r="AD330" i="1" a="1"/>
  <c r="AD330" i="1" s="1"/>
  <c r="BP330" i="1"/>
  <c r="CF330" i="1"/>
  <c r="BI352" i="1"/>
  <c r="BW352" i="1"/>
  <c r="BH352" i="1"/>
  <c r="BV352" i="1"/>
  <c r="CG330" i="1" l="1"/>
  <c r="AF330" i="1"/>
  <c r="AG330" i="1"/>
  <c r="BR330" i="1"/>
  <c r="CJ330" i="1" s="1"/>
  <c r="CH330" i="1"/>
  <c r="BS330" i="1"/>
  <c r="CK330" i="1" s="1"/>
  <c r="CI330" i="1"/>
  <c r="BJ352" i="1"/>
  <c r="BZ352" i="1" s="1"/>
  <c r="AJ352" i="1" a="1"/>
  <c r="AJ352" i="1" s="1"/>
  <c r="AH353" i="1" s="1"/>
  <c r="BX352" i="1"/>
  <c r="AE352" i="1" a="1"/>
  <c r="AE352" i="1" s="1"/>
  <c r="AC353" i="1" s="1"/>
  <c r="BK352" i="1"/>
  <c r="CA352" i="1" s="1"/>
  <c r="BY352" i="1"/>
  <c r="BG330" i="1" l="1"/>
  <c r="BU330" i="1"/>
  <c r="MA330" i="1"/>
  <c r="BT330" i="1"/>
  <c r="BF330" i="1"/>
  <c r="AD353" i="1" a="1"/>
  <c r="AD353" i="1" s="1"/>
  <c r="CE353" i="1"/>
  <c r="CB353" i="1"/>
  <c r="CC353" i="1"/>
  <c r="CD353" i="1"/>
  <c r="AI353" i="1" a="1"/>
  <c r="AI353" i="1" s="1"/>
  <c r="BH330" i="1" l="1"/>
  <c r="BV330" i="1"/>
  <c r="BI330" i="1"/>
  <c r="BW330" i="1"/>
  <c r="AL353" i="1"/>
  <c r="AK353" i="1"/>
  <c r="AF353" i="1"/>
  <c r="AG353" i="1"/>
  <c r="MA353" i="1" s="1"/>
  <c r="Y355" i="1" a="1"/>
  <c r="Y355" i="1" s="1"/>
  <c r="BY330" i="1" l="1"/>
  <c r="BK330" i="1"/>
  <c r="CA330" i="1" s="1"/>
  <c r="BX330" i="1"/>
  <c r="BJ330" i="1"/>
  <c r="BG353" i="1"/>
  <c r="BU353" i="1"/>
  <c r="BP353" i="1"/>
  <c r="CF353" i="1"/>
  <c r="BT353" i="1"/>
  <c r="BF353" i="1"/>
  <c r="BQ353" i="1"/>
  <c r="CG353" i="1"/>
  <c r="AB355" i="1"/>
  <c r="HH355" i="1" s="1"/>
  <c r="AA355" i="1"/>
  <c r="HG355" i="1" s="1"/>
  <c r="AE330" i="1" l="1" a="1"/>
  <c r="AE330" i="1" s="1"/>
  <c r="AC331" i="1" s="1"/>
  <c r="AJ330" i="1" a="1"/>
  <c r="AJ330" i="1" s="1"/>
  <c r="AH331" i="1" s="1"/>
  <c r="AI331" i="1" s="1" a="1"/>
  <c r="AI331" i="1" s="1"/>
  <c r="AK331" i="1" s="1"/>
  <c r="BZ330" i="1"/>
  <c r="BV353" i="1"/>
  <c r="BH353" i="1"/>
  <c r="BS353" i="1"/>
  <c r="CK353" i="1" s="1"/>
  <c r="CI353" i="1"/>
  <c r="BR353" i="1"/>
  <c r="CJ353" i="1" s="1"/>
  <c r="CH353" i="1"/>
  <c r="BI353" i="1"/>
  <c r="BW353" i="1"/>
  <c r="AL331" i="1" l="1"/>
  <c r="BQ331" i="1" s="1"/>
  <c r="AD331" i="1" a="1"/>
  <c r="AD331" i="1" s="1"/>
  <c r="BP331" i="1"/>
  <c r="CF331" i="1"/>
  <c r="BK353" i="1"/>
  <c r="CA353" i="1" s="1"/>
  <c r="BY353" i="1"/>
  <c r="BX353" i="1"/>
  <c r="AJ353" i="1" a="1"/>
  <c r="AJ353" i="1" s="1"/>
  <c r="AH354" i="1" s="1"/>
  <c r="AI354" i="1" s="1" a="1"/>
  <c r="AI354" i="1" s="1"/>
  <c r="AK354" i="1" s="1"/>
  <c r="BJ353" i="1"/>
  <c r="BZ353" i="1" s="1"/>
  <c r="CG331" i="1" l="1"/>
  <c r="AG331" i="1"/>
  <c r="AF331" i="1"/>
  <c r="AE353" i="1" a="1"/>
  <c r="AE353" i="1" s="1"/>
  <c r="AC354" i="1" s="1"/>
  <c r="BR331" i="1"/>
  <c r="CJ331" i="1" s="1"/>
  <c r="CH331" i="1"/>
  <c r="BS331" i="1"/>
  <c r="CK331" i="1" s="1"/>
  <c r="CI331" i="1"/>
  <c r="AL354" i="1"/>
  <c r="BQ354" i="1" s="1"/>
  <c r="BP354" i="1"/>
  <c r="CF354" i="1"/>
  <c r="BF331" i="1" l="1"/>
  <c r="BT331" i="1"/>
  <c r="MA331" i="1"/>
  <c r="BG331" i="1"/>
  <c r="BU331" i="1"/>
  <c r="AD354" i="1" a="1"/>
  <c r="AD354" i="1" s="1"/>
  <c r="AG354" i="1" s="1"/>
  <c r="MA354" i="1" s="1"/>
  <c r="CB354" i="1"/>
  <c r="CD354" i="1"/>
  <c r="CE354" i="1"/>
  <c r="CC354" i="1"/>
  <c r="CG354" i="1"/>
  <c r="BR354" i="1"/>
  <c r="CJ354" i="1" s="1"/>
  <c r="CH354" i="1"/>
  <c r="BS354" i="1"/>
  <c r="CK354" i="1" s="1"/>
  <c r="CI354" i="1"/>
  <c r="BW331" i="1" l="1"/>
  <c r="BI331" i="1"/>
  <c r="BH331" i="1"/>
  <c r="BV331" i="1"/>
  <c r="AF354" i="1"/>
  <c r="BF354" i="1" s="1"/>
  <c r="BG354" i="1"/>
  <c r="BU354" i="1"/>
  <c r="BJ331" i="1" l="1"/>
  <c r="BX331" i="1"/>
  <c r="BY331" i="1"/>
  <c r="BK331" i="1"/>
  <c r="BT354" i="1"/>
  <c r="BV354" i="1"/>
  <c r="BH354" i="1"/>
  <c r="BW354" i="1"/>
  <c r="BI354" i="1"/>
  <c r="BM331" i="1" l="1"/>
  <c r="CC331" i="1" s="1"/>
  <c r="CA331" i="1"/>
  <c r="BZ331" i="1"/>
  <c r="BL331" i="1"/>
  <c r="CB331" i="1" s="1"/>
  <c r="AJ331" i="1" a="1"/>
  <c r="AJ331" i="1" s="1"/>
  <c r="AE331" i="1" a="1"/>
  <c r="AE331" i="1" s="1"/>
  <c r="AD333" i="1" s="1" a="1"/>
  <c r="AD333" i="1" s="1"/>
  <c r="BY354" i="1"/>
  <c r="BK354" i="1"/>
  <c r="CA354" i="1" s="1"/>
  <c r="BX354" i="1"/>
  <c r="AE354" i="1" a="1"/>
  <c r="AE354" i="1" s="1"/>
  <c r="AC355" i="1" s="1"/>
  <c r="BJ354" i="1"/>
  <c r="BZ354" i="1" s="1"/>
  <c r="AJ354" i="1" a="1"/>
  <c r="AJ354" i="1" s="1"/>
  <c r="AH355" i="1" s="1"/>
  <c r="AG333" i="1" l="1"/>
  <c r="MA333" i="1" s="1"/>
  <c r="AF333" i="1"/>
  <c r="LZ333" i="1" s="1"/>
  <c r="AE333" i="1" s="1" a="1"/>
  <c r="AE333" i="1" s="1"/>
  <c r="AC334" i="1" s="1"/>
  <c r="AI355" i="1" a="1"/>
  <c r="AI355" i="1" s="1"/>
  <c r="HS355" i="1"/>
  <c r="AD355" i="1" a="1"/>
  <c r="AD355" i="1" s="1"/>
  <c r="HT355" i="1"/>
  <c r="AD334" i="1" l="1" a="1"/>
  <c r="AD334" i="1" s="1"/>
  <c r="AF355" i="1"/>
  <c r="AG355" i="1"/>
  <c r="MA355" i="1" s="1"/>
  <c r="AL355" i="1"/>
  <c r="AK355" i="1"/>
  <c r="AF334" i="1" l="1"/>
  <c r="LZ334" i="1" s="1"/>
  <c r="AE334" i="1" s="1" a="1"/>
  <c r="AE334" i="1" s="1"/>
  <c r="AC335" i="1" s="1"/>
  <c r="AG334" i="1"/>
  <c r="MA334" i="1" s="1"/>
  <c r="HE355" i="1"/>
  <c r="HW355" i="1" s="1"/>
  <c r="HU355" i="1"/>
  <c r="HJ355" i="1"/>
  <c r="GV355" i="1"/>
  <c r="HF355" i="1"/>
  <c r="HX355" i="1" s="1"/>
  <c r="HV355" i="1"/>
  <c r="HI355" i="1"/>
  <c r="GU355" i="1"/>
  <c r="AD335" i="1" l="1" a="1"/>
  <c r="AD335" i="1" s="1"/>
  <c r="GW355" i="1"/>
  <c r="HK355" i="1"/>
  <c r="HL355" i="1"/>
  <c r="GX355" i="1"/>
  <c r="AG335" i="1" l="1"/>
  <c r="MA335" i="1" s="1"/>
  <c r="AF335" i="1"/>
  <c r="LZ335" i="1" s="1"/>
  <c r="AE335" i="1" s="1" a="1"/>
  <c r="AE335" i="1" s="1"/>
  <c r="AC336" i="1" s="1"/>
  <c r="HN355" i="1"/>
  <c r="GZ355" i="1"/>
  <c r="GY355" i="1"/>
  <c r="HM355" i="1"/>
  <c r="AD336" i="1" l="1" a="1"/>
  <c r="AD336" i="1" s="1"/>
  <c r="AJ355" i="1" a="1"/>
  <c r="AJ355" i="1" s="1"/>
  <c r="AH356" i="1" s="1"/>
  <c r="AE355" i="1" a="1"/>
  <c r="AE355" i="1" s="1"/>
  <c r="AC356" i="1" s="1"/>
  <c r="HO355" i="1"/>
  <c r="HA355" i="1"/>
  <c r="HQ355" i="1" s="1"/>
  <c r="Z355" i="1" a="1"/>
  <c r="Z355" i="1" s="1"/>
  <c r="Y356" i="1" s="1" a="1"/>
  <c r="Y356" i="1" s="1"/>
  <c r="HB355" i="1"/>
  <c r="HR355" i="1" s="1"/>
  <c r="HP355" i="1"/>
  <c r="AF336" i="1" l="1"/>
  <c r="LZ336" i="1" s="1"/>
  <c r="AE336" i="1" s="1" a="1"/>
  <c r="AE336" i="1" s="1"/>
  <c r="AC337" i="1" s="1"/>
  <c r="AG336" i="1"/>
  <c r="MA336" i="1" s="1"/>
  <c r="AA356" i="1"/>
  <c r="HG356" i="1" s="1"/>
  <c r="AB356" i="1"/>
  <c r="HH356" i="1" s="1"/>
  <c r="AD357" i="1" a="1"/>
  <c r="AD357" i="1" s="1"/>
  <c r="HT356" i="1"/>
  <c r="HS356" i="1"/>
  <c r="AD356" i="1" a="1"/>
  <c r="AD356" i="1" s="1"/>
  <c r="AI356" i="1" a="1"/>
  <c r="AI356" i="1" s="1"/>
  <c r="AB385" i="1"/>
  <c r="KD385" i="1" s="1"/>
  <c r="AA385" i="1"/>
  <c r="KC385" i="1" s="1"/>
  <c r="Z385" i="1" s="1" a="1"/>
  <c r="Z385" i="1" s="1"/>
  <c r="Y386" i="1" s="1" a="1"/>
  <c r="Y386" i="1" s="1"/>
  <c r="AD337" i="1" l="1" a="1"/>
  <c r="AD337" i="1" s="1"/>
  <c r="AK356" i="1"/>
  <c r="AL356" i="1"/>
  <c r="AF356" i="1"/>
  <c r="AG356" i="1"/>
  <c r="MA356" i="1" s="1"/>
  <c r="AF357" i="1"/>
  <c r="AG357" i="1"/>
  <c r="MA357" i="1" s="1"/>
  <c r="AB386" i="1"/>
  <c r="KD386" i="1" s="1"/>
  <c r="AA386" i="1"/>
  <c r="KC386" i="1" s="1"/>
  <c r="Z386" i="1" s="1" a="1"/>
  <c r="Z386" i="1" s="1"/>
  <c r="Y387" i="1" s="1" a="1"/>
  <c r="Y387" i="1" s="1"/>
  <c r="AG337" i="1" l="1"/>
  <c r="MA337" i="1" s="1"/>
  <c r="AF337" i="1"/>
  <c r="LZ337" i="1" s="1"/>
  <c r="AE337" i="1" s="1" a="1"/>
  <c r="AE337" i="1" s="1"/>
  <c r="AC338" i="1" s="1"/>
  <c r="BU357" i="1"/>
  <c r="BG357" i="1"/>
  <c r="BF357" i="1"/>
  <c r="BT357" i="1"/>
  <c r="HJ356" i="1"/>
  <c r="GV356" i="1"/>
  <c r="HI356" i="1"/>
  <c r="GU356" i="1"/>
  <c r="HF356" i="1"/>
  <c r="HX356" i="1" s="1"/>
  <c r="HV356" i="1"/>
  <c r="HE356" i="1"/>
  <c r="HW356" i="1" s="1"/>
  <c r="HU356" i="1"/>
  <c r="AA387" i="1"/>
  <c r="KC387" i="1" s="1"/>
  <c r="Z387" i="1" s="1" a="1"/>
  <c r="Z387" i="1" s="1"/>
  <c r="Y388" i="1" s="1" a="1"/>
  <c r="Y388" i="1" s="1"/>
  <c r="AB387" i="1"/>
  <c r="KD387" i="1" s="1"/>
  <c r="AD338" i="1" l="1" a="1"/>
  <c r="AD338" i="1" s="1"/>
  <c r="GX356" i="1"/>
  <c r="HL356" i="1"/>
  <c r="GW356" i="1"/>
  <c r="HK356" i="1"/>
  <c r="BH357" i="1"/>
  <c r="BV357" i="1"/>
  <c r="BI357" i="1"/>
  <c r="BW357" i="1"/>
  <c r="AA388" i="1"/>
  <c r="KC388" i="1" s="1"/>
  <c r="Z388" i="1" s="1" a="1"/>
  <c r="Z388" i="1" s="1"/>
  <c r="AB388" i="1"/>
  <c r="KD388" i="1" s="1"/>
  <c r="AF338" i="1" l="1"/>
  <c r="LZ338" i="1" s="1"/>
  <c r="AE338" i="1" s="1" a="1"/>
  <c r="AE338" i="1" s="1"/>
  <c r="AC339" i="1" s="1"/>
  <c r="AG338" i="1"/>
  <c r="MA338" i="1" s="1"/>
  <c r="BK357" i="1"/>
  <c r="BY357" i="1"/>
  <c r="BX357" i="1"/>
  <c r="BJ357" i="1"/>
  <c r="HM356" i="1"/>
  <c r="GY356" i="1"/>
  <c r="GZ356" i="1"/>
  <c r="HN356" i="1"/>
  <c r="AA389" i="1"/>
  <c r="KC389" i="1" s="1"/>
  <c r="Z389" i="1" s="1" a="1"/>
  <c r="Z389" i="1" s="1"/>
  <c r="Y390" i="1" s="1" a="1"/>
  <c r="Y390" i="1" s="1"/>
  <c r="AB389" i="1"/>
  <c r="KD389" i="1" s="1"/>
  <c r="AD339" i="1" l="1" a="1"/>
  <c r="AD339" i="1" s="1"/>
  <c r="HP356" i="1"/>
  <c r="HB356" i="1"/>
  <c r="HR356" i="1" s="1"/>
  <c r="AJ356" i="1" a="1"/>
  <c r="AJ356" i="1" s="1"/>
  <c r="AH357" i="1" s="1"/>
  <c r="AI357" i="1" s="1" a="1"/>
  <c r="AI357" i="1" s="1"/>
  <c r="AK357" i="1" s="1"/>
  <c r="Z356" i="1" a="1"/>
  <c r="Z356" i="1" s="1"/>
  <c r="Y368" i="1" s="1" a="1"/>
  <c r="Y368" i="1" s="1"/>
  <c r="HO356" i="1"/>
  <c r="HA356" i="1"/>
  <c r="HQ356" i="1" s="1"/>
  <c r="AE356" i="1" s="1" a="1"/>
  <c r="AE356" i="1" s="1"/>
  <c r="BL357" i="1"/>
  <c r="BZ357" i="1"/>
  <c r="BM357" i="1"/>
  <c r="CA357" i="1"/>
  <c r="AB390" i="1"/>
  <c r="KD390" i="1" s="1"/>
  <c r="AA390" i="1"/>
  <c r="KC390" i="1" s="1"/>
  <c r="Z390" i="1" s="1" a="1"/>
  <c r="Z390" i="1" s="1"/>
  <c r="Y391" i="1" s="1" a="1"/>
  <c r="Y391" i="1" s="1"/>
  <c r="AF339" i="1" l="1"/>
  <c r="LZ339" i="1" s="1"/>
  <c r="AE339" i="1" s="1" a="1"/>
  <c r="AE339" i="1" s="1"/>
  <c r="AG339" i="1"/>
  <c r="MA339" i="1" s="1"/>
  <c r="AL357" i="1"/>
  <c r="BQ357" i="1" s="1"/>
  <c r="BN357" i="1"/>
  <c r="CD357" i="1" s="1"/>
  <c r="CB357" i="1"/>
  <c r="AA368" i="1"/>
  <c r="KC368" i="1" s="1"/>
  <c r="Z368" i="1" s="1" a="1"/>
  <c r="Z368" i="1" s="1"/>
  <c r="AB368" i="1"/>
  <c r="KD368" i="1" s="1"/>
  <c r="CC357" i="1"/>
  <c r="BO357" i="1"/>
  <c r="CE357" i="1" s="1"/>
  <c r="BP357" i="1"/>
  <c r="CF357" i="1"/>
  <c r="AB391" i="1"/>
  <c r="KD391" i="1" s="1"/>
  <c r="AA391" i="1"/>
  <c r="KC391" i="1" s="1"/>
  <c r="Z391" i="1" s="1" a="1"/>
  <c r="Z391" i="1" s="1"/>
  <c r="CG357" i="1" l="1"/>
  <c r="BR357" i="1"/>
  <c r="CJ357" i="1" s="1"/>
  <c r="CH357" i="1"/>
  <c r="AJ357" i="1" a="1"/>
  <c r="AJ357" i="1" s="1"/>
  <c r="AH358" i="1" s="1"/>
  <c r="AI358" i="1" s="1" a="1"/>
  <c r="AI358" i="1" s="1"/>
  <c r="AK358" i="1" s="1"/>
  <c r="BP358" i="1" s="1"/>
  <c r="AE357" i="1" a="1"/>
  <c r="AE357" i="1" s="1"/>
  <c r="AC358" i="1" s="1"/>
  <c r="BS357" i="1"/>
  <c r="CK357" i="1" s="1"/>
  <c r="CI357" i="1"/>
  <c r="AA392" i="1"/>
  <c r="KC392" i="1" s="1"/>
  <c r="Z392" i="1" s="1" a="1"/>
  <c r="Z392" i="1" s="1"/>
  <c r="Y393" i="1" s="1" a="1"/>
  <c r="Y393" i="1" s="1"/>
  <c r="AB392" i="1"/>
  <c r="KD392" i="1" s="1"/>
  <c r="AD358" i="1" l="1" a="1"/>
  <c r="AD358" i="1" s="1"/>
  <c r="AG358" i="1" s="1"/>
  <c r="MA358" i="1" s="1"/>
  <c r="CF358" i="1"/>
  <c r="AL358" i="1"/>
  <c r="BQ358" i="1" s="1"/>
  <c r="BR358" i="1"/>
  <c r="CJ358" i="1" s="1"/>
  <c r="CH358" i="1"/>
  <c r="AA393" i="1"/>
  <c r="KC393" i="1" s="1"/>
  <c r="Z393" i="1" s="1" a="1"/>
  <c r="Z393" i="1" s="1"/>
  <c r="Y394" i="1" s="1" a="1"/>
  <c r="Y394" i="1" s="1"/>
  <c r="AB393" i="1"/>
  <c r="KD393" i="1" s="1"/>
  <c r="BU358" i="1" l="1"/>
  <c r="BG358" i="1"/>
  <c r="BW358" i="1" s="1"/>
  <c r="AF358" i="1"/>
  <c r="BF358" i="1" s="1"/>
  <c r="BH358" i="1" s="1"/>
  <c r="CG358" i="1"/>
  <c r="BS358" i="1"/>
  <c r="CK358" i="1" s="1"/>
  <c r="CI358" i="1"/>
  <c r="AB394" i="1"/>
  <c r="KD394" i="1" s="1"/>
  <c r="AA394" i="1"/>
  <c r="KC394" i="1" s="1"/>
  <c r="Z394" i="1" s="1" a="1"/>
  <c r="Z394" i="1" s="1"/>
  <c r="BV358" i="1" l="1"/>
  <c r="BT358" i="1"/>
  <c r="BI358" i="1"/>
  <c r="BK358" i="1" s="1"/>
  <c r="BJ358" i="1"/>
  <c r="BX358" i="1"/>
  <c r="AB395" i="1"/>
  <c r="KD395" i="1" s="1"/>
  <c r="AA395" i="1"/>
  <c r="KC395" i="1" s="1"/>
  <c r="Z395" i="1" s="1" a="1"/>
  <c r="Z395" i="1" s="1"/>
  <c r="Y396" i="1" s="1" a="1"/>
  <c r="Y396" i="1" s="1"/>
  <c r="BY358" i="1" l="1"/>
  <c r="BM358" i="1"/>
  <c r="CA358" i="1"/>
  <c r="BL358" i="1"/>
  <c r="BZ358" i="1"/>
  <c r="AB396" i="1"/>
  <c r="KD396" i="1" s="1"/>
  <c r="AA396" i="1"/>
  <c r="KC396" i="1" s="1"/>
  <c r="Z396" i="1" s="1" a="1"/>
  <c r="Z396" i="1" s="1"/>
  <c r="Y397" i="1" s="1" a="1"/>
  <c r="Y397" i="1" s="1"/>
  <c r="CB358" i="1" l="1"/>
  <c r="CE358" i="1"/>
  <c r="CC358" i="1"/>
  <c r="AB397" i="1"/>
  <c r="KD397" i="1" s="1"/>
  <c r="AA397" i="1"/>
  <c r="KC397" i="1" s="1"/>
  <c r="Z397" i="1" s="1" a="1"/>
  <c r="Z397" i="1" s="1"/>
  <c r="Y398" i="1" s="1" a="1"/>
  <c r="Y398" i="1" s="1"/>
  <c r="CD358" i="1" l="1"/>
  <c r="AE358" i="1" a="1"/>
  <c r="AE358" i="1" s="1"/>
  <c r="AC359" i="1" s="1"/>
  <c r="AJ358" i="1" a="1"/>
  <c r="AJ358" i="1" s="1"/>
  <c r="AH359" i="1" s="1"/>
  <c r="AB398" i="1"/>
  <c r="KD398" i="1" s="1"/>
  <c r="AA398" i="1"/>
  <c r="KC398" i="1" s="1"/>
  <c r="Z398" i="1" s="1" a="1"/>
  <c r="Z398" i="1" s="1"/>
  <c r="Y399" i="1" s="1" a="1"/>
  <c r="Y399" i="1" s="1"/>
  <c r="AI359" i="1" l="1" a="1"/>
  <c r="AI359" i="1" s="1"/>
  <c r="AK359" i="1" s="1"/>
  <c r="BP359" i="1" s="1"/>
  <c r="BR359" i="1" s="1"/>
  <c r="CJ359" i="1" s="1"/>
  <c r="AD359" i="1" a="1"/>
  <c r="AD359" i="1" s="1"/>
  <c r="AG359" i="1" s="1"/>
  <c r="MA359" i="1" s="1"/>
  <c r="CE359" i="1"/>
  <c r="CD359" i="1"/>
  <c r="AA399" i="1"/>
  <c r="KC399" i="1" s="1"/>
  <c r="Z399" i="1" s="1" a="1"/>
  <c r="Z399" i="1" s="1"/>
  <c r="Y400" i="1" s="1" a="1"/>
  <c r="Y400" i="1" s="1"/>
  <c r="AB399" i="1"/>
  <c r="KD399" i="1" s="1"/>
  <c r="AL359" i="1" l="1"/>
  <c r="BQ359" i="1" s="1"/>
  <c r="BS359" i="1" s="1"/>
  <c r="CK359" i="1" s="1"/>
  <c r="BG359" i="1"/>
  <c r="BU359" i="1"/>
  <c r="CH359" i="1"/>
  <c r="AF359" i="1"/>
  <c r="CF359" i="1"/>
  <c r="AB400" i="1"/>
  <c r="KD400" i="1" s="1"/>
  <c r="AA400" i="1"/>
  <c r="KC400" i="1" s="1"/>
  <c r="Z400" i="1" s="1" a="1"/>
  <c r="Z400" i="1" s="1"/>
  <c r="Y401" i="1" s="1" a="1"/>
  <c r="Y401" i="1" s="1"/>
  <c r="CG359" i="1" l="1"/>
  <c r="CI359" i="1"/>
  <c r="BF359" i="1"/>
  <c r="BT359" i="1"/>
  <c r="BI359" i="1"/>
  <c r="BW359" i="1"/>
  <c r="AB401" i="1"/>
  <c r="KD401" i="1" s="1"/>
  <c r="AA401" i="1"/>
  <c r="KC401" i="1" s="1"/>
  <c r="Z401" i="1" s="1" a="1"/>
  <c r="Z401" i="1" s="1"/>
  <c r="Y402" i="1" s="1" a="1"/>
  <c r="Y402" i="1" s="1"/>
  <c r="BK359" i="1" l="1"/>
  <c r="BY359" i="1"/>
  <c r="BH359" i="1"/>
  <c r="BV359" i="1"/>
  <c r="AB402" i="1"/>
  <c r="KD402" i="1" s="1"/>
  <c r="AA402" i="1"/>
  <c r="KC402" i="1" s="1"/>
  <c r="Z402" i="1" s="1" a="1"/>
  <c r="Z402" i="1" s="1"/>
  <c r="Y403" i="1" s="1" a="1"/>
  <c r="Y403" i="1" s="1"/>
  <c r="BJ359" i="1" l="1"/>
  <c r="BX359" i="1"/>
  <c r="BM359" i="1"/>
  <c r="CC359" i="1" s="1"/>
  <c r="CA359" i="1"/>
  <c r="AB403" i="1"/>
  <c r="KD403" i="1" s="1"/>
  <c r="AA403" i="1"/>
  <c r="KC403" i="1" s="1"/>
  <c r="Z403" i="1" s="1" a="1"/>
  <c r="Z403" i="1" s="1"/>
  <c r="Y404" i="1" s="1" a="1"/>
  <c r="Y404" i="1" s="1"/>
  <c r="BL359" i="1" l="1"/>
  <c r="CB359" i="1" s="1"/>
  <c r="BZ359" i="1"/>
  <c r="AJ359" i="1" a="1"/>
  <c r="AJ359" i="1" s="1"/>
  <c r="AH360" i="1" s="1"/>
  <c r="AE359" i="1" a="1"/>
  <c r="AE359" i="1" s="1"/>
  <c r="AC360" i="1" s="1"/>
  <c r="AA404" i="1"/>
  <c r="KC404" i="1" s="1"/>
  <c r="Z404" i="1" s="1" a="1"/>
  <c r="Z404" i="1" s="1"/>
  <c r="Y405" i="1" s="1" a="1"/>
  <c r="Y405" i="1" s="1"/>
  <c r="AB404" i="1"/>
  <c r="KD404" i="1" s="1"/>
  <c r="AD360" i="1" l="1" a="1"/>
  <c r="AD360" i="1" s="1"/>
  <c r="CD360" i="1"/>
  <c r="CE360" i="1"/>
  <c r="AI360" i="1" a="1"/>
  <c r="AI360" i="1" s="1"/>
  <c r="AA405" i="1"/>
  <c r="KC405" i="1" s="1"/>
  <c r="Z405" i="1" s="1" a="1"/>
  <c r="Z405" i="1" s="1"/>
  <c r="Y406" i="1" s="1" a="1"/>
  <c r="Y406" i="1" s="1"/>
  <c r="AB405" i="1"/>
  <c r="KD405" i="1" s="1"/>
  <c r="AL360" i="1" l="1"/>
  <c r="AK360" i="1"/>
  <c r="AG360" i="1"/>
  <c r="MA360" i="1" s="1"/>
  <c r="AF360" i="1"/>
  <c r="AG448" i="1"/>
  <c r="MA448" i="1" s="1"/>
  <c r="AF448" i="1"/>
  <c r="AB406" i="1"/>
  <c r="KD406" i="1" s="1"/>
  <c r="AA406" i="1"/>
  <c r="KC406" i="1" s="1"/>
  <c r="Z406" i="1" s="1" a="1"/>
  <c r="Z406" i="1" s="1"/>
  <c r="Y407" i="1" s="1" a="1"/>
  <c r="Y407" i="1" s="1"/>
  <c r="BG360" i="1" l="1"/>
  <c r="BU360" i="1"/>
  <c r="BF360" i="1"/>
  <c r="BT360" i="1"/>
  <c r="BQ360" i="1"/>
  <c r="CG360" i="1"/>
  <c r="BP360" i="1"/>
  <c r="CF360" i="1"/>
  <c r="BF448" i="1"/>
  <c r="BT448" i="1"/>
  <c r="BU448" i="1"/>
  <c r="BG448" i="1"/>
  <c r="AB407" i="1"/>
  <c r="KD407" i="1" s="1"/>
  <c r="AA407" i="1"/>
  <c r="KC407" i="1" s="1"/>
  <c r="Z407" i="1" s="1" a="1"/>
  <c r="Z407" i="1" s="1"/>
  <c r="Y408" i="1" s="1" a="1"/>
  <c r="Y408" i="1" s="1"/>
  <c r="BH360" i="1" l="1"/>
  <c r="BV360" i="1"/>
  <c r="BR360" i="1"/>
  <c r="CJ360" i="1" s="1"/>
  <c r="CH360" i="1"/>
  <c r="BS360" i="1"/>
  <c r="CK360" i="1" s="1"/>
  <c r="CI360" i="1"/>
  <c r="BI360" i="1"/>
  <c r="BW360" i="1"/>
  <c r="BW448" i="1"/>
  <c r="BI448" i="1"/>
  <c r="BH448" i="1"/>
  <c r="BV448" i="1"/>
  <c r="AB408" i="1"/>
  <c r="KD408" i="1" s="1"/>
  <c r="AA408" i="1"/>
  <c r="KC408" i="1" s="1"/>
  <c r="Z408" i="1" s="1" a="1"/>
  <c r="Z408" i="1" s="1"/>
  <c r="Y409" i="1" s="1" a="1"/>
  <c r="Y409" i="1" s="1"/>
  <c r="BK360" i="1" l="1"/>
  <c r="BY360" i="1"/>
  <c r="BJ360" i="1"/>
  <c r="BX360" i="1"/>
  <c r="Y561" i="1" a="1"/>
  <c r="Y561" i="1" s="1"/>
  <c r="BK448" i="1"/>
  <c r="BY448" i="1"/>
  <c r="BX448" i="1"/>
  <c r="BJ448" i="1"/>
  <c r="AB409" i="1"/>
  <c r="KD409" i="1" s="1"/>
  <c r="AA409" i="1"/>
  <c r="KC409" i="1" s="1"/>
  <c r="Z409" i="1" s="1" a="1"/>
  <c r="Z409" i="1" s="1"/>
  <c r="Y410" i="1" s="1" a="1"/>
  <c r="Y410" i="1" s="1"/>
  <c r="BL360" i="1" l="1"/>
  <c r="CB360" i="1" s="1"/>
  <c r="BZ360" i="1"/>
  <c r="AE360" i="1" a="1"/>
  <c r="AE360" i="1" s="1"/>
  <c r="AC361" i="1" s="1"/>
  <c r="AJ360" i="1" a="1"/>
  <c r="AJ360" i="1" s="1"/>
  <c r="AH361" i="1" s="1"/>
  <c r="BM360" i="1"/>
  <c r="CC360" i="1" s="1"/>
  <c r="CA360" i="1"/>
  <c r="AB561" i="1"/>
  <c r="KD561" i="1" s="1"/>
  <c r="AA561" i="1"/>
  <c r="BL448" i="1"/>
  <c r="BZ448" i="1"/>
  <c r="CA448" i="1"/>
  <c r="BM448" i="1"/>
  <c r="AB410" i="1"/>
  <c r="KD410" i="1" s="1"/>
  <c r="AA410" i="1"/>
  <c r="KC410" i="1" s="1"/>
  <c r="Z410" i="1" s="1" a="1"/>
  <c r="Z410" i="1" s="1"/>
  <c r="Y411" i="1" s="1" a="1"/>
  <c r="Y411" i="1" s="1"/>
  <c r="Z561" i="1" l="1" a="1"/>
  <c r="Z561" i="1" s="1"/>
  <c r="Y562" i="1" s="1" a="1"/>
  <c r="Y562" i="1" s="1"/>
  <c r="KC561" i="1"/>
  <c r="AI361" i="1" a="1"/>
  <c r="AI361" i="1" s="1"/>
  <c r="AD361" i="1" a="1"/>
  <c r="AD361" i="1" s="1"/>
  <c r="CE361" i="1"/>
  <c r="CD361" i="1"/>
  <c r="CC448" i="1"/>
  <c r="BO448" i="1"/>
  <c r="CE448" i="1" s="1"/>
  <c r="CB448" i="1"/>
  <c r="BN448" i="1"/>
  <c r="AA411" i="1"/>
  <c r="KC411" i="1" s="1"/>
  <c r="Z411" i="1" s="1" a="1"/>
  <c r="Z411" i="1" s="1"/>
  <c r="Y412" i="1" s="1" a="1"/>
  <c r="Y412" i="1" s="1"/>
  <c r="AB411" i="1"/>
  <c r="KD411" i="1" s="1"/>
  <c r="AA562" i="1" l="1"/>
  <c r="KC562" i="1" s="1"/>
  <c r="Z562" i="1" s="1" a="1"/>
  <c r="Z562" i="1" s="1"/>
  <c r="AB562" i="1"/>
  <c r="KD562" i="1" s="1"/>
  <c r="AF361" i="1"/>
  <c r="AG361" i="1"/>
  <c r="MA361" i="1" s="1"/>
  <c r="AL361" i="1"/>
  <c r="AK361" i="1"/>
  <c r="AJ448" i="1" a="1"/>
  <c r="AJ448" i="1" s="1"/>
  <c r="AH449" i="1" s="1"/>
  <c r="AE448" i="1" a="1"/>
  <c r="AE448" i="1" s="1"/>
  <c r="AC449" i="1" s="1"/>
  <c r="CD448" i="1"/>
  <c r="AB412" i="1"/>
  <c r="KD412" i="1" s="1"/>
  <c r="AA412" i="1"/>
  <c r="KC412" i="1" s="1"/>
  <c r="Z412" i="1" s="1" a="1"/>
  <c r="Z412" i="1" s="1"/>
  <c r="Y413" i="1" s="1" a="1"/>
  <c r="Y413" i="1" s="1"/>
  <c r="BP361" i="1" l="1"/>
  <c r="CF361" i="1"/>
  <c r="BQ361" i="1"/>
  <c r="CG361" i="1"/>
  <c r="BG361" i="1"/>
  <c r="BU361" i="1"/>
  <c r="BF361" i="1"/>
  <c r="BT361" i="1"/>
  <c r="AI449" i="1" a="1"/>
  <c r="AI449" i="1" s="1"/>
  <c r="AD449" i="1" a="1"/>
  <c r="AD449" i="1" s="1"/>
  <c r="AB413" i="1"/>
  <c r="KD413" i="1" s="1"/>
  <c r="AA413" i="1"/>
  <c r="KC413" i="1" s="1"/>
  <c r="Z413" i="1" s="1" a="1"/>
  <c r="Z413" i="1" s="1"/>
  <c r="Y414" i="1" s="1" a="1"/>
  <c r="Y414" i="1" s="1"/>
  <c r="BH361" i="1" l="1"/>
  <c r="BV361" i="1"/>
  <c r="BI361" i="1"/>
  <c r="BW361" i="1"/>
  <c r="BS361" i="1"/>
  <c r="CK361" i="1" s="1"/>
  <c r="CI361" i="1"/>
  <c r="BR361" i="1"/>
  <c r="CJ361" i="1" s="1"/>
  <c r="CH361" i="1"/>
  <c r="AL449" i="1"/>
  <c r="BQ449" i="1" s="1"/>
  <c r="BS449" i="1" s="1"/>
  <c r="AK449" i="1"/>
  <c r="BP449" i="1" s="1"/>
  <c r="BR449" i="1" s="1"/>
  <c r="AF449" i="1"/>
  <c r="AG449" i="1"/>
  <c r="MA449" i="1" s="1"/>
  <c r="AB414" i="1"/>
  <c r="KD414" i="1" s="1"/>
  <c r="AA414" i="1"/>
  <c r="KC414" i="1" s="1"/>
  <c r="Z414" i="1" s="1" a="1"/>
  <c r="Z414" i="1" s="1"/>
  <c r="Y415" i="1" s="1" a="1"/>
  <c r="Y415" i="1" s="1"/>
  <c r="BK361" i="1" l="1"/>
  <c r="BY361" i="1"/>
  <c r="BJ361" i="1"/>
  <c r="BX361" i="1"/>
  <c r="CF449" i="1"/>
  <c r="BG449" i="1"/>
  <c r="BU449" i="1"/>
  <c r="BF449" i="1"/>
  <c r="BT449" i="1"/>
  <c r="AB415" i="1"/>
  <c r="KD415" i="1" s="1"/>
  <c r="AA415" i="1"/>
  <c r="KC415" i="1" s="1"/>
  <c r="Z415" i="1" s="1" a="1"/>
  <c r="Z415" i="1" s="1"/>
  <c r="Y416" i="1" s="1" a="1"/>
  <c r="Y416" i="1" s="1"/>
  <c r="BL361" i="1" l="1"/>
  <c r="CB361" i="1" s="1"/>
  <c r="BZ361" i="1"/>
  <c r="AJ361" i="1" a="1"/>
  <c r="AJ361" i="1" s="1"/>
  <c r="AE361" i="1" a="1"/>
  <c r="AE361" i="1" s="1"/>
  <c r="AC362" i="1" s="1"/>
  <c r="BM361" i="1"/>
  <c r="CC361" i="1" s="1"/>
  <c r="CA361" i="1"/>
  <c r="CJ449" i="1"/>
  <c r="CH449" i="1"/>
  <c r="BH449" i="1"/>
  <c r="BV449" i="1"/>
  <c r="BI449" i="1"/>
  <c r="BW449" i="1"/>
  <c r="AA416" i="1"/>
  <c r="KC416" i="1" s="1"/>
  <c r="Z416" i="1" s="1" a="1"/>
  <c r="Z416" i="1" s="1"/>
  <c r="Y417" i="1" s="1" a="1"/>
  <c r="Y417" i="1" s="1"/>
  <c r="AB416" i="1"/>
  <c r="KD416" i="1" s="1"/>
  <c r="CB362" i="1" l="1"/>
  <c r="CE362" i="1"/>
  <c r="CD362" i="1"/>
  <c r="CC362" i="1"/>
  <c r="AH362" i="1"/>
  <c r="AD362" i="1" a="1"/>
  <c r="AD362" i="1" s="1"/>
  <c r="CG449" i="1"/>
  <c r="BK449" i="1"/>
  <c r="BY449" i="1"/>
  <c r="BJ449" i="1"/>
  <c r="BX449" i="1"/>
  <c r="AA417" i="1"/>
  <c r="KC417" i="1" s="1"/>
  <c r="Z417" i="1" s="1" a="1"/>
  <c r="Z417" i="1" s="1"/>
  <c r="Y418" i="1" s="1" a="1"/>
  <c r="Y418" i="1" s="1"/>
  <c r="AB417" i="1"/>
  <c r="KD417" i="1" s="1"/>
  <c r="AI362" i="1" l="1" a="1"/>
  <c r="AI362" i="1" s="1"/>
  <c r="AK362" i="1" s="1"/>
  <c r="AG362" i="1"/>
  <c r="MA362" i="1" s="1"/>
  <c r="AF362" i="1"/>
  <c r="CK449" i="1"/>
  <c r="CI449" i="1"/>
  <c r="BL449" i="1"/>
  <c r="BZ449" i="1"/>
  <c r="BM449" i="1"/>
  <c r="CA449" i="1"/>
  <c r="AB418" i="1"/>
  <c r="KD418" i="1" s="1"/>
  <c r="AA418" i="1"/>
  <c r="KC418" i="1" s="1"/>
  <c r="Z418" i="1" s="1" a="1"/>
  <c r="Z418" i="1" s="1"/>
  <c r="Y419" i="1" s="1" a="1"/>
  <c r="Y419" i="1" s="1"/>
  <c r="BP362" i="1" l="1"/>
  <c r="CF362" i="1"/>
  <c r="BG362" i="1"/>
  <c r="BU362" i="1"/>
  <c r="AL362" i="1"/>
  <c r="BF362" i="1"/>
  <c r="BT362" i="1"/>
  <c r="BO449" i="1"/>
  <c r="CE449" i="1" s="1"/>
  <c r="CC449" i="1"/>
  <c r="BN449" i="1"/>
  <c r="CB449" i="1"/>
  <c r="AA419" i="1"/>
  <c r="KC419" i="1" s="1"/>
  <c r="Z419" i="1" s="1" a="1"/>
  <c r="Z419" i="1" s="1"/>
  <c r="Y420" i="1" s="1" a="1"/>
  <c r="Y420" i="1" s="1"/>
  <c r="AB419" i="1"/>
  <c r="KD419" i="1" s="1"/>
  <c r="BH362" i="1" l="1"/>
  <c r="BV362" i="1"/>
  <c r="BQ362" i="1"/>
  <c r="CG362" i="1"/>
  <c r="BI362" i="1"/>
  <c r="BW362" i="1"/>
  <c r="BR362" i="1"/>
  <c r="CJ362" i="1" s="1"/>
  <c r="CH362" i="1"/>
  <c r="CD449" i="1"/>
  <c r="AJ449" i="1" a="1"/>
  <c r="AJ449" i="1" s="1"/>
  <c r="AH450" i="1" s="1"/>
  <c r="AE449" i="1" a="1"/>
  <c r="AE449" i="1" s="1"/>
  <c r="AC450" i="1" s="1"/>
  <c r="AB420" i="1"/>
  <c r="KD420" i="1" s="1"/>
  <c r="AA420" i="1"/>
  <c r="KC420" i="1" s="1"/>
  <c r="Z420" i="1" s="1" a="1"/>
  <c r="Z420" i="1" s="1"/>
  <c r="Y421" i="1" s="1" a="1"/>
  <c r="Y421" i="1" s="1"/>
  <c r="BK362" i="1" l="1"/>
  <c r="CA362" i="1" s="1"/>
  <c r="BY362" i="1"/>
  <c r="BS362" i="1"/>
  <c r="CK362" i="1" s="1"/>
  <c r="CI362" i="1"/>
  <c r="BJ362" i="1"/>
  <c r="BX362" i="1"/>
  <c r="AD450" i="1" a="1"/>
  <c r="AD450" i="1" s="1"/>
  <c r="AI450" i="1" a="1"/>
  <c r="AI450" i="1" s="1"/>
  <c r="AB421" i="1"/>
  <c r="KD421" i="1" s="1"/>
  <c r="AA421" i="1"/>
  <c r="KC421" i="1" s="1"/>
  <c r="Z421" i="1" s="1" a="1"/>
  <c r="Z421" i="1" s="1"/>
  <c r="Y422" i="1" s="1" a="1"/>
  <c r="Y422" i="1" s="1"/>
  <c r="BZ362" i="1" l="1"/>
  <c r="AE362" i="1" a="1"/>
  <c r="AE362" i="1" s="1"/>
  <c r="AJ362" i="1" a="1"/>
  <c r="AJ362" i="1" s="1"/>
  <c r="AH363" i="1" s="1"/>
  <c r="AL450" i="1"/>
  <c r="BQ450" i="1" s="1"/>
  <c r="BS450" i="1" s="1"/>
  <c r="AK450" i="1"/>
  <c r="BP450" i="1" s="1"/>
  <c r="BR450" i="1" s="1"/>
  <c r="AF450" i="1"/>
  <c r="AG450" i="1"/>
  <c r="MA450" i="1" s="1"/>
  <c r="AB422" i="1"/>
  <c r="KD422" i="1" s="1"/>
  <c r="AA422" i="1"/>
  <c r="KC422" i="1" s="1"/>
  <c r="Z422" i="1" s="1" a="1"/>
  <c r="Z422" i="1" s="1"/>
  <c r="Y423" i="1" s="1" a="1"/>
  <c r="Y423" i="1" s="1"/>
  <c r="AI363" i="1" l="1" a="1"/>
  <c r="AI363" i="1" s="1"/>
  <c r="AL363" i="1" s="1"/>
  <c r="AD363" i="1" a="1"/>
  <c r="AD363" i="1" s="1"/>
  <c r="CE363" i="1"/>
  <c r="CD363" i="1"/>
  <c r="CC363" i="1"/>
  <c r="CB363" i="1"/>
  <c r="BG450" i="1"/>
  <c r="BU450" i="1"/>
  <c r="BF450" i="1"/>
  <c r="BT450" i="1"/>
  <c r="CF450" i="1"/>
  <c r="AA423" i="1"/>
  <c r="KC423" i="1" s="1"/>
  <c r="Z423" i="1" s="1" a="1"/>
  <c r="Z423" i="1" s="1"/>
  <c r="AB423" i="1"/>
  <c r="KD423" i="1" s="1"/>
  <c r="BQ363" i="1" l="1"/>
  <c r="CG363" i="1"/>
  <c r="AF363" i="1"/>
  <c r="AG363" i="1"/>
  <c r="MA363" i="1" s="1"/>
  <c r="AK363" i="1"/>
  <c r="CJ450" i="1"/>
  <c r="CH450" i="1"/>
  <c r="BH450" i="1"/>
  <c r="BV450" i="1"/>
  <c r="BI450" i="1"/>
  <c r="BW450" i="1"/>
  <c r="AB424" i="1"/>
  <c r="AA424" i="1"/>
  <c r="BP363" i="1" l="1"/>
  <c r="CF363" i="1"/>
  <c r="BG363" i="1"/>
  <c r="BU363" i="1"/>
  <c r="BF363" i="1"/>
  <c r="BT363" i="1"/>
  <c r="BS363" i="1"/>
  <c r="CK363" i="1" s="1"/>
  <c r="CI363" i="1"/>
  <c r="CG450" i="1"/>
  <c r="BJ450" i="1"/>
  <c r="BX450" i="1"/>
  <c r="BK450" i="1"/>
  <c r="BY450" i="1"/>
  <c r="PA424" i="1"/>
  <c r="OQ424" i="1"/>
  <c r="PB424" i="1"/>
  <c r="OR424" i="1"/>
  <c r="BH363" i="1" l="1"/>
  <c r="BV363" i="1"/>
  <c r="BI363" i="1"/>
  <c r="BW363" i="1"/>
  <c r="BR363" i="1"/>
  <c r="CJ363" i="1" s="1"/>
  <c r="CH363" i="1"/>
  <c r="CK450" i="1"/>
  <c r="CI450" i="1"/>
  <c r="BM450" i="1"/>
  <c r="CA450" i="1"/>
  <c r="BL450" i="1"/>
  <c r="BZ450" i="1"/>
  <c r="OS424" i="1"/>
  <c r="PC424" i="1"/>
  <c r="PD424" i="1"/>
  <c r="OT424" i="1"/>
  <c r="BK363" i="1" l="1"/>
  <c r="CA363" i="1" s="1"/>
  <c r="BY363" i="1"/>
  <c r="BJ363" i="1"/>
  <c r="BX363" i="1"/>
  <c r="BN450" i="1"/>
  <c r="CB450" i="1"/>
  <c r="BO450" i="1"/>
  <c r="CE450" i="1" s="1"/>
  <c r="CC450" i="1"/>
  <c r="PF424" i="1"/>
  <c r="OV424" i="1"/>
  <c r="PH424" i="1" s="1"/>
  <c r="PE424" i="1"/>
  <c r="OU424" i="1"/>
  <c r="BZ363" i="1" l="1"/>
  <c r="AE363" i="1" a="1"/>
  <c r="AE363" i="1" s="1"/>
  <c r="AC364" i="1" s="1"/>
  <c r="AJ363" i="1" a="1"/>
  <c r="AJ363" i="1" s="1"/>
  <c r="AH364" i="1" s="1"/>
  <c r="CD450" i="1"/>
  <c r="AJ450" i="1" a="1"/>
  <c r="AJ450" i="1" s="1"/>
  <c r="AH451" i="1" s="1"/>
  <c r="AE450" i="1" a="1"/>
  <c r="AE450" i="1" s="1"/>
  <c r="AC451" i="1" s="1"/>
  <c r="Z424" i="1" a="1"/>
  <c r="Z424" i="1" s="1"/>
  <c r="Y425" i="1" s="1" a="1"/>
  <c r="Y425" i="1" s="1"/>
  <c r="PG424" i="1"/>
  <c r="AI364" i="1" l="1" a="1"/>
  <c r="AI364" i="1" s="1"/>
  <c r="AL364" i="1" s="1"/>
  <c r="AD364" i="1" a="1"/>
  <c r="AD364" i="1" s="1"/>
  <c r="AD451" i="1" a="1"/>
  <c r="AD451" i="1" s="1"/>
  <c r="AI451" i="1" a="1"/>
  <c r="AI451" i="1" s="1"/>
  <c r="AB425" i="1"/>
  <c r="AA425" i="1"/>
  <c r="EX364" i="1" l="1"/>
  <c r="FH364" i="1" s="1"/>
  <c r="FF364" i="1"/>
  <c r="AK364" i="1"/>
  <c r="AF364" i="1"/>
  <c r="AG364" i="1"/>
  <c r="MA364" i="1" s="1"/>
  <c r="AL451" i="1"/>
  <c r="BQ451" i="1" s="1"/>
  <c r="BS451" i="1" s="1"/>
  <c r="AK451" i="1"/>
  <c r="BP451" i="1" s="1"/>
  <c r="BR451" i="1" s="1"/>
  <c r="AF451" i="1"/>
  <c r="AG451" i="1"/>
  <c r="MA451" i="1" s="1"/>
  <c r="OQ425" i="1"/>
  <c r="PA425" i="1"/>
  <c r="OR425" i="1"/>
  <c r="PB425" i="1"/>
  <c r="ET364" i="1" l="1"/>
  <c r="EZ364" i="1"/>
  <c r="ES364" i="1"/>
  <c r="EY364" i="1"/>
  <c r="EW364" i="1"/>
  <c r="FG364" i="1" s="1"/>
  <c r="FE364" i="1"/>
  <c r="BG451" i="1"/>
  <c r="BU451" i="1"/>
  <c r="CF451" i="1"/>
  <c r="BF451" i="1"/>
  <c r="BT451" i="1"/>
  <c r="OT425" i="1"/>
  <c r="PD425" i="1"/>
  <c r="OS425" i="1"/>
  <c r="PC425" i="1"/>
  <c r="EU364" i="1" l="1"/>
  <c r="FC364" i="1" s="1"/>
  <c r="AE364" i="1" a="1"/>
  <c r="AE364" i="1" s="1"/>
  <c r="AC365" i="1" s="1"/>
  <c r="AJ364" i="1" a="1"/>
  <c r="AJ364" i="1" s="1"/>
  <c r="FA364" i="1"/>
  <c r="EV364" i="1"/>
  <c r="FD364" i="1" s="1"/>
  <c r="FB364" i="1"/>
  <c r="BH451" i="1"/>
  <c r="BV451" i="1"/>
  <c r="CJ451" i="1"/>
  <c r="CH451" i="1"/>
  <c r="BI451" i="1"/>
  <c r="BW451" i="1"/>
  <c r="OU425" i="1"/>
  <c r="PE425" i="1"/>
  <c r="OV425" i="1"/>
  <c r="PH425" i="1" s="1"/>
  <c r="PF425" i="1"/>
  <c r="AD365" i="1" l="1" a="1"/>
  <c r="AD365" i="1" s="1"/>
  <c r="AG365" i="1" s="1"/>
  <c r="MA365" i="1" s="1"/>
  <c r="AE365" i="1" s="1" a="1"/>
  <c r="AE365" i="1" s="1"/>
  <c r="CG451" i="1"/>
  <c r="BK451" i="1"/>
  <c r="BY451" i="1"/>
  <c r="BJ451" i="1"/>
  <c r="BX451" i="1"/>
  <c r="Z425" i="1" a="1"/>
  <c r="Z425" i="1" s="1"/>
  <c r="Y426" i="1" s="1" a="1"/>
  <c r="Y426" i="1" s="1"/>
  <c r="PG425" i="1"/>
  <c r="AF365" i="1" l="1"/>
  <c r="AC366" i="1"/>
  <c r="CK451" i="1"/>
  <c r="CI451" i="1"/>
  <c r="BL451" i="1"/>
  <c r="BZ451" i="1"/>
  <c r="BM451" i="1"/>
  <c r="CA451" i="1"/>
  <c r="AA426" i="1"/>
  <c r="AB426" i="1"/>
  <c r="AD366" i="1" l="1" a="1"/>
  <c r="AD366" i="1" s="1"/>
  <c r="BO451" i="1"/>
  <c r="CE451" i="1" s="1"/>
  <c r="CC451" i="1"/>
  <c r="BN451" i="1"/>
  <c r="CB451" i="1"/>
  <c r="OR426" i="1"/>
  <c r="PB426" i="1"/>
  <c r="OQ426" i="1"/>
  <c r="PA426" i="1"/>
  <c r="AG366" i="1" l="1"/>
  <c r="AF366" i="1"/>
  <c r="CD451" i="1"/>
  <c r="AE451" i="1" a="1"/>
  <c r="AE451" i="1" s="1"/>
  <c r="AC452" i="1" s="1"/>
  <c r="AJ451" i="1" a="1"/>
  <c r="AJ451" i="1" s="1"/>
  <c r="AH452" i="1" s="1"/>
  <c r="OS426" i="1"/>
  <c r="PC426" i="1"/>
  <c r="OT426" i="1"/>
  <c r="PD426" i="1"/>
  <c r="VV366" i="1" l="1"/>
  <c r="VZ366" i="1" s="1"/>
  <c r="VY366" i="1"/>
  <c r="WB366" i="1"/>
  <c r="MA366" i="1"/>
  <c r="VW366" i="1"/>
  <c r="VX366" i="1"/>
  <c r="AI452" i="1" a="1"/>
  <c r="AI452" i="1" s="1"/>
  <c r="AD452" i="1" a="1"/>
  <c r="AD452" i="1" s="1"/>
  <c r="OV426" i="1"/>
  <c r="PF426" i="1"/>
  <c r="OU426" i="1"/>
  <c r="PE426" i="1"/>
  <c r="WC366" i="1" l="1"/>
  <c r="WA366" i="1"/>
  <c r="AE366" i="1" s="1" a="1"/>
  <c r="AE366" i="1" s="1"/>
  <c r="AD369" i="1" s="1" a="1"/>
  <c r="AD369" i="1" s="1"/>
  <c r="AG369" i="1" s="1"/>
  <c r="MA369" i="1" s="1"/>
  <c r="AL452" i="1"/>
  <c r="BQ452" i="1" s="1"/>
  <c r="BS452" i="1" s="1"/>
  <c r="AK452" i="1"/>
  <c r="BP452" i="1" s="1"/>
  <c r="BR452" i="1" s="1"/>
  <c r="AF452" i="1"/>
  <c r="AG452" i="1"/>
  <c r="MA452" i="1" s="1"/>
  <c r="OW426" i="1"/>
  <c r="PG426" i="1"/>
  <c r="OX426" i="1"/>
  <c r="PH426" i="1"/>
  <c r="AF369" i="1" l="1"/>
  <c r="LZ369" i="1" s="1"/>
  <c r="AE369" i="1" s="1" a="1"/>
  <c r="AE369" i="1" s="1"/>
  <c r="AC370" i="1" s="1"/>
  <c r="AD370" i="1" s="1" a="1"/>
  <c r="AD370" i="1" s="1"/>
  <c r="AG370" i="1" s="1"/>
  <c r="CF452" i="1"/>
  <c r="BG452" i="1"/>
  <c r="BU452" i="1"/>
  <c r="BF452" i="1"/>
  <c r="BT452" i="1"/>
  <c r="OZ426" i="1"/>
  <c r="PL426" i="1" s="1"/>
  <c r="PJ426" i="1"/>
  <c r="OY426" i="1"/>
  <c r="PI426" i="1"/>
  <c r="MA370" i="1" l="1"/>
  <c r="AF370" i="1"/>
  <c r="LZ370" i="1" s="1"/>
  <c r="AE370" i="1" s="1" a="1"/>
  <c r="AE370" i="1" s="1"/>
  <c r="AC371" i="1" s="1"/>
  <c r="BI452" i="1"/>
  <c r="BW452" i="1"/>
  <c r="BH452" i="1"/>
  <c r="BV452" i="1"/>
  <c r="CJ452" i="1"/>
  <c r="CH452" i="1"/>
  <c r="Z426" i="1" a="1"/>
  <c r="Z426" i="1" s="1"/>
  <c r="Y501" i="1" s="1" a="1"/>
  <c r="Y501" i="1" s="1"/>
  <c r="PK426" i="1"/>
  <c r="AD371" i="1" l="1" a="1"/>
  <c r="AD371" i="1" s="1"/>
  <c r="CG452" i="1"/>
  <c r="BJ452" i="1"/>
  <c r="BX452" i="1"/>
  <c r="BK452" i="1"/>
  <c r="BY452" i="1"/>
  <c r="Y427" i="1" a="1"/>
  <c r="Y427" i="1" s="1"/>
  <c r="AB427" i="1" s="1"/>
  <c r="KD427" i="1" s="1"/>
  <c r="Y429" i="1" a="1"/>
  <c r="Y429" i="1" s="1"/>
  <c r="AG371" i="1" l="1"/>
  <c r="MA371" i="1" s="1"/>
  <c r="AF371" i="1"/>
  <c r="LZ371" i="1" s="1"/>
  <c r="AE371" i="1" s="1" a="1"/>
  <c r="AE371" i="1" s="1"/>
  <c r="AC372" i="1" s="1"/>
  <c r="CK452" i="1"/>
  <c r="CI452" i="1"/>
  <c r="BM452" i="1"/>
  <c r="CA452" i="1"/>
  <c r="BL452" i="1"/>
  <c r="BZ452" i="1"/>
  <c r="AA427" i="1"/>
  <c r="KC427" i="1" s="1"/>
  <c r="AB429" i="1"/>
  <c r="AA429" i="1"/>
  <c r="Z427" i="1" a="1"/>
  <c r="Z427" i="1" s="1"/>
  <c r="Y428" i="1" s="1" a="1"/>
  <c r="Y428" i="1" s="1"/>
  <c r="AD372" i="1" l="1" a="1"/>
  <c r="AD372" i="1" s="1"/>
  <c r="BO452" i="1"/>
  <c r="CE452" i="1" s="1"/>
  <c r="CC452" i="1"/>
  <c r="BN452" i="1"/>
  <c r="CB452" i="1"/>
  <c r="PA429" i="1"/>
  <c r="OQ429" i="1"/>
  <c r="PB429" i="1"/>
  <c r="OR429" i="1"/>
  <c r="AB428" i="1"/>
  <c r="QF428" i="1" s="1"/>
  <c r="AA428" i="1"/>
  <c r="QG428" i="1" s="1"/>
  <c r="AG372" i="1" l="1"/>
  <c r="MA372" i="1" s="1"/>
  <c r="AF372" i="1"/>
  <c r="LZ372" i="1" s="1"/>
  <c r="AE372" i="1" s="1" a="1"/>
  <c r="AE372" i="1" s="1"/>
  <c r="AC373" i="1" s="1"/>
  <c r="CD452" i="1"/>
  <c r="AJ452" i="1" a="1"/>
  <c r="AJ452" i="1" s="1"/>
  <c r="AH453" i="1" s="1"/>
  <c r="AE452" i="1" a="1"/>
  <c r="AE452" i="1" s="1"/>
  <c r="AC453" i="1" s="1"/>
  <c r="OT429" i="1"/>
  <c r="PD429" i="1"/>
  <c r="PC429" i="1"/>
  <c r="OS429" i="1"/>
  <c r="RB428" i="1"/>
  <c r="RC428" i="1"/>
  <c r="QH428" i="1"/>
  <c r="RD428" i="1"/>
  <c r="QI428" i="1"/>
  <c r="RE428" i="1"/>
  <c r="AD373" i="1" l="1" a="1"/>
  <c r="AD373" i="1" s="1"/>
  <c r="AD453" i="1" a="1"/>
  <c r="AD453" i="1" s="1"/>
  <c r="AI453" i="1" a="1"/>
  <c r="AI453" i="1" s="1"/>
  <c r="OU429" i="1"/>
  <c r="PE429" i="1"/>
  <c r="PF429" i="1"/>
  <c r="OV429" i="1"/>
  <c r="PH429" i="1" s="1"/>
  <c r="QK428" i="1"/>
  <c r="RG428" i="1"/>
  <c r="QJ428" i="1"/>
  <c r="RF428" i="1"/>
  <c r="AG373" i="1" l="1"/>
  <c r="MA373" i="1" s="1"/>
  <c r="AF373" i="1"/>
  <c r="LZ373" i="1" s="1"/>
  <c r="AE373" i="1" s="1" a="1"/>
  <c r="AE373" i="1" s="1"/>
  <c r="AC374" i="1" s="1"/>
  <c r="AL453" i="1"/>
  <c r="BQ453" i="1" s="1"/>
  <c r="BS453" i="1" s="1"/>
  <c r="AK453" i="1"/>
  <c r="BP453" i="1" s="1"/>
  <c r="BR453" i="1" s="1"/>
  <c r="AF453" i="1"/>
  <c r="AG453" i="1"/>
  <c r="MA453" i="1" s="1"/>
  <c r="PG429" i="1"/>
  <c r="Z429" i="1" a="1"/>
  <c r="Z429" i="1" s="1"/>
  <c r="Y430" i="1" s="1" a="1"/>
  <c r="Y430" i="1" s="1"/>
  <c r="QL428" i="1"/>
  <c r="RH428" i="1"/>
  <c r="QM428" i="1"/>
  <c r="RI428" i="1"/>
  <c r="BF453" i="1" l="1"/>
  <c r="BT453" i="1"/>
  <c r="BG453" i="1"/>
  <c r="BU453" i="1"/>
  <c r="CF453" i="1"/>
  <c r="AB430" i="1"/>
  <c r="AA430" i="1"/>
  <c r="QO428" i="1"/>
  <c r="RM428" i="1" s="1"/>
  <c r="RK428" i="1"/>
  <c r="QN428" i="1"/>
  <c r="RJ428" i="1"/>
  <c r="BI453" i="1" l="1"/>
  <c r="BW453" i="1"/>
  <c r="BH453" i="1"/>
  <c r="BV453" i="1"/>
  <c r="CJ453" i="1"/>
  <c r="CH453" i="1"/>
  <c r="PA430" i="1"/>
  <c r="OQ430" i="1"/>
  <c r="OR430" i="1"/>
  <c r="PB430" i="1"/>
  <c r="Z428" i="1" a="1"/>
  <c r="Z428" i="1" s="1"/>
  <c r="Y432" i="1" s="1" a="1"/>
  <c r="Y432" i="1" s="1"/>
  <c r="RL428" i="1"/>
  <c r="AD374" i="1" l="1" a="1"/>
  <c r="AD374" i="1" s="1"/>
  <c r="CG453" i="1"/>
  <c r="BJ453" i="1"/>
  <c r="BX453" i="1"/>
  <c r="BK453" i="1"/>
  <c r="BY453" i="1"/>
  <c r="AB432" i="1"/>
  <c r="KD432" i="1" s="1"/>
  <c r="AA432" i="1"/>
  <c r="KC432" i="1" s="1"/>
  <c r="Z432" i="1" s="1" a="1"/>
  <c r="Z432" i="1" s="1"/>
  <c r="Y433" i="1" s="1" a="1"/>
  <c r="Y433" i="1" s="1"/>
  <c r="OT430" i="1"/>
  <c r="PD430" i="1"/>
  <c r="OS430" i="1"/>
  <c r="PC430" i="1"/>
  <c r="AG374" i="1" l="1"/>
  <c r="MA374" i="1" s="1"/>
  <c r="AF374" i="1"/>
  <c r="LZ374" i="1" s="1"/>
  <c r="AE374" i="1" s="1" a="1"/>
  <c r="AE374" i="1" s="1"/>
  <c r="AC375" i="1" s="1"/>
  <c r="CI453" i="1"/>
  <c r="CK453" i="1"/>
  <c r="BM453" i="1"/>
  <c r="CA453" i="1"/>
  <c r="BL453" i="1"/>
  <c r="BZ453" i="1"/>
  <c r="AB433" i="1"/>
  <c r="AA433" i="1"/>
  <c r="OU430" i="1"/>
  <c r="PE430" i="1"/>
  <c r="PF430" i="1"/>
  <c r="OV430" i="1"/>
  <c r="PH430" i="1" s="1"/>
  <c r="AD375" i="1" l="1" a="1"/>
  <c r="AD375" i="1" s="1"/>
  <c r="BN453" i="1"/>
  <c r="CB453" i="1"/>
  <c r="BO453" i="1"/>
  <c r="CE453" i="1" s="1"/>
  <c r="CC453" i="1"/>
  <c r="PG430" i="1"/>
  <c r="Z430" i="1" a="1"/>
  <c r="Z430" i="1" s="1"/>
  <c r="Y431" i="1" s="1" a="1"/>
  <c r="Y431" i="1" s="1"/>
  <c r="QG433" i="1"/>
  <c r="RC433" i="1"/>
  <c r="QF433" i="1"/>
  <c r="RB433" i="1"/>
  <c r="AF375" i="1" l="1"/>
  <c r="LZ375" i="1" s="1"/>
  <c r="AE375" i="1" s="1" a="1"/>
  <c r="AE375" i="1" s="1"/>
  <c r="AC376" i="1" s="1"/>
  <c r="AG375" i="1"/>
  <c r="MA375" i="1" s="1"/>
  <c r="CD453" i="1"/>
  <c r="AE453" i="1" a="1"/>
  <c r="AE453" i="1" s="1"/>
  <c r="AC454" i="1" s="1"/>
  <c r="AJ453" i="1" a="1"/>
  <c r="AJ453" i="1" s="1"/>
  <c r="AH454" i="1" s="1"/>
  <c r="QH433" i="1"/>
  <c r="RD433" i="1"/>
  <c r="QI433" i="1"/>
  <c r="RE433" i="1"/>
  <c r="AB431" i="1"/>
  <c r="AA431" i="1"/>
  <c r="AD376" i="1" l="1" a="1"/>
  <c r="AD376" i="1" s="1"/>
  <c r="AI454" i="1" a="1"/>
  <c r="AI454" i="1" s="1"/>
  <c r="AD454" i="1" a="1"/>
  <c r="AD454" i="1" s="1"/>
  <c r="OR431" i="1"/>
  <c r="PB431" i="1"/>
  <c r="QK433" i="1"/>
  <c r="RG433" i="1"/>
  <c r="OQ431" i="1"/>
  <c r="PA431" i="1"/>
  <c r="QJ433" i="1"/>
  <c r="RF433" i="1"/>
  <c r="AG376" i="1" l="1"/>
  <c r="MA376" i="1" s="1"/>
  <c r="AF376" i="1"/>
  <c r="LZ376" i="1" s="1"/>
  <c r="AE376" i="1" s="1" a="1"/>
  <c r="AE376" i="1" s="1"/>
  <c r="AL454" i="1"/>
  <c r="BQ454" i="1" s="1"/>
  <c r="BS454" i="1" s="1"/>
  <c r="AK454" i="1"/>
  <c r="BP454" i="1" s="1"/>
  <c r="BR454" i="1" s="1"/>
  <c r="AF454" i="1"/>
  <c r="AG454" i="1"/>
  <c r="MA454" i="1" s="1"/>
  <c r="QL433" i="1"/>
  <c r="RH433" i="1"/>
  <c r="QM433" i="1"/>
  <c r="RI433" i="1"/>
  <c r="OS431" i="1"/>
  <c r="PC431" i="1"/>
  <c r="OT431" i="1"/>
  <c r="PD431" i="1"/>
  <c r="CF454" i="1" l="1"/>
  <c r="BG454" i="1"/>
  <c r="BU454" i="1"/>
  <c r="BF454" i="1"/>
  <c r="BT454" i="1"/>
  <c r="OV431" i="1"/>
  <c r="PF431" i="1"/>
  <c r="QO433" i="1"/>
  <c r="RM433" i="1" s="1"/>
  <c r="RK433" i="1"/>
  <c r="OU431" i="1"/>
  <c r="PE431" i="1"/>
  <c r="QN433" i="1"/>
  <c r="RJ433" i="1"/>
  <c r="BH454" i="1" l="1"/>
  <c r="BV454" i="1"/>
  <c r="BI454" i="1"/>
  <c r="BW454" i="1"/>
  <c r="CJ454" i="1"/>
  <c r="CH454" i="1"/>
  <c r="OW431" i="1"/>
  <c r="PG431" i="1"/>
  <c r="RL433" i="1"/>
  <c r="Z433" i="1" a="1"/>
  <c r="Z433" i="1" s="1"/>
  <c r="OX431" i="1"/>
  <c r="PH431" i="1"/>
  <c r="CG454" i="1" l="1"/>
  <c r="BK454" i="1"/>
  <c r="BY454" i="1"/>
  <c r="BJ454" i="1"/>
  <c r="BX454" i="1"/>
  <c r="OZ431" i="1"/>
  <c r="PL431" i="1" s="1"/>
  <c r="PJ431" i="1"/>
  <c r="OY431" i="1"/>
  <c r="PI431" i="1"/>
  <c r="CI454" i="1" l="1"/>
  <c r="CK454" i="1"/>
  <c r="BL454" i="1"/>
  <c r="BZ454" i="1"/>
  <c r="BM454" i="1"/>
  <c r="CA454" i="1"/>
  <c r="PK431" i="1"/>
  <c r="Z431" i="1" a="1"/>
  <c r="Z431" i="1" s="1"/>
  <c r="Y434" i="1" s="1" a="1"/>
  <c r="Y434" i="1" s="1"/>
  <c r="CC454" i="1" l="1"/>
  <c r="BO454" i="1"/>
  <c r="CE454" i="1" s="1"/>
  <c r="BN454" i="1"/>
  <c r="CB454" i="1"/>
  <c r="AA434" i="1"/>
  <c r="AB434" i="1"/>
  <c r="CD454" i="1" l="1"/>
  <c r="AJ454" i="1" a="1"/>
  <c r="AJ454" i="1" s="1"/>
  <c r="AH455" i="1" s="1"/>
  <c r="AE454" i="1" a="1"/>
  <c r="AE454" i="1" s="1"/>
  <c r="AC455" i="1" s="1"/>
  <c r="PB434" i="1"/>
  <c r="OR434" i="1"/>
  <c r="PA434" i="1"/>
  <c r="OQ434" i="1"/>
  <c r="AD455" i="1" l="1" a="1"/>
  <c r="AD455" i="1" s="1"/>
  <c r="AI455" i="1" a="1"/>
  <c r="AI455" i="1" s="1"/>
  <c r="PD434" i="1"/>
  <c r="OT434" i="1"/>
  <c r="OS434" i="1"/>
  <c r="PC434" i="1"/>
  <c r="AL455" i="1" l="1"/>
  <c r="BQ455" i="1" s="1"/>
  <c r="BS455" i="1" s="1"/>
  <c r="AK455" i="1"/>
  <c r="BP455" i="1" s="1"/>
  <c r="BR455" i="1" s="1"/>
  <c r="AF455" i="1"/>
  <c r="AG455" i="1"/>
  <c r="MA455" i="1" s="1"/>
  <c r="OU434" i="1"/>
  <c r="PE434" i="1"/>
  <c r="OV434" i="1"/>
  <c r="PH434" i="1" s="1"/>
  <c r="PF434" i="1"/>
  <c r="BG455" i="1" l="1"/>
  <c r="BU455" i="1"/>
  <c r="BF455" i="1"/>
  <c r="BT455" i="1"/>
  <c r="CF455" i="1"/>
  <c r="PG434" i="1"/>
  <c r="Z434" i="1" a="1"/>
  <c r="Z434" i="1" s="1"/>
  <c r="Y435" i="1" s="1" a="1"/>
  <c r="Y435" i="1" s="1"/>
  <c r="CJ455" i="1" l="1"/>
  <c r="CH455" i="1"/>
  <c r="BH455" i="1"/>
  <c r="BV455" i="1"/>
  <c r="BI455" i="1"/>
  <c r="BW455" i="1"/>
  <c r="AB435" i="1"/>
  <c r="AA435" i="1"/>
  <c r="CG455" i="1" l="1"/>
  <c r="BK455" i="1"/>
  <c r="BY455" i="1"/>
  <c r="BX455" i="1"/>
  <c r="BJ455" i="1"/>
  <c r="OQ435" i="1"/>
  <c r="PA435" i="1"/>
  <c r="OR435" i="1"/>
  <c r="PB435" i="1"/>
  <c r="CK455" i="1" l="1"/>
  <c r="CI455" i="1"/>
  <c r="BL455" i="1"/>
  <c r="BZ455" i="1"/>
  <c r="CA455" i="1"/>
  <c r="BM455" i="1"/>
  <c r="OT435" i="1"/>
  <c r="PD435" i="1"/>
  <c r="OS435" i="1"/>
  <c r="PC435" i="1"/>
  <c r="BO455" i="1" l="1"/>
  <c r="CE455" i="1" s="1"/>
  <c r="CC455" i="1"/>
  <c r="CB455" i="1"/>
  <c r="BN455" i="1"/>
  <c r="OU435" i="1"/>
  <c r="PE435" i="1"/>
  <c r="OV435" i="1"/>
  <c r="PH435" i="1" s="1"/>
  <c r="PF435" i="1"/>
  <c r="CD455" i="1" l="1"/>
  <c r="AE455" i="1" a="1"/>
  <c r="AE455" i="1" s="1"/>
  <c r="AC456" i="1" s="1"/>
  <c r="AJ455" i="1" a="1"/>
  <c r="AJ455" i="1" s="1"/>
  <c r="AH456" i="1" s="1"/>
  <c r="PG435" i="1"/>
  <c r="Z435" i="1" a="1"/>
  <c r="Z435" i="1" s="1"/>
  <c r="Y436" i="1" s="1" a="1"/>
  <c r="Y436" i="1" s="1"/>
  <c r="AI456" i="1" l="1" a="1"/>
  <c r="AI456" i="1" s="1"/>
  <c r="AD456" i="1" a="1"/>
  <c r="AD456" i="1" s="1"/>
  <c r="AA436" i="1"/>
  <c r="AB436" i="1"/>
  <c r="AL456" i="1" l="1"/>
  <c r="BQ456" i="1" s="1"/>
  <c r="BS456" i="1" s="1"/>
  <c r="AK456" i="1"/>
  <c r="BP456" i="1" s="1"/>
  <c r="BR456" i="1" s="1"/>
  <c r="AF456" i="1"/>
  <c r="AG456" i="1"/>
  <c r="MA456" i="1" s="1"/>
  <c r="OQ436" i="1"/>
  <c r="PA436" i="1"/>
  <c r="OR436" i="1"/>
  <c r="PB436" i="1"/>
  <c r="BF456" i="1" l="1"/>
  <c r="BT456" i="1"/>
  <c r="BG456" i="1"/>
  <c r="BU456" i="1"/>
  <c r="CF456" i="1"/>
  <c r="OT436" i="1"/>
  <c r="PD436" i="1"/>
  <c r="OS436" i="1"/>
  <c r="PC436" i="1"/>
  <c r="CJ456" i="1" l="1"/>
  <c r="CH456" i="1"/>
  <c r="BI456" i="1"/>
  <c r="BW456" i="1"/>
  <c r="BH456" i="1"/>
  <c r="BV456" i="1"/>
  <c r="OU436" i="1"/>
  <c r="PE436" i="1"/>
  <c r="OV436" i="1"/>
  <c r="PF436" i="1"/>
  <c r="CG456" i="1" l="1"/>
  <c r="BX456" i="1"/>
  <c r="BJ456" i="1"/>
  <c r="BK456" i="1"/>
  <c r="BY456" i="1"/>
  <c r="OX436" i="1"/>
  <c r="PH436" i="1"/>
  <c r="OW436" i="1"/>
  <c r="PG436" i="1"/>
  <c r="CK456" i="1" l="1"/>
  <c r="CI456" i="1"/>
  <c r="CA456" i="1"/>
  <c r="BM456" i="1"/>
  <c r="BL456" i="1"/>
  <c r="BZ456" i="1"/>
  <c r="OY436" i="1"/>
  <c r="PI436" i="1"/>
  <c r="OZ436" i="1"/>
  <c r="PL436" i="1" s="1"/>
  <c r="PJ436" i="1"/>
  <c r="BN456" i="1" l="1"/>
  <c r="CB456" i="1"/>
  <c r="BO456" i="1"/>
  <c r="CE456" i="1" s="1"/>
  <c r="CC456" i="1"/>
  <c r="PK436" i="1"/>
  <c r="Z436" i="1" a="1"/>
  <c r="Z436" i="1" s="1"/>
  <c r="CD456" i="1" l="1"/>
  <c r="AJ456" i="1" a="1"/>
  <c r="AJ456" i="1" s="1"/>
  <c r="AH457" i="1" s="1"/>
  <c r="AE456" i="1" a="1"/>
  <c r="AE456" i="1" s="1"/>
  <c r="AC457" i="1" s="1"/>
  <c r="Y437" i="1" a="1"/>
  <c r="Y437" i="1" s="1"/>
  <c r="AB437" i="1" s="1"/>
  <c r="KD437" i="1" s="1"/>
  <c r="Y439" i="1" a="1"/>
  <c r="Y439" i="1" s="1"/>
  <c r="AD457" i="1" l="1" a="1"/>
  <c r="AD457" i="1" s="1"/>
  <c r="AI457" i="1" a="1"/>
  <c r="AI457" i="1" s="1"/>
  <c r="AA437" i="1"/>
  <c r="KC437" i="1" s="1"/>
  <c r="Z437" i="1" s="1" a="1"/>
  <c r="Z437" i="1" s="1"/>
  <c r="Y438" i="1" s="1" a="1"/>
  <c r="Y438" i="1" s="1"/>
  <c r="AA438" i="1" s="1"/>
  <c r="AA439" i="1"/>
  <c r="AB439" i="1"/>
  <c r="AL457" i="1" l="1"/>
  <c r="BQ457" i="1" s="1"/>
  <c r="BS457" i="1" s="1"/>
  <c r="AK457" i="1"/>
  <c r="BP457" i="1" s="1"/>
  <c r="BR457" i="1" s="1"/>
  <c r="AG457" i="1"/>
  <c r="MA457" i="1" s="1"/>
  <c r="AF457" i="1"/>
  <c r="AB438" i="1"/>
  <c r="QF438" i="1" s="1"/>
  <c r="PB439" i="1"/>
  <c r="OR439" i="1"/>
  <c r="PA439" i="1"/>
  <c r="OQ439" i="1"/>
  <c r="QG438" i="1"/>
  <c r="RC438" i="1"/>
  <c r="CF457" i="1" l="1"/>
  <c r="BF457" i="1"/>
  <c r="BT457" i="1"/>
  <c r="BG457" i="1"/>
  <c r="BU457" i="1"/>
  <c r="RB438" i="1"/>
  <c r="OT439" i="1"/>
  <c r="PD439" i="1"/>
  <c r="OS439" i="1"/>
  <c r="PC439" i="1"/>
  <c r="QH438" i="1"/>
  <c r="RD438" i="1"/>
  <c r="QI438" i="1"/>
  <c r="RE438" i="1"/>
  <c r="BI457" i="1" l="1"/>
  <c r="BW457" i="1"/>
  <c r="BH457" i="1"/>
  <c r="BV457" i="1"/>
  <c r="CJ457" i="1"/>
  <c r="CH457" i="1"/>
  <c r="OU439" i="1"/>
  <c r="PE439" i="1"/>
  <c r="OV439" i="1"/>
  <c r="PH439" i="1" s="1"/>
  <c r="PF439" i="1"/>
  <c r="QK438" i="1"/>
  <c r="RG438" i="1"/>
  <c r="QJ438" i="1"/>
  <c r="RF438" i="1"/>
  <c r="CG457" i="1" l="1"/>
  <c r="BJ457" i="1"/>
  <c r="BX457" i="1"/>
  <c r="BK457" i="1"/>
  <c r="BY457" i="1"/>
  <c r="PG439" i="1"/>
  <c r="Z439" i="1" a="1"/>
  <c r="Z439" i="1" s="1"/>
  <c r="Y440" i="1" s="1" a="1"/>
  <c r="Y440" i="1" s="1"/>
  <c r="QL438" i="1"/>
  <c r="RH438" i="1"/>
  <c r="QM438" i="1"/>
  <c r="RI438" i="1"/>
  <c r="CI457" i="1" l="1"/>
  <c r="CK457" i="1"/>
  <c r="BM457" i="1"/>
  <c r="CA457" i="1"/>
  <c r="BL457" i="1"/>
  <c r="BZ457" i="1"/>
  <c r="AB440" i="1"/>
  <c r="AA440" i="1"/>
  <c r="QO438" i="1"/>
  <c r="RM438" i="1" s="1"/>
  <c r="RK438" i="1"/>
  <c r="QN438" i="1"/>
  <c r="RJ438" i="1"/>
  <c r="CB457" i="1" l="1"/>
  <c r="BN457" i="1"/>
  <c r="CC457" i="1"/>
  <c r="BO457" i="1"/>
  <c r="CE457" i="1" s="1"/>
  <c r="OQ440" i="1"/>
  <c r="PA440" i="1"/>
  <c r="OR440" i="1"/>
  <c r="PB440" i="1"/>
  <c r="RL438" i="1"/>
  <c r="Z438" i="1" a="1"/>
  <c r="Z438" i="1" s="1"/>
  <c r="CD457" i="1" l="1"/>
  <c r="AE457" i="1" a="1"/>
  <c r="AE457" i="1" s="1"/>
  <c r="AJ457" i="1" a="1"/>
  <c r="AJ457" i="1" s="1"/>
  <c r="AH458" i="1" s="1"/>
  <c r="OT440" i="1"/>
  <c r="PD440" i="1"/>
  <c r="OS440" i="1"/>
  <c r="PC440" i="1"/>
  <c r="AI458" i="1" l="1" a="1"/>
  <c r="AI458" i="1" s="1"/>
  <c r="AC458" i="1"/>
  <c r="OU440" i="1"/>
  <c r="PE440" i="1"/>
  <c r="OV440" i="1"/>
  <c r="PH440" i="1" s="1"/>
  <c r="PF440" i="1"/>
  <c r="AL458" i="1" l="1"/>
  <c r="BQ458" i="1" s="1"/>
  <c r="BS458" i="1" s="1"/>
  <c r="AK458" i="1"/>
  <c r="BP458" i="1" s="1"/>
  <c r="BR458" i="1" s="1"/>
  <c r="AD458" i="1" a="1"/>
  <c r="AD458" i="1" s="1"/>
  <c r="PG440" i="1"/>
  <c r="Z440" i="1" a="1"/>
  <c r="Z440" i="1" s="1"/>
  <c r="Y441" i="1" s="1" a="1"/>
  <c r="Y441" i="1" s="1"/>
  <c r="CF458" i="1" l="1"/>
  <c r="AG458" i="1"/>
  <c r="MA458" i="1" s="1"/>
  <c r="AF458" i="1"/>
  <c r="AA441" i="1"/>
  <c r="AB441" i="1"/>
  <c r="BF458" i="1" l="1"/>
  <c r="BT458" i="1"/>
  <c r="BG458" i="1"/>
  <c r="BU458" i="1"/>
  <c r="CJ458" i="1"/>
  <c r="CH458" i="1"/>
  <c r="OQ441" i="1"/>
  <c r="PA441" i="1"/>
  <c r="OR441" i="1"/>
  <c r="PB441" i="1"/>
  <c r="BI458" i="1" l="1"/>
  <c r="BW458" i="1"/>
  <c r="BH458" i="1"/>
  <c r="BV458" i="1"/>
  <c r="OT441" i="1"/>
  <c r="PD441" i="1"/>
  <c r="OS441" i="1"/>
  <c r="PC441" i="1"/>
  <c r="CG458" i="1" l="1"/>
  <c r="BJ458" i="1"/>
  <c r="BX458" i="1"/>
  <c r="BK458" i="1"/>
  <c r="BY458" i="1"/>
  <c r="OU441" i="1"/>
  <c r="PE441" i="1"/>
  <c r="OV441" i="1"/>
  <c r="PF441" i="1"/>
  <c r="CK458" i="1" l="1"/>
  <c r="CI458" i="1"/>
  <c r="BM458" i="1"/>
  <c r="CA458" i="1"/>
  <c r="BL458" i="1"/>
  <c r="BZ458" i="1"/>
  <c r="OX441" i="1"/>
  <c r="PH441" i="1"/>
  <c r="OW441" i="1"/>
  <c r="PG441" i="1"/>
  <c r="BN458" i="1" l="1"/>
  <c r="CB458" i="1"/>
  <c r="BO458" i="1"/>
  <c r="CE458" i="1" s="1"/>
  <c r="CC458" i="1"/>
  <c r="OY441" i="1"/>
  <c r="PI441" i="1"/>
  <c r="OZ441" i="1"/>
  <c r="PL441" i="1" s="1"/>
  <c r="PJ441" i="1"/>
  <c r="CD458" i="1" l="1"/>
  <c r="AJ458" i="1" a="1"/>
  <c r="AJ458" i="1" s="1"/>
  <c r="AH459" i="1" s="1"/>
  <c r="AE458" i="1" a="1"/>
  <c r="AE458" i="1" s="1"/>
  <c r="AC459" i="1" s="1"/>
  <c r="PK441" i="1"/>
  <c r="Z441" i="1" a="1"/>
  <c r="Z441" i="1" s="1"/>
  <c r="Y442" i="1" s="1" a="1"/>
  <c r="Y442" i="1" s="1"/>
  <c r="AD459" i="1" l="1" a="1"/>
  <c r="AD459" i="1" s="1"/>
  <c r="AI459" i="1" a="1"/>
  <c r="AI459" i="1" s="1"/>
  <c r="AB442" i="1"/>
  <c r="KD442" i="1" s="1"/>
  <c r="AA442" i="1"/>
  <c r="KC442" i="1" s="1"/>
  <c r="Z442" i="1" s="1" a="1"/>
  <c r="Z442" i="1" s="1"/>
  <c r="Y443" i="1" s="1" a="1"/>
  <c r="Y443" i="1" s="1"/>
  <c r="AL459" i="1" l="1"/>
  <c r="BQ459" i="1" s="1"/>
  <c r="BS459" i="1" s="1"/>
  <c r="AK459" i="1"/>
  <c r="BP459" i="1" s="1"/>
  <c r="BR459" i="1" s="1"/>
  <c r="AF459" i="1"/>
  <c r="AG459" i="1"/>
  <c r="MA459" i="1" s="1"/>
  <c r="AA443" i="1"/>
  <c r="AB443" i="1"/>
  <c r="CF459" i="1" l="1"/>
  <c r="BF459" i="1"/>
  <c r="BT459" i="1"/>
  <c r="BG459" i="1"/>
  <c r="BU459" i="1"/>
  <c r="QF443" i="1"/>
  <c r="RB443" i="1"/>
  <c r="QG443" i="1"/>
  <c r="RC443" i="1"/>
  <c r="BI459" i="1" l="1"/>
  <c r="BW459" i="1"/>
  <c r="BH459" i="1"/>
  <c r="BV459" i="1"/>
  <c r="CJ459" i="1"/>
  <c r="CH459" i="1"/>
  <c r="QI443" i="1"/>
  <c r="RE443" i="1"/>
  <c r="QH443" i="1"/>
  <c r="RD443" i="1"/>
  <c r="CG459" i="1" l="1"/>
  <c r="BJ459" i="1"/>
  <c r="BX459" i="1"/>
  <c r="BK459" i="1"/>
  <c r="BY459" i="1"/>
  <c r="QJ443" i="1"/>
  <c r="RF443" i="1"/>
  <c r="QK443" i="1"/>
  <c r="RG443" i="1"/>
  <c r="CI459" i="1" l="1"/>
  <c r="CK459" i="1"/>
  <c r="BM459" i="1"/>
  <c r="CA459" i="1"/>
  <c r="BL459" i="1"/>
  <c r="BZ459" i="1"/>
  <c r="QM443" i="1"/>
  <c r="RI443" i="1"/>
  <c r="QL443" i="1"/>
  <c r="RH443" i="1"/>
  <c r="BN459" i="1" l="1"/>
  <c r="CB459" i="1"/>
  <c r="BO459" i="1"/>
  <c r="CE459" i="1" s="1"/>
  <c r="CC459" i="1"/>
  <c r="QN443" i="1"/>
  <c r="RJ443" i="1"/>
  <c r="QO443" i="1"/>
  <c r="RM443" i="1" s="1"/>
  <c r="RK443" i="1"/>
  <c r="CD459" i="1" l="1"/>
  <c r="AJ459" i="1" a="1"/>
  <c r="AJ459" i="1" s="1"/>
  <c r="AH460" i="1" s="1"/>
  <c r="AE459" i="1" a="1"/>
  <c r="AE459" i="1" s="1"/>
  <c r="AC460" i="1" s="1"/>
  <c r="RL443" i="1"/>
  <c r="Z443" i="1" a="1"/>
  <c r="Z443" i="1" s="1"/>
  <c r="AD460" i="1" l="1" a="1"/>
  <c r="AD460" i="1" s="1"/>
  <c r="AI460" i="1" a="1"/>
  <c r="AI460" i="1" s="1"/>
  <c r="AL460" i="1" l="1"/>
  <c r="BQ460" i="1" s="1"/>
  <c r="BS460" i="1" s="1"/>
  <c r="AK460" i="1"/>
  <c r="BP460" i="1" s="1"/>
  <c r="BR460" i="1" s="1"/>
  <c r="AF460" i="1"/>
  <c r="AG460" i="1"/>
  <c r="MA460" i="1" s="1"/>
  <c r="CF460" i="1" l="1"/>
  <c r="BG460" i="1"/>
  <c r="BU460" i="1"/>
  <c r="BF460" i="1"/>
  <c r="BT460" i="1"/>
  <c r="BH460" i="1" l="1"/>
  <c r="BV460" i="1"/>
  <c r="BI460" i="1"/>
  <c r="BW460" i="1"/>
  <c r="CJ460" i="1"/>
  <c r="CH460" i="1"/>
  <c r="CG460" i="1" l="1"/>
  <c r="BK460" i="1"/>
  <c r="BY460" i="1"/>
  <c r="BJ460" i="1"/>
  <c r="BX460" i="1"/>
  <c r="CK460" i="1" l="1"/>
  <c r="CI460" i="1"/>
  <c r="BL460" i="1"/>
  <c r="BZ460" i="1"/>
  <c r="BM460" i="1"/>
  <c r="CA460" i="1"/>
  <c r="BO460" i="1" l="1"/>
  <c r="CE460" i="1" s="1"/>
  <c r="CC460" i="1"/>
  <c r="BN460" i="1"/>
  <c r="CB460" i="1"/>
  <c r="CD460" i="1" l="1"/>
  <c r="AJ460" i="1" a="1"/>
  <c r="AJ460" i="1" s="1"/>
  <c r="AH461" i="1" s="1"/>
  <c r="AE460" i="1" a="1"/>
  <c r="AE460" i="1" s="1"/>
  <c r="AC461" i="1" s="1"/>
  <c r="AD461" i="1" l="1" a="1"/>
  <c r="AD461" i="1" s="1"/>
  <c r="AI461" i="1" a="1"/>
  <c r="AI461" i="1" s="1"/>
  <c r="AL461" i="1" l="1"/>
  <c r="BQ461" i="1" s="1"/>
  <c r="BS461" i="1" s="1"/>
  <c r="AK461" i="1"/>
  <c r="BP461" i="1" s="1"/>
  <c r="BR461" i="1" s="1"/>
  <c r="AF461" i="1"/>
  <c r="AG461" i="1"/>
  <c r="MA461" i="1" s="1"/>
  <c r="BG461" i="1" l="1"/>
  <c r="BU461" i="1"/>
  <c r="BF461" i="1"/>
  <c r="BT461" i="1"/>
  <c r="CF461" i="1"/>
  <c r="BH461" i="1" l="1"/>
  <c r="BV461" i="1"/>
  <c r="CJ461" i="1"/>
  <c r="CH461" i="1"/>
  <c r="BI461" i="1"/>
  <c r="BW461" i="1"/>
  <c r="CG461" i="1" l="1"/>
  <c r="BK461" i="1"/>
  <c r="BY461" i="1"/>
  <c r="BJ461" i="1"/>
  <c r="BX461" i="1"/>
  <c r="CK461" i="1" l="1"/>
  <c r="CI461" i="1"/>
  <c r="BL461" i="1"/>
  <c r="BZ461" i="1"/>
  <c r="BM461" i="1"/>
  <c r="CA461" i="1"/>
  <c r="BO461" i="1" l="1"/>
  <c r="CE461" i="1" s="1"/>
  <c r="CC461" i="1"/>
  <c r="BN461" i="1"/>
  <c r="CB461" i="1"/>
  <c r="CD461" i="1" l="1"/>
  <c r="AE461" i="1" a="1"/>
  <c r="AE461" i="1" s="1"/>
  <c r="AC462" i="1" s="1"/>
  <c r="AJ461" i="1" a="1"/>
  <c r="AJ461" i="1" s="1"/>
  <c r="AH462" i="1" s="1"/>
  <c r="AI462" i="1" l="1" a="1"/>
  <c r="AI462" i="1" s="1"/>
  <c r="AD462" i="1" a="1"/>
  <c r="AD462" i="1" s="1"/>
  <c r="AL462" i="1" l="1"/>
  <c r="BQ462" i="1" s="1"/>
  <c r="BS462" i="1" s="1"/>
  <c r="AK462" i="1"/>
  <c r="BP462" i="1" s="1"/>
  <c r="BR462" i="1" s="1"/>
  <c r="AF462" i="1"/>
  <c r="AG462" i="1"/>
  <c r="MA462" i="1" s="1"/>
  <c r="CF462" i="1" l="1"/>
  <c r="BF462" i="1"/>
  <c r="BT462" i="1"/>
  <c r="BG462" i="1"/>
  <c r="BU462" i="1"/>
  <c r="BH462" i="1" l="1"/>
  <c r="BV462" i="1"/>
  <c r="BI462" i="1"/>
  <c r="BW462" i="1"/>
  <c r="CJ462" i="1"/>
  <c r="CH462" i="1"/>
  <c r="CG462" i="1" l="1"/>
  <c r="BK462" i="1"/>
  <c r="BY462" i="1"/>
  <c r="BJ462" i="1"/>
  <c r="BX462" i="1"/>
  <c r="CK462" i="1" l="1"/>
  <c r="CI462" i="1"/>
  <c r="BL462" i="1"/>
  <c r="BZ462" i="1"/>
  <c r="BM462" i="1"/>
  <c r="CA462" i="1"/>
  <c r="CC462" i="1" l="1"/>
  <c r="BO462" i="1"/>
  <c r="CE462" i="1" s="1"/>
  <c r="BN462" i="1"/>
  <c r="CB462" i="1"/>
  <c r="CD462" i="1" l="1"/>
  <c r="AJ462" i="1" a="1"/>
  <c r="AJ462" i="1" s="1"/>
  <c r="AH463" i="1" s="1"/>
  <c r="AE462" i="1" a="1"/>
  <c r="AE462" i="1" s="1"/>
  <c r="AC463" i="1" l="1"/>
  <c r="AI463" i="1" a="1"/>
  <c r="AI463" i="1" s="1"/>
  <c r="AL463" i="1" l="1"/>
  <c r="BQ463" i="1" s="1"/>
  <c r="BS463" i="1" s="1"/>
  <c r="AK463" i="1"/>
  <c r="BP463" i="1" s="1"/>
  <c r="BR463" i="1" s="1"/>
  <c r="AD463" i="1" a="1"/>
  <c r="AD463" i="1" s="1"/>
  <c r="CF463" i="1" l="1"/>
  <c r="AG463" i="1"/>
  <c r="MA463" i="1" s="1"/>
  <c r="AF463" i="1"/>
  <c r="BF463" i="1" l="1"/>
  <c r="BT463" i="1"/>
  <c r="BG463" i="1"/>
  <c r="BU463" i="1"/>
  <c r="CJ463" i="1"/>
  <c r="CH463" i="1"/>
  <c r="BI463" i="1" l="1"/>
  <c r="BW463" i="1"/>
  <c r="BH463" i="1"/>
  <c r="BV463" i="1"/>
  <c r="CG463" i="1" l="1"/>
  <c r="BJ463" i="1"/>
  <c r="BX463" i="1"/>
  <c r="BK463" i="1"/>
  <c r="BY463" i="1"/>
  <c r="CK463" i="1" l="1"/>
  <c r="CI463" i="1"/>
  <c r="BM463" i="1"/>
  <c r="CA463" i="1"/>
  <c r="BL463" i="1"/>
  <c r="BZ463" i="1"/>
  <c r="BN463" i="1" l="1"/>
  <c r="CB463" i="1"/>
  <c r="BO463" i="1"/>
  <c r="CE463" i="1" s="1"/>
  <c r="CC463" i="1"/>
  <c r="CD463" i="1" l="1"/>
  <c r="AJ463" i="1" a="1"/>
  <c r="AJ463" i="1" s="1"/>
  <c r="AH464" i="1" s="1"/>
  <c r="AE463" i="1" a="1"/>
  <c r="AE463" i="1" s="1"/>
  <c r="AC464" i="1" s="1"/>
  <c r="AD464" i="1" l="1" a="1"/>
  <c r="AD464" i="1" s="1"/>
  <c r="AI464" i="1" a="1"/>
  <c r="AI464" i="1" s="1"/>
  <c r="AL464" i="1" l="1"/>
  <c r="BQ464" i="1" s="1"/>
  <c r="BS464" i="1" s="1"/>
  <c r="AK464" i="1"/>
  <c r="BP464" i="1" s="1"/>
  <c r="BR464" i="1" s="1"/>
  <c r="AG464" i="1"/>
  <c r="MA464" i="1" s="1"/>
  <c r="AF464" i="1"/>
  <c r="BF464" i="1" l="1"/>
  <c r="BT464" i="1"/>
  <c r="BG464" i="1"/>
  <c r="BU464" i="1"/>
  <c r="CF464" i="1"/>
  <c r="BI464" i="1" l="1"/>
  <c r="BW464" i="1"/>
  <c r="CJ464" i="1"/>
  <c r="CH464" i="1"/>
  <c r="BH464" i="1"/>
  <c r="BV464" i="1"/>
  <c r="CG464" i="1" l="1"/>
  <c r="BJ464" i="1"/>
  <c r="BX464" i="1"/>
  <c r="BK464" i="1"/>
  <c r="BY464" i="1"/>
  <c r="CK464" i="1" l="1"/>
  <c r="CI464" i="1"/>
  <c r="BM464" i="1"/>
  <c r="CA464" i="1"/>
  <c r="BL464" i="1"/>
  <c r="BZ464" i="1"/>
  <c r="BN464" i="1" l="1"/>
  <c r="CB464" i="1"/>
  <c r="BO464" i="1"/>
  <c r="CE464" i="1" s="1"/>
  <c r="CC464" i="1"/>
  <c r="CD464" i="1" l="1"/>
  <c r="AE464" i="1" a="1"/>
  <c r="AE464" i="1" s="1"/>
  <c r="AC465" i="1" s="1"/>
  <c r="AJ464" i="1" a="1"/>
  <c r="AJ464" i="1" s="1"/>
  <c r="AH465" i="1" s="1"/>
  <c r="AD465" i="1" l="1" a="1"/>
  <c r="AD465" i="1" s="1"/>
  <c r="AI465" i="1" a="1"/>
  <c r="AI465" i="1" s="1"/>
  <c r="AL465" i="1" l="1"/>
  <c r="BQ465" i="1" s="1"/>
  <c r="BS465" i="1" s="1"/>
  <c r="AK465" i="1"/>
  <c r="BP465" i="1" s="1"/>
  <c r="BR465" i="1" s="1"/>
  <c r="AF465" i="1"/>
  <c r="AG465" i="1"/>
  <c r="MA465" i="1" s="1"/>
  <c r="CF465" i="1" l="1"/>
  <c r="BF465" i="1"/>
  <c r="BT465" i="1"/>
  <c r="BG465" i="1"/>
  <c r="BU465" i="1"/>
  <c r="BH465" i="1" l="1"/>
  <c r="BV465" i="1"/>
  <c r="CJ465" i="1"/>
  <c r="CH465" i="1"/>
  <c r="BI465" i="1"/>
  <c r="BW465" i="1"/>
  <c r="CG465" i="1" l="1"/>
  <c r="BK465" i="1"/>
  <c r="BY465" i="1"/>
  <c r="BJ465" i="1"/>
  <c r="BX465" i="1"/>
  <c r="CK465" i="1" l="1"/>
  <c r="CI465" i="1"/>
  <c r="BL465" i="1"/>
  <c r="BZ465" i="1"/>
  <c r="BM465" i="1"/>
  <c r="CA465" i="1"/>
  <c r="BO465" i="1" l="1"/>
  <c r="CE465" i="1" s="1"/>
  <c r="CC465" i="1"/>
  <c r="BN465" i="1"/>
  <c r="CB465" i="1"/>
  <c r="CD465" i="1" l="1"/>
  <c r="AJ465" i="1" a="1"/>
  <c r="AJ465" i="1" s="1"/>
  <c r="AH466" i="1" s="1"/>
  <c r="AE465" i="1" a="1"/>
  <c r="AE465" i="1" s="1"/>
  <c r="AC466" i="1" s="1"/>
  <c r="AD466" i="1" l="1" a="1"/>
  <c r="AD466" i="1" s="1"/>
  <c r="AI466" i="1" a="1"/>
  <c r="AI466" i="1" s="1"/>
  <c r="AL466" i="1" l="1"/>
  <c r="BQ466" i="1" s="1"/>
  <c r="BS466" i="1" s="1"/>
  <c r="AK466" i="1"/>
  <c r="BP466" i="1" s="1"/>
  <c r="BR466" i="1" s="1"/>
  <c r="AG466" i="1"/>
  <c r="MA466" i="1" s="1"/>
  <c r="AF466" i="1"/>
  <c r="CF466" i="1" l="1"/>
  <c r="BG466" i="1"/>
  <c r="BU466" i="1"/>
  <c r="BF466" i="1"/>
  <c r="BT466" i="1"/>
  <c r="BH466" i="1" l="1"/>
  <c r="BV466" i="1"/>
  <c r="BI466" i="1"/>
  <c r="BW466" i="1"/>
  <c r="CJ466" i="1"/>
  <c r="CH466" i="1"/>
  <c r="CG466" i="1" l="1"/>
  <c r="BK466" i="1"/>
  <c r="BY466" i="1"/>
  <c r="BJ466" i="1"/>
  <c r="BX466" i="1"/>
  <c r="CI466" i="1" l="1"/>
  <c r="CK466" i="1"/>
  <c r="BL466" i="1"/>
  <c r="BZ466" i="1"/>
  <c r="BM466" i="1"/>
  <c r="CA466" i="1"/>
  <c r="BO466" i="1" l="1"/>
  <c r="CE466" i="1" s="1"/>
  <c r="CC466" i="1"/>
  <c r="BN466" i="1"/>
  <c r="CB466" i="1"/>
  <c r="CD466" i="1" l="1"/>
  <c r="AJ466" i="1" a="1"/>
  <c r="AJ466" i="1" s="1"/>
  <c r="AH467" i="1" s="1"/>
  <c r="AE466" i="1" a="1"/>
  <c r="AE466" i="1" s="1"/>
  <c r="AC467" i="1" s="1"/>
  <c r="AD467" i="1" l="1" a="1"/>
  <c r="AD467" i="1" s="1"/>
  <c r="AI467" i="1" a="1"/>
  <c r="AI467" i="1" s="1"/>
  <c r="AL467" i="1" l="1"/>
  <c r="BQ467" i="1" s="1"/>
  <c r="BS467" i="1" s="1"/>
  <c r="AK467" i="1"/>
  <c r="BP467" i="1" s="1"/>
  <c r="BR467" i="1" s="1"/>
  <c r="AG467" i="1"/>
  <c r="MA467" i="1" s="1"/>
  <c r="AF467" i="1"/>
  <c r="BG467" i="1" l="1"/>
  <c r="BU467" i="1"/>
  <c r="BF467" i="1"/>
  <c r="BT467" i="1"/>
  <c r="CF467" i="1"/>
  <c r="CJ467" i="1" l="1"/>
  <c r="CH467" i="1"/>
  <c r="BH467" i="1"/>
  <c r="BV467" i="1"/>
  <c r="BI467" i="1"/>
  <c r="BW467" i="1"/>
  <c r="CG467" i="1" l="1"/>
  <c r="BJ467" i="1"/>
  <c r="BX467" i="1"/>
  <c r="BK467" i="1"/>
  <c r="BY467" i="1"/>
  <c r="CK467" i="1" l="1"/>
  <c r="CI467" i="1"/>
  <c r="BM467" i="1"/>
  <c r="CA467" i="1"/>
  <c r="BL467" i="1"/>
  <c r="BZ467" i="1"/>
  <c r="BN467" i="1" l="1"/>
  <c r="CB467" i="1"/>
  <c r="BO467" i="1"/>
  <c r="CE467" i="1" s="1"/>
  <c r="CC467" i="1"/>
  <c r="CD467" i="1" l="1"/>
  <c r="AJ467" i="1" a="1"/>
  <c r="AJ467" i="1" s="1"/>
  <c r="AH468" i="1" s="1"/>
  <c r="AE467" i="1" a="1"/>
  <c r="AE467" i="1" s="1"/>
  <c r="AC468" i="1" s="1"/>
  <c r="AD468" i="1" l="1" a="1"/>
  <c r="AD468" i="1" s="1"/>
  <c r="AI468" i="1" a="1"/>
  <c r="AI468" i="1" s="1"/>
  <c r="AL468" i="1" l="1"/>
  <c r="BQ468" i="1" s="1"/>
  <c r="BS468" i="1" s="1"/>
  <c r="AK468" i="1"/>
  <c r="BP468" i="1" s="1"/>
  <c r="BR468" i="1" s="1"/>
  <c r="AG468" i="1"/>
  <c r="MA468" i="1" s="1"/>
  <c r="AF468" i="1"/>
  <c r="BF468" i="1" l="1"/>
  <c r="BT468" i="1"/>
  <c r="BG468" i="1"/>
  <c r="BU468" i="1"/>
  <c r="CF468" i="1"/>
  <c r="CJ468" i="1" l="1"/>
  <c r="CH468" i="1"/>
  <c r="BI468" i="1"/>
  <c r="BW468" i="1"/>
  <c r="BH468" i="1"/>
  <c r="BV468" i="1"/>
  <c r="CG468" i="1" l="1"/>
  <c r="BJ468" i="1"/>
  <c r="BX468" i="1"/>
  <c r="BK468" i="1"/>
  <c r="BY468" i="1"/>
  <c r="CK468" i="1" l="1"/>
  <c r="CI468" i="1"/>
  <c r="BM468" i="1"/>
  <c r="CA468" i="1"/>
  <c r="BL468" i="1"/>
  <c r="BZ468" i="1"/>
  <c r="BN468" i="1" l="1"/>
  <c r="CB468" i="1"/>
  <c r="BO468" i="1"/>
  <c r="CE468" i="1" s="1"/>
  <c r="CC468" i="1"/>
  <c r="CD468" i="1" l="1"/>
  <c r="AJ468" i="1" a="1"/>
  <c r="AJ468" i="1" s="1"/>
  <c r="AH469" i="1" s="1"/>
  <c r="AE468" i="1" a="1"/>
  <c r="AE468" i="1" s="1"/>
  <c r="AC469" i="1" s="1"/>
  <c r="AD469" i="1" l="1" a="1"/>
  <c r="AD469" i="1" s="1"/>
  <c r="AI469" i="1" a="1"/>
  <c r="AI469" i="1" s="1"/>
  <c r="AL469" i="1" l="1"/>
  <c r="BQ469" i="1" s="1"/>
  <c r="BS469" i="1" s="1"/>
  <c r="AK469" i="1"/>
  <c r="BP469" i="1" s="1"/>
  <c r="BR469" i="1" s="1"/>
  <c r="AF469" i="1"/>
  <c r="AG469" i="1"/>
  <c r="MA469" i="1" s="1"/>
  <c r="BF469" i="1" l="1"/>
  <c r="BT469" i="1"/>
  <c r="BG469" i="1"/>
  <c r="BU469" i="1"/>
  <c r="CF469" i="1"/>
  <c r="CJ469" i="1" l="1"/>
  <c r="CH469" i="1"/>
  <c r="BI469" i="1"/>
  <c r="BW469" i="1"/>
  <c r="BH469" i="1"/>
  <c r="BV469" i="1"/>
  <c r="CG469" i="1" l="1"/>
  <c r="BK469" i="1"/>
  <c r="BY469" i="1"/>
  <c r="BJ469" i="1"/>
  <c r="BX469" i="1"/>
  <c r="CK469" i="1" l="1"/>
  <c r="CI469" i="1"/>
  <c r="BL469" i="1"/>
  <c r="BZ469" i="1"/>
  <c r="BM469" i="1"/>
  <c r="CA469" i="1"/>
  <c r="BO469" i="1" l="1"/>
  <c r="CE469" i="1" s="1"/>
  <c r="CC469" i="1"/>
  <c r="BN469" i="1"/>
  <c r="CB469" i="1"/>
  <c r="CD469" i="1" l="1"/>
  <c r="AJ469" i="1" a="1"/>
  <c r="AJ469" i="1" s="1"/>
  <c r="AH470" i="1" s="1"/>
  <c r="AE469" i="1" a="1"/>
  <c r="AE469" i="1" s="1"/>
  <c r="AC470" i="1" s="1"/>
  <c r="AD470" i="1" l="1" a="1"/>
  <c r="AD470" i="1" s="1"/>
  <c r="AI470" i="1" a="1"/>
  <c r="AI470" i="1" s="1"/>
  <c r="AL470" i="1" l="1"/>
  <c r="BQ470" i="1" s="1"/>
  <c r="BS470" i="1" s="1"/>
  <c r="AK470" i="1"/>
  <c r="BP470" i="1" s="1"/>
  <c r="BR470" i="1" s="1"/>
  <c r="AG470" i="1"/>
  <c r="MA470" i="1" s="1"/>
  <c r="AF470" i="1"/>
  <c r="BF470" i="1" l="1"/>
  <c r="BT470" i="1"/>
  <c r="CF470" i="1"/>
  <c r="BG470" i="1"/>
  <c r="BU470" i="1"/>
  <c r="BI470" i="1" l="1"/>
  <c r="BW470" i="1"/>
  <c r="CJ470" i="1"/>
  <c r="CH470" i="1"/>
  <c r="BH470" i="1"/>
  <c r="BV470" i="1"/>
  <c r="CG470" i="1" l="1"/>
  <c r="BJ470" i="1"/>
  <c r="BX470" i="1"/>
  <c r="BK470" i="1"/>
  <c r="BY470" i="1"/>
  <c r="CK470" i="1" l="1"/>
  <c r="CI470" i="1"/>
  <c r="BM470" i="1"/>
  <c r="CA470" i="1"/>
  <c r="BL470" i="1"/>
  <c r="BZ470" i="1"/>
  <c r="BN470" i="1" l="1"/>
  <c r="CB470" i="1"/>
  <c r="BO470" i="1"/>
  <c r="CE470" i="1" s="1"/>
  <c r="CC470" i="1"/>
  <c r="CD470" i="1" l="1"/>
  <c r="AJ470" i="1" a="1"/>
  <c r="AJ470" i="1" s="1"/>
  <c r="AH471" i="1" s="1"/>
  <c r="AE470" i="1" a="1"/>
  <c r="AE470" i="1" s="1"/>
  <c r="AC471" i="1" s="1"/>
  <c r="AD471" i="1" l="1" a="1"/>
  <c r="AD471" i="1" s="1"/>
  <c r="AI471" i="1" a="1"/>
  <c r="AI471" i="1" s="1"/>
  <c r="AL471" i="1" l="1"/>
  <c r="BQ471" i="1" s="1"/>
  <c r="BS471" i="1" s="1"/>
  <c r="AK471" i="1"/>
  <c r="BP471" i="1" s="1"/>
  <c r="BR471" i="1" s="1"/>
  <c r="AG471" i="1"/>
  <c r="MA471" i="1" s="1"/>
  <c r="AF471" i="1"/>
  <c r="BF471" i="1" l="1"/>
  <c r="BT471" i="1"/>
  <c r="BG471" i="1"/>
  <c r="BU471" i="1"/>
  <c r="CF471" i="1"/>
  <c r="CJ471" i="1" l="1"/>
  <c r="CH471" i="1"/>
  <c r="BI471" i="1"/>
  <c r="BW471" i="1"/>
  <c r="BH471" i="1"/>
  <c r="BV471" i="1"/>
  <c r="CG471" i="1" l="1"/>
  <c r="BJ471" i="1"/>
  <c r="BX471" i="1"/>
  <c r="BK471" i="1"/>
  <c r="BY471" i="1"/>
  <c r="CK471" i="1" l="1"/>
  <c r="CI471" i="1"/>
  <c r="BM471" i="1"/>
  <c r="CA471" i="1"/>
  <c r="BL471" i="1"/>
  <c r="BZ471" i="1"/>
  <c r="BN471" i="1" l="1"/>
  <c r="CB471" i="1"/>
  <c r="BO471" i="1"/>
  <c r="CE471" i="1" s="1"/>
  <c r="CC471" i="1"/>
  <c r="CD471" i="1" l="1"/>
  <c r="AE471" i="1" a="1"/>
  <c r="AE471" i="1" s="1"/>
  <c r="AJ471" i="1" a="1"/>
  <c r="AJ471" i="1" s="1"/>
  <c r="AH472" i="1" s="1"/>
  <c r="AI472" i="1" l="1" a="1"/>
  <c r="AI472" i="1" s="1"/>
  <c r="AC472" i="1"/>
  <c r="AL472" i="1" l="1"/>
  <c r="BQ472" i="1" s="1"/>
  <c r="BS472" i="1" s="1"/>
  <c r="AK472" i="1"/>
  <c r="BP472" i="1" s="1"/>
  <c r="BR472" i="1" s="1"/>
  <c r="AD472" i="1" a="1"/>
  <c r="AD472" i="1" s="1"/>
  <c r="CF472" i="1" l="1"/>
  <c r="AG472" i="1"/>
  <c r="MA472" i="1" s="1"/>
  <c r="AF472" i="1"/>
  <c r="BG472" i="1" l="1"/>
  <c r="BU472" i="1"/>
  <c r="BF472" i="1"/>
  <c r="BT472" i="1"/>
  <c r="CJ472" i="1"/>
  <c r="CH472" i="1"/>
  <c r="BH472" i="1" l="1"/>
  <c r="BV472" i="1"/>
  <c r="BI472" i="1"/>
  <c r="BW472" i="1"/>
  <c r="CG472" i="1" l="1"/>
  <c r="BK472" i="1"/>
  <c r="BY472" i="1"/>
  <c r="BJ472" i="1"/>
  <c r="BX472" i="1"/>
  <c r="CK472" i="1" l="1"/>
  <c r="CI472" i="1"/>
  <c r="BL472" i="1"/>
  <c r="BZ472" i="1"/>
  <c r="BM472" i="1"/>
  <c r="CA472" i="1"/>
  <c r="BO472" i="1" l="1"/>
  <c r="CE472" i="1" s="1"/>
  <c r="CC472" i="1"/>
  <c r="BN472" i="1"/>
  <c r="CB472" i="1"/>
  <c r="CD472" i="1" l="1"/>
  <c r="AE472" i="1" a="1"/>
  <c r="AE472" i="1" s="1"/>
  <c r="AC473" i="1" s="1"/>
  <c r="AJ472" i="1" a="1"/>
  <c r="AJ472" i="1" s="1"/>
  <c r="AH473" i="1" s="1"/>
  <c r="AI473" i="1" l="1" a="1"/>
  <c r="AI473" i="1" s="1"/>
  <c r="AD473" i="1" a="1"/>
  <c r="AD473" i="1" s="1"/>
  <c r="AL473" i="1" l="1"/>
  <c r="BQ473" i="1" s="1"/>
  <c r="BS473" i="1" s="1"/>
  <c r="AK473" i="1"/>
  <c r="BP473" i="1" s="1"/>
  <c r="BR473" i="1" s="1"/>
  <c r="AG473" i="1"/>
  <c r="MA473" i="1" s="1"/>
  <c r="AF473" i="1"/>
  <c r="BF473" i="1" l="1"/>
  <c r="BT473" i="1"/>
  <c r="BG473" i="1"/>
  <c r="BU473" i="1"/>
  <c r="CF473" i="1"/>
  <c r="BH473" i="1" l="1"/>
  <c r="BV473" i="1"/>
  <c r="BI473" i="1"/>
  <c r="BW473" i="1"/>
  <c r="CJ473" i="1"/>
  <c r="CH473" i="1"/>
  <c r="CG473" i="1" l="1"/>
  <c r="BK473" i="1"/>
  <c r="BY473" i="1"/>
  <c r="BJ473" i="1"/>
  <c r="BX473" i="1"/>
  <c r="CK473" i="1" l="1"/>
  <c r="CI473" i="1"/>
  <c r="BL473" i="1"/>
  <c r="BZ473" i="1"/>
  <c r="BM473" i="1"/>
  <c r="CA473" i="1"/>
  <c r="BO473" i="1" l="1"/>
  <c r="CE473" i="1" s="1"/>
  <c r="CC473" i="1"/>
  <c r="BN473" i="1"/>
  <c r="CB473" i="1"/>
  <c r="CD473" i="1" l="1"/>
  <c r="AJ473" i="1" a="1"/>
  <c r="AJ473" i="1" s="1"/>
  <c r="AH474" i="1" s="1"/>
  <c r="AE473" i="1" a="1"/>
  <c r="AE473" i="1" s="1"/>
  <c r="AC474" i="1" s="1"/>
  <c r="AD474" i="1" l="1" a="1"/>
  <c r="AD474" i="1" s="1"/>
  <c r="AI474" i="1" a="1"/>
  <c r="AI474" i="1" s="1"/>
  <c r="AL474" i="1" l="1"/>
  <c r="BQ474" i="1" s="1"/>
  <c r="BS474" i="1" s="1"/>
  <c r="AK474" i="1"/>
  <c r="BP474" i="1" s="1"/>
  <c r="BR474" i="1" s="1"/>
  <c r="AF474" i="1"/>
  <c r="AG474" i="1"/>
  <c r="MA474" i="1" s="1"/>
  <c r="BF474" i="1" l="1"/>
  <c r="BT474" i="1"/>
  <c r="BG474" i="1"/>
  <c r="BU474" i="1"/>
  <c r="CF474" i="1"/>
  <c r="BI474" i="1" l="1"/>
  <c r="BW474" i="1"/>
  <c r="CJ474" i="1"/>
  <c r="CH474" i="1"/>
  <c r="BH474" i="1"/>
  <c r="BV474" i="1"/>
  <c r="CG474" i="1" l="1"/>
  <c r="BJ474" i="1"/>
  <c r="BX474" i="1"/>
  <c r="BK474" i="1"/>
  <c r="BY474" i="1"/>
  <c r="CK474" i="1" l="1"/>
  <c r="CI474" i="1"/>
  <c r="BM474" i="1"/>
  <c r="CA474" i="1"/>
  <c r="BL474" i="1"/>
  <c r="BZ474" i="1"/>
  <c r="BN474" i="1" l="1"/>
  <c r="CB474" i="1"/>
  <c r="BO474" i="1"/>
  <c r="CE474" i="1" s="1"/>
  <c r="CC474" i="1"/>
  <c r="CD474" i="1" l="1"/>
  <c r="AE474" i="1" a="1"/>
  <c r="AE474" i="1" s="1"/>
  <c r="AC475" i="1" s="1"/>
  <c r="AJ474" i="1" a="1"/>
  <c r="AJ474" i="1" s="1"/>
  <c r="AH475" i="1" s="1"/>
  <c r="AI475" i="1" l="1" a="1"/>
  <c r="AI475" i="1" s="1"/>
  <c r="AD475" i="1" a="1"/>
  <c r="AD475" i="1" s="1"/>
  <c r="AL475" i="1" l="1"/>
  <c r="BQ475" i="1" s="1"/>
  <c r="BS475" i="1" s="1"/>
  <c r="AK475" i="1"/>
  <c r="BP475" i="1" s="1"/>
  <c r="BR475" i="1" s="1"/>
  <c r="AG475" i="1"/>
  <c r="MA475" i="1" s="1"/>
  <c r="AF475" i="1"/>
  <c r="CF475" i="1" l="1"/>
  <c r="BF475" i="1"/>
  <c r="BT475" i="1"/>
  <c r="BG475" i="1"/>
  <c r="BU475" i="1"/>
  <c r="BI475" i="1" l="1"/>
  <c r="BW475" i="1"/>
  <c r="BH475" i="1"/>
  <c r="BV475" i="1"/>
  <c r="CJ475" i="1"/>
  <c r="CH475" i="1"/>
  <c r="CG475" i="1" l="1"/>
  <c r="BJ475" i="1"/>
  <c r="BX475" i="1"/>
  <c r="BK475" i="1"/>
  <c r="BY475" i="1"/>
  <c r="CK475" i="1" l="1"/>
  <c r="CI475" i="1"/>
  <c r="BM475" i="1"/>
  <c r="CA475" i="1"/>
  <c r="BL475" i="1"/>
  <c r="BZ475" i="1"/>
  <c r="BN475" i="1" l="1"/>
  <c r="CB475" i="1"/>
  <c r="BO475" i="1"/>
  <c r="CE475" i="1" s="1"/>
  <c r="CC475" i="1"/>
  <c r="CD475" i="1" l="1"/>
  <c r="AJ475" i="1" a="1"/>
  <c r="AJ475" i="1" s="1"/>
  <c r="AH476" i="1" s="1"/>
  <c r="AE475" i="1" a="1"/>
  <c r="AE475" i="1" s="1"/>
  <c r="AC476" i="1" s="1"/>
  <c r="AI476" i="1" l="1" a="1"/>
  <c r="AI476" i="1" s="1"/>
  <c r="AD476" i="1" a="1"/>
  <c r="AD476" i="1" s="1"/>
  <c r="AL476" i="1" l="1"/>
  <c r="BQ476" i="1" s="1"/>
  <c r="BS476" i="1" s="1"/>
  <c r="AK476" i="1"/>
  <c r="BP476" i="1" s="1"/>
  <c r="BR476" i="1" s="1"/>
  <c r="AG476" i="1"/>
  <c r="MA476" i="1" s="1"/>
  <c r="AF476" i="1"/>
  <c r="CF476" i="1" l="1"/>
  <c r="BF476" i="1"/>
  <c r="BT476" i="1"/>
  <c r="BG476" i="1"/>
  <c r="BU476" i="1"/>
  <c r="BH476" i="1" l="1"/>
  <c r="BV476" i="1"/>
  <c r="BI476" i="1"/>
  <c r="BW476" i="1"/>
  <c r="CJ476" i="1"/>
  <c r="CH476" i="1"/>
  <c r="CG476" i="1" l="1"/>
  <c r="BJ476" i="1"/>
  <c r="BX476" i="1"/>
  <c r="BK476" i="1"/>
  <c r="BY476" i="1"/>
  <c r="CK476" i="1" l="1"/>
  <c r="CI476" i="1"/>
  <c r="BM476" i="1"/>
  <c r="CA476" i="1"/>
  <c r="BL476" i="1"/>
  <c r="BZ476" i="1"/>
  <c r="BN476" i="1" l="1"/>
  <c r="CB476" i="1"/>
  <c r="BO476" i="1"/>
  <c r="CE476" i="1" s="1"/>
  <c r="CC476" i="1"/>
  <c r="CD476" i="1" l="1"/>
  <c r="AE476" i="1" a="1"/>
  <c r="AE476" i="1" s="1"/>
  <c r="AC477" i="1" s="1"/>
  <c r="AJ476" i="1" a="1"/>
  <c r="AJ476" i="1" s="1"/>
  <c r="AH477" i="1" s="1"/>
  <c r="AI477" i="1" l="1" a="1"/>
  <c r="AI477" i="1" s="1"/>
  <c r="AD477" i="1" a="1"/>
  <c r="AD477" i="1" s="1"/>
  <c r="AL477" i="1" l="1"/>
  <c r="BQ477" i="1" s="1"/>
  <c r="BS477" i="1" s="1"/>
  <c r="AK477" i="1"/>
  <c r="BP477" i="1" s="1"/>
  <c r="BR477" i="1" s="1"/>
  <c r="AG477" i="1"/>
  <c r="MA477" i="1" s="1"/>
  <c r="AF477" i="1"/>
  <c r="BF477" i="1" l="1"/>
  <c r="BT477" i="1"/>
  <c r="BG477" i="1"/>
  <c r="BU477" i="1"/>
  <c r="CF477" i="1"/>
  <c r="CJ477" i="1" l="1"/>
  <c r="CH477" i="1"/>
  <c r="BI477" i="1"/>
  <c r="BW477" i="1"/>
  <c r="BH477" i="1"/>
  <c r="BV477" i="1"/>
  <c r="CG477" i="1" l="1"/>
  <c r="BJ477" i="1"/>
  <c r="BX477" i="1"/>
  <c r="BK477" i="1"/>
  <c r="BY477" i="1"/>
  <c r="CK477" i="1" l="1"/>
  <c r="CI477" i="1"/>
  <c r="BM477" i="1"/>
  <c r="CA477" i="1"/>
  <c r="BL477" i="1"/>
  <c r="BZ477" i="1"/>
  <c r="BN477" i="1" l="1"/>
  <c r="CB477" i="1"/>
  <c r="BO477" i="1"/>
  <c r="CE477" i="1" s="1"/>
  <c r="CC477" i="1"/>
  <c r="CD477" i="1" l="1"/>
  <c r="AE477" i="1" a="1"/>
  <c r="AE477" i="1" s="1"/>
  <c r="AC478" i="1" s="1"/>
  <c r="AJ477" i="1" a="1"/>
  <c r="AJ477" i="1" s="1"/>
  <c r="AH478" i="1" s="1"/>
  <c r="AD478" i="1" l="1" a="1"/>
  <c r="AD478" i="1" s="1"/>
  <c r="AI478" i="1" a="1"/>
  <c r="AI478" i="1" s="1"/>
  <c r="AL478" i="1" l="1"/>
  <c r="BQ478" i="1" s="1"/>
  <c r="BS478" i="1" s="1"/>
  <c r="AK478" i="1"/>
  <c r="BP478" i="1" s="1"/>
  <c r="BR478" i="1" s="1"/>
  <c r="AG478" i="1"/>
  <c r="MA478" i="1" s="1"/>
  <c r="AF478" i="1"/>
  <c r="BF478" i="1" l="1"/>
  <c r="BT478" i="1"/>
  <c r="BG478" i="1"/>
  <c r="BU478" i="1"/>
  <c r="CF478" i="1"/>
  <c r="CJ478" i="1" l="1"/>
  <c r="CH478" i="1"/>
  <c r="BI478" i="1"/>
  <c r="BW478" i="1"/>
  <c r="BH478" i="1"/>
  <c r="BV478" i="1"/>
  <c r="CG478" i="1" l="1"/>
  <c r="BK478" i="1"/>
  <c r="BY478" i="1"/>
  <c r="BJ478" i="1"/>
  <c r="BX478" i="1"/>
  <c r="CK478" i="1" l="1"/>
  <c r="CI478" i="1"/>
  <c r="BL478" i="1"/>
  <c r="BZ478" i="1"/>
  <c r="BM478" i="1"/>
  <c r="CA478" i="1"/>
  <c r="BO478" i="1" l="1"/>
  <c r="CE478" i="1" s="1"/>
  <c r="CC478" i="1"/>
  <c r="BN478" i="1"/>
  <c r="CB478" i="1"/>
  <c r="CD478" i="1" l="1"/>
  <c r="AE478" i="1" a="1"/>
  <c r="AE478" i="1" s="1"/>
  <c r="AC479" i="1" s="1"/>
  <c r="AJ478" i="1" a="1"/>
  <c r="AJ478" i="1" s="1"/>
  <c r="AH479" i="1" s="1"/>
  <c r="AI479" i="1" l="1" a="1"/>
  <c r="AI479" i="1" s="1"/>
  <c r="AD479" i="1" a="1"/>
  <c r="AD479" i="1" s="1"/>
  <c r="AL479" i="1" l="1"/>
  <c r="BQ479" i="1" s="1"/>
  <c r="BS479" i="1" s="1"/>
  <c r="AK479" i="1"/>
  <c r="BP479" i="1" s="1"/>
  <c r="BR479" i="1" s="1"/>
  <c r="AF479" i="1"/>
  <c r="AG479" i="1"/>
  <c r="MA479" i="1" s="1"/>
  <c r="CF479" i="1" l="1"/>
  <c r="BG479" i="1"/>
  <c r="BU479" i="1"/>
  <c r="BF479" i="1"/>
  <c r="BT479" i="1"/>
  <c r="BH479" i="1" l="1"/>
  <c r="BV479" i="1"/>
  <c r="BI479" i="1"/>
  <c r="BW479" i="1"/>
  <c r="CJ479" i="1"/>
  <c r="CH479" i="1"/>
  <c r="CG479" i="1" l="1"/>
  <c r="BK479" i="1"/>
  <c r="BY479" i="1"/>
  <c r="BJ479" i="1"/>
  <c r="BX479" i="1"/>
  <c r="CI479" i="1" l="1"/>
  <c r="CK479" i="1"/>
  <c r="BL479" i="1"/>
  <c r="BZ479" i="1"/>
  <c r="BM479" i="1"/>
  <c r="CA479" i="1"/>
  <c r="BO479" i="1" l="1"/>
  <c r="CE479" i="1" s="1"/>
  <c r="CC479" i="1"/>
  <c r="BN479" i="1"/>
  <c r="CB479" i="1"/>
  <c r="CD479" i="1" l="1"/>
  <c r="AE479" i="1" a="1"/>
  <c r="AE479" i="1" s="1"/>
  <c r="AC480" i="1" s="1"/>
  <c r="AJ479" i="1" a="1"/>
  <c r="AJ479" i="1" s="1"/>
  <c r="AH480" i="1" s="1"/>
  <c r="AI480" i="1" l="1" a="1"/>
  <c r="AI480" i="1" s="1"/>
  <c r="AD480" i="1" a="1"/>
  <c r="AD480" i="1" s="1"/>
  <c r="AL480" i="1" l="1"/>
  <c r="BQ480" i="1" s="1"/>
  <c r="BS480" i="1" s="1"/>
  <c r="AK480" i="1"/>
  <c r="BP480" i="1" s="1"/>
  <c r="BR480" i="1" s="1"/>
  <c r="AG480" i="1"/>
  <c r="MA480" i="1" s="1"/>
  <c r="AF480" i="1"/>
  <c r="BF480" i="1" l="1"/>
  <c r="BT480" i="1"/>
  <c r="BG480" i="1"/>
  <c r="BU480" i="1"/>
  <c r="CF480" i="1"/>
  <c r="BI480" i="1" l="1"/>
  <c r="BW480" i="1"/>
  <c r="BH480" i="1"/>
  <c r="BV480" i="1"/>
  <c r="CJ480" i="1"/>
  <c r="CH480" i="1"/>
  <c r="CG480" i="1" l="1"/>
  <c r="BJ480" i="1"/>
  <c r="BX480" i="1"/>
  <c r="BK480" i="1"/>
  <c r="BY480" i="1"/>
  <c r="CK480" i="1" l="1"/>
  <c r="CI480" i="1"/>
  <c r="BM480" i="1"/>
  <c r="CA480" i="1"/>
  <c r="BL480" i="1"/>
  <c r="BZ480" i="1"/>
  <c r="BN480" i="1" l="1"/>
  <c r="CB480" i="1"/>
  <c r="BO480" i="1"/>
  <c r="CE480" i="1" s="1"/>
  <c r="CC480" i="1"/>
  <c r="CD480" i="1" l="1"/>
  <c r="AJ480" i="1" a="1"/>
  <c r="AJ480" i="1" s="1"/>
  <c r="AH481" i="1" s="1"/>
  <c r="AE480" i="1" a="1"/>
  <c r="AE480" i="1" s="1"/>
  <c r="AC481" i="1" s="1"/>
  <c r="AD481" i="1" l="1" a="1"/>
  <c r="AD481" i="1" s="1"/>
  <c r="AI481" i="1" a="1"/>
  <c r="AI481" i="1" s="1"/>
  <c r="AL481" i="1" l="1"/>
  <c r="BQ481" i="1" s="1"/>
  <c r="BS481" i="1" s="1"/>
  <c r="AK481" i="1"/>
  <c r="BP481" i="1" s="1"/>
  <c r="BR481" i="1" s="1"/>
  <c r="AF481" i="1"/>
  <c r="AG481" i="1"/>
  <c r="MA481" i="1" s="1"/>
  <c r="BG481" i="1" l="1"/>
  <c r="BU481" i="1"/>
  <c r="BF481" i="1"/>
  <c r="BT481" i="1"/>
  <c r="CF481" i="1"/>
  <c r="CJ481" i="1" l="1"/>
  <c r="CH481" i="1"/>
  <c r="BH481" i="1"/>
  <c r="BV481" i="1"/>
  <c r="BI481" i="1"/>
  <c r="BW481" i="1"/>
  <c r="CG481" i="1" l="1"/>
  <c r="BK481" i="1"/>
  <c r="BY481" i="1"/>
  <c r="BJ481" i="1"/>
  <c r="BX481" i="1"/>
  <c r="CK481" i="1" l="1"/>
  <c r="CI481" i="1"/>
  <c r="BL481" i="1"/>
  <c r="BZ481" i="1"/>
  <c r="BM481" i="1"/>
  <c r="CA481" i="1"/>
  <c r="BO481" i="1" l="1"/>
  <c r="CE481" i="1" s="1"/>
  <c r="CC481" i="1"/>
  <c r="BN481" i="1"/>
  <c r="CB481" i="1"/>
  <c r="CD481" i="1" l="1"/>
  <c r="AE481" i="1" a="1"/>
  <c r="AE481" i="1" s="1"/>
  <c r="AC482" i="1" s="1"/>
  <c r="AJ481" i="1" a="1"/>
  <c r="AJ481" i="1" s="1"/>
  <c r="AH482" i="1" s="1"/>
  <c r="AI482" i="1" l="1" a="1"/>
  <c r="AI482" i="1" s="1"/>
  <c r="AD482" i="1" a="1"/>
  <c r="AD482" i="1" s="1"/>
  <c r="AL482" i="1" l="1"/>
  <c r="BQ482" i="1" s="1"/>
  <c r="BS482" i="1" s="1"/>
  <c r="AK482" i="1"/>
  <c r="BP482" i="1" s="1"/>
  <c r="BR482" i="1" s="1"/>
  <c r="AG482" i="1"/>
  <c r="MA482" i="1" s="1"/>
  <c r="AF482" i="1"/>
  <c r="CF482" i="1" l="1"/>
  <c r="BG482" i="1"/>
  <c r="BU482" i="1"/>
  <c r="BF482" i="1"/>
  <c r="BT482" i="1"/>
  <c r="BI482" i="1" l="1"/>
  <c r="BW482" i="1"/>
  <c r="BH482" i="1"/>
  <c r="BV482" i="1"/>
  <c r="CJ482" i="1"/>
  <c r="CH482" i="1"/>
  <c r="CG482" i="1" l="1"/>
  <c r="BJ482" i="1"/>
  <c r="BX482" i="1"/>
  <c r="BK482" i="1"/>
  <c r="BY482" i="1"/>
  <c r="CK482" i="1" l="1"/>
  <c r="CI482" i="1"/>
  <c r="BM482" i="1"/>
  <c r="CA482" i="1"/>
  <c r="BL482" i="1"/>
  <c r="BZ482" i="1"/>
  <c r="BN482" i="1" l="1"/>
  <c r="CB482" i="1"/>
  <c r="BO482" i="1"/>
  <c r="CE482" i="1" s="1"/>
  <c r="CC482" i="1"/>
  <c r="CD482" i="1" l="1"/>
  <c r="AJ482" i="1" a="1"/>
  <c r="AJ482" i="1" s="1"/>
  <c r="AH483" i="1" s="1"/>
  <c r="AE482" i="1" a="1"/>
  <c r="AE482" i="1" s="1"/>
  <c r="AC483" i="1" s="1"/>
  <c r="AD483" i="1" l="1" a="1"/>
  <c r="AD483" i="1" s="1"/>
  <c r="AI483" i="1" a="1"/>
  <c r="AI483" i="1" s="1"/>
  <c r="AL483" i="1" l="1"/>
  <c r="BQ483" i="1" s="1"/>
  <c r="BS483" i="1" s="1"/>
  <c r="AK483" i="1"/>
  <c r="BP483" i="1" s="1"/>
  <c r="BR483" i="1" s="1"/>
  <c r="AG483" i="1"/>
  <c r="MA483" i="1" s="1"/>
  <c r="AF483" i="1"/>
  <c r="BF483" i="1" l="1"/>
  <c r="BT483" i="1"/>
  <c r="BG483" i="1"/>
  <c r="BU483" i="1"/>
  <c r="CF483" i="1"/>
  <c r="BI483" i="1" l="1"/>
  <c r="BW483" i="1"/>
  <c r="CJ483" i="1"/>
  <c r="CH483" i="1"/>
  <c r="BH483" i="1"/>
  <c r="BV483" i="1"/>
  <c r="CG483" i="1" l="1"/>
  <c r="BJ483" i="1"/>
  <c r="BX483" i="1"/>
  <c r="BK483" i="1"/>
  <c r="BY483" i="1"/>
  <c r="CK483" i="1" l="1"/>
  <c r="CI483" i="1"/>
  <c r="BM483" i="1"/>
  <c r="CA483" i="1"/>
  <c r="BL483" i="1"/>
  <c r="BZ483" i="1"/>
  <c r="BN483" i="1" l="1"/>
  <c r="CB483" i="1"/>
  <c r="BO483" i="1"/>
  <c r="CE483" i="1" s="1"/>
  <c r="CC483" i="1"/>
  <c r="CD483" i="1" l="1"/>
  <c r="AJ483" i="1" a="1"/>
  <c r="AJ483" i="1" s="1"/>
  <c r="AH484" i="1" s="1"/>
  <c r="AE483" i="1" a="1"/>
  <c r="AE483" i="1" s="1"/>
  <c r="AC484" i="1" s="1"/>
  <c r="AD484" i="1" l="1" a="1"/>
  <c r="AD484" i="1" s="1"/>
  <c r="AI484" i="1" a="1"/>
  <c r="AI484" i="1" s="1"/>
  <c r="AL484" i="1" l="1"/>
  <c r="BQ484" i="1" s="1"/>
  <c r="BS484" i="1" s="1"/>
  <c r="AK484" i="1"/>
  <c r="BP484" i="1" s="1"/>
  <c r="BR484" i="1" s="1"/>
  <c r="AF484" i="1"/>
  <c r="AG484" i="1"/>
  <c r="MA484" i="1" s="1"/>
  <c r="BG484" i="1" l="1"/>
  <c r="BU484" i="1"/>
  <c r="BF484" i="1"/>
  <c r="BT484" i="1"/>
  <c r="CF484" i="1"/>
  <c r="CJ484" i="1" l="1"/>
  <c r="CH484" i="1"/>
  <c r="BH484" i="1"/>
  <c r="BV484" i="1"/>
  <c r="BI484" i="1"/>
  <c r="BW484" i="1"/>
  <c r="CG484" i="1" l="1"/>
  <c r="BJ484" i="1"/>
  <c r="BX484" i="1"/>
  <c r="BK484" i="1"/>
  <c r="BY484" i="1"/>
  <c r="CK484" i="1" l="1"/>
  <c r="CI484" i="1"/>
  <c r="BM484" i="1"/>
  <c r="CA484" i="1"/>
  <c r="BL484" i="1"/>
  <c r="BZ484" i="1"/>
  <c r="BN484" i="1" l="1"/>
  <c r="CB484" i="1"/>
  <c r="BO484" i="1"/>
  <c r="CE484" i="1" s="1"/>
  <c r="CC484" i="1"/>
  <c r="CD484" i="1" l="1"/>
  <c r="AE484" i="1" a="1"/>
  <c r="AE484" i="1" s="1"/>
  <c r="AC485" i="1" s="1"/>
  <c r="AJ484" i="1" a="1"/>
  <c r="AJ484" i="1" s="1"/>
  <c r="AH485" i="1" s="1"/>
  <c r="AI485" i="1" l="1" a="1"/>
  <c r="AI485" i="1" s="1"/>
  <c r="AD485" i="1" a="1"/>
  <c r="AD485" i="1" s="1"/>
  <c r="AL485" i="1" l="1"/>
  <c r="BQ485" i="1" s="1"/>
  <c r="BS485" i="1" s="1"/>
  <c r="AK485" i="1"/>
  <c r="BP485" i="1" s="1"/>
  <c r="BR485" i="1" s="1"/>
  <c r="AG485" i="1"/>
  <c r="MA485" i="1" s="1"/>
  <c r="AF485" i="1"/>
  <c r="CF485" i="1" l="1"/>
  <c r="BG485" i="1"/>
  <c r="BU485" i="1"/>
  <c r="BF485" i="1"/>
  <c r="BT485" i="1"/>
  <c r="BH485" i="1" l="1"/>
  <c r="BV485" i="1"/>
  <c r="CJ485" i="1"/>
  <c r="CH485" i="1"/>
  <c r="BI485" i="1"/>
  <c r="BW485" i="1"/>
  <c r="CG485" i="1" l="1"/>
  <c r="BK485" i="1"/>
  <c r="BY485" i="1"/>
  <c r="BJ485" i="1"/>
  <c r="BX485" i="1"/>
  <c r="CI485" i="1" l="1"/>
  <c r="CK485" i="1"/>
  <c r="BL485" i="1"/>
  <c r="BZ485" i="1"/>
  <c r="BM485" i="1"/>
  <c r="CA485" i="1"/>
  <c r="BO485" i="1" l="1"/>
  <c r="CE485" i="1" s="1"/>
  <c r="CC485" i="1"/>
  <c r="BN485" i="1"/>
  <c r="CB485" i="1"/>
  <c r="CD485" i="1" l="1"/>
  <c r="AJ485" i="1" a="1"/>
  <c r="AJ485" i="1" s="1"/>
  <c r="AH486" i="1" s="1"/>
  <c r="AE485" i="1" a="1"/>
  <c r="AE485" i="1" s="1"/>
  <c r="AC486" i="1" s="1"/>
  <c r="AD486" i="1" l="1" a="1"/>
  <c r="AD486" i="1" s="1"/>
  <c r="AI486" i="1" a="1"/>
  <c r="AI486" i="1" s="1"/>
  <c r="AL486" i="1" l="1"/>
  <c r="BQ486" i="1" s="1"/>
  <c r="BS486" i="1" s="1"/>
  <c r="AK486" i="1"/>
  <c r="BP486" i="1" s="1"/>
  <c r="BR486" i="1" s="1"/>
  <c r="AF486" i="1"/>
  <c r="AG486" i="1"/>
  <c r="MA486" i="1" s="1"/>
  <c r="BF486" i="1" l="1"/>
  <c r="BT486" i="1"/>
  <c r="BG486" i="1"/>
  <c r="BU486" i="1"/>
  <c r="CF486" i="1"/>
  <c r="CJ486" i="1" l="1"/>
  <c r="CH486" i="1"/>
  <c r="BI486" i="1"/>
  <c r="BW486" i="1"/>
  <c r="BH486" i="1"/>
  <c r="BV486" i="1"/>
  <c r="CG486" i="1" l="1"/>
  <c r="BJ486" i="1"/>
  <c r="BX486" i="1"/>
  <c r="BK486" i="1"/>
  <c r="BY486" i="1"/>
  <c r="CI486" i="1" l="1"/>
  <c r="CK486" i="1"/>
  <c r="BM486" i="1"/>
  <c r="CA486" i="1"/>
  <c r="BL486" i="1"/>
  <c r="BZ486" i="1"/>
  <c r="BN486" i="1" l="1"/>
  <c r="CB486" i="1"/>
  <c r="BO486" i="1"/>
  <c r="CE486" i="1" s="1"/>
  <c r="CC486" i="1"/>
  <c r="CD486" i="1" l="1"/>
  <c r="AJ486" i="1" a="1"/>
  <c r="AJ486" i="1" s="1"/>
  <c r="AH487" i="1" s="1"/>
  <c r="AE486" i="1" a="1"/>
  <c r="AE486" i="1" s="1"/>
  <c r="AC487" i="1" s="1"/>
  <c r="AD487" i="1" l="1" a="1"/>
  <c r="AD487" i="1" s="1"/>
  <c r="AI487" i="1" a="1"/>
  <c r="AI487" i="1" s="1"/>
  <c r="AL487" i="1" l="1"/>
  <c r="BQ487" i="1" s="1"/>
  <c r="BS487" i="1" s="1"/>
  <c r="AK487" i="1"/>
  <c r="BP487" i="1" s="1"/>
  <c r="BR487" i="1" s="1"/>
  <c r="AG487" i="1"/>
  <c r="MA487" i="1" s="1"/>
  <c r="AF487" i="1"/>
  <c r="BG487" i="1" l="1"/>
  <c r="BU487" i="1"/>
  <c r="CF487" i="1"/>
  <c r="BF487" i="1"/>
  <c r="BT487" i="1"/>
  <c r="CJ487" i="1" l="1"/>
  <c r="CH487" i="1"/>
  <c r="BH487" i="1"/>
  <c r="BV487" i="1"/>
  <c r="BI487" i="1"/>
  <c r="BW487" i="1"/>
  <c r="CG487" i="1" l="1"/>
  <c r="BK487" i="1"/>
  <c r="BY487" i="1"/>
  <c r="BJ487" i="1"/>
  <c r="BX487" i="1"/>
  <c r="CK487" i="1" l="1"/>
  <c r="CI487" i="1"/>
  <c r="BL487" i="1"/>
  <c r="BZ487" i="1"/>
  <c r="BM487" i="1"/>
  <c r="CA487" i="1"/>
  <c r="BO487" i="1" l="1"/>
  <c r="CE487" i="1" s="1"/>
  <c r="CC487" i="1"/>
  <c r="BN487" i="1"/>
  <c r="CB487" i="1"/>
  <c r="CD487" i="1" l="1"/>
  <c r="AE487" i="1" a="1"/>
  <c r="AE487" i="1" s="1"/>
  <c r="AC488" i="1" s="1"/>
  <c r="AJ487" i="1" a="1"/>
  <c r="AJ487" i="1" s="1"/>
  <c r="AH488" i="1" s="1"/>
  <c r="AD488" i="1" l="1" a="1"/>
  <c r="AD488" i="1" s="1"/>
  <c r="AI488" i="1" a="1"/>
  <c r="AI488" i="1" s="1"/>
  <c r="AL488" i="1" l="1"/>
  <c r="BQ488" i="1" s="1"/>
  <c r="BS488" i="1" s="1"/>
  <c r="AK488" i="1"/>
  <c r="BP488" i="1" s="1"/>
  <c r="BR488" i="1" s="1"/>
  <c r="AF488" i="1"/>
  <c r="AG488" i="1"/>
  <c r="MA488" i="1" s="1"/>
  <c r="BG488" i="1" l="1"/>
  <c r="BU488" i="1"/>
  <c r="BF488" i="1"/>
  <c r="BT488" i="1"/>
  <c r="CF488" i="1"/>
  <c r="CJ488" i="1" l="1"/>
  <c r="CH488" i="1"/>
  <c r="BH488" i="1"/>
  <c r="BV488" i="1"/>
  <c r="BI488" i="1"/>
  <c r="BW488" i="1"/>
  <c r="CG488" i="1" l="1"/>
  <c r="BK488" i="1"/>
  <c r="BY488" i="1"/>
  <c r="BJ488" i="1"/>
  <c r="BX488" i="1"/>
  <c r="CK488" i="1" l="1"/>
  <c r="CI488" i="1"/>
  <c r="BL488" i="1"/>
  <c r="BZ488" i="1"/>
  <c r="BM488" i="1"/>
  <c r="CA488" i="1"/>
  <c r="BO488" i="1" l="1"/>
  <c r="CE488" i="1" s="1"/>
  <c r="CC488" i="1"/>
  <c r="BN488" i="1"/>
  <c r="CB488" i="1"/>
  <c r="CD488" i="1" l="1"/>
  <c r="AE488" i="1" a="1"/>
  <c r="AE488" i="1" s="1"/>
  <c r="AC489" i="1" s="1"/>
  <c r="AJ488" i="1" a="1"/>
  <c r="AJ488" i="1" s="1"/>
  <c r="AH489" i="1" s="1"/>
  <c r="AD489" i="1" l="1" a="1"/>
  <c r="AD489" i="1" s="1"/>
  <c r="AI489" i="1" a="1"/>
  <c r="AI489" i="1" s="1"/>
  <c r="AL489" i="1" l="1"/>
  <c r="BQ489" i="1" s="1"/>
  <c r="BS489" i="1" s="1"/>
  <c r="AK489" i="1"/>
  <c r="BP489" i="1" s="1"/>
  <c r="BR489" i="1" s="1"/>
  <c r="AG489" i="1"/>
  <c r="MA489" i="1" s="1"/>
  <c r="AF489" i="1"/>
  <c r="CF489" i="1" l="1"/>
  <c r="BF489" i="1"/>
  <c r="BT489" i="1"/>
  <c r="BG489" i="1"/>
  <c r="BU489" i="1"/>
  <c r="BI489" i="1" l="1"/>
  <c r="BW489" i="1"/>
  <c r="BH489" i="1"/>
  <c r="BV489" i="1"/>
  <c r="CJ489" i="1"/>
  <c r="CH489" i="1"/>
  <c r="CG489" i="1" l="1"/>
  <c r="BJ489" i="1"/>
  <c r="BX489" i="1"/>
  <c r="BK489" i="1"/>
  <c r="BY489" i="1"/>
  <c r="CK489" i="1" l="1"/>
  <c r="CI489" i="1"/>
  <c r="BM489" i="1"/>
  <c r="CA489" i="1"/>
  <c r="BL489" i="1"/>
  <c r="BZ489" i="1"/>
  <c r="BN489" i="1" l="1"/>
  <c r="CB489" i="1"/>
  <c r="BO489" i="1"/>
  <c r="CE489" i="1" s="1"/>
  <c r="CC489" i="1"/>
  <c r="CD489" i="1" l="1"/>
  <c r="AJ489" i="1" a="1"/>
  <c r="AJ489" i="1" s="1"/>
  <c r="AH490" i="1" s="1"/>
  <c r="AE489" i="1" a="1"/>
  <c r="AE489" i="1" s="1"/>
  <c r="AC490" i="1" s="1"/>
  <c r="AI490" i="1" l="1" a="1"/>
  <c r="AI490" i="1" s="1"/>
  <c r="AD490" i="1" a="1"/>
  <c r="AD490" i="1" s="1"/>
  <c r="AL490" i="1" l="1"/>
  <c r="BQ490" i="1" s="1"/>
  <c r="BS490" i="1" s="1"/>
  <c r="AK490" i="1"/>
  <c r="BP490" i="1" s="1"/>
  <c r="BR490" i="1" s="1"/>
  <c r="AG490" i="1"/>
  <c r="MA490" i="1" s="1"/>
  <c r="AF490" i="1"/>
  <c r="CF490" i="1" l="1"/>
  <c r="BF490" i="1"/>
  <c r="BT490" i="1"/>
  <c r="BG490" i="1"/>
  <c r="BU490" i="1"/>
  <c r="BI490" i="1" l="1"/>
  <c r="BW490" i="1"/>
  <c r="BH490" i="1"/>
  <c r="BV490" i="1"/>
  <c r="CJ490" i="1"/>
  <c r="CH490" i="1"/>
  <c r="CG490" i="1" l="1"/>
  <c r="BJ490" i="1"/>
  <c r="BX490" i="1"/>
  <c r="BK490" i="1"/>
  <c r="BY490" i="1"/>
  <c r="CK490" i="1" l="1"/>
  <c r="CI490" i="1"/>
  <c r="BM490" i="1"/>
  <c r="CA490" i="1"/>
  <c r="BL490" i="1"/>
  <c r="BZ490" i="1"/>
  <c r="BN490" i="1" l="1"/>
  <c r="CB490" i="1"/>
  <c r="BO490" i="1"/>
  <c r="CE490" i="1" s="1"/>
  <c r="CC490" i="1"/>
  <c r="CD490" i="1" l="1"/>
  <c r="AJ490" i="1" a="1"/>
  <c r="AJ490" i="1" s="1"/>
  <c r="AH491" i="1" s="1"/>
  <c r="AE490" i="1" a="1"/>
  <c r="AE490" i="1" s="1"/>
  <c r="AC491" i="1" s="1"/>
  <c r="AI491" i="1" l="1" a="1"/>
  <c r="AI491" i="1" s="1"/>
  <c r="AD491" i="1" a="1"/>
  <c r="AD491" i="1" s="1"/>
  <c r="AL491" i="1" l="1"/>
  <c r="HF491" i="1" s="1"/>
  <c r="AK491" i="1"/>
  <c r="HE491" i="1" s="1"/>
  <c r="AF491" i="1"/>
  <c r="AG491" i="1"/>
  <c r="MA491" i="1" s="1"/>
  <c r="HX491" i="1" l="1"/>
  <c r="HV491" i="1"/>
  <c r="HW491" i="1"/>
  <c r="HU491" i="1"/>
  <c r="GV491" i="1"/>
  <c r="HJ491" i="1"/>
  <c r="GU491" i="1"/>
  <c r="HI491" i="1"/>
  <c r="GW491" i="1" l="1"/>
  <c r="HK491" i="1"/>
  <c r="GX491" i="1"/>
  <c r="HL491" i="1"/>
  <c r="GZ491" i="1" l="1"/>
  <c r="HN491" i="1"/>
  <c r="GY491" i="1"/>
  <c r="HM491" i="1"/>
  <c r="HA491" i="1" l="1"/>
  <c r="HO491" i="1"/>
  <c r="HB491" i="1"/>
  <c r="HP491" i="1"/>
  <c r="HD491" i="1" l="1"/>
  <c r="HT491" i="1" s="1"/>
  <c r="HR491" i="1"/>
  <c r="HC491" i="1"/>
  <c r="HQ491" i="1"/>
  <c r="AJ491" i="1" l="1" a="1"/>
  <c r="AJ491" i="1" s="1"/>
  <c r="AH492" i="1" s="1"/>
  <c r="HS491" i="1"/>
  <c r="Z491" i="1" a="1"/>
  <c r="Z491" i="1" s="1"/>
  <c r="Y492" i="1" s="1" a="1"/>
  <c r="Y492" i="1" s="1"/>
  <c r="AE491" i="1" a="1"/>
  <c r="AE491" i="1" s="1"/>
  <c r="AC492" i="1" s="1"/>
  <c r="AA492" i="1" l="1"/>
  <c r="HG492" i="1" s="1"/>
  <c r="AB492" i="1"/>
  <c r="HH492" i="1" s="1"/>
  <c r="AD492" i="1" a="1"/>
  <c r="AD492" i="1" s="1"/>
  <c r="AI492" i="1" a="1"/>
  <c r="AI492" i="1" s="1"/>
  <c r="AL492" i="1" l="1"/>
  <c r="HF492" i="1" s="1"/>
  <c r="AK492" i="1"/>
  <c r="HE492" i="1" s="1"/>
  <c r="AF492" i="1"/>
  <c r="AG492" i="1"/>
  <c r="MA492" i="1" s="1"/>
  <c r="GV492" i="1" l="1"/>
  <c r="HJ492" i="1"/>
  <c r="HW492" i="1"/>
  <c r="HU492" i="1"/>
  <c r="HX492" i="1"/>
  <c r="HV492" i="1"/>
  <c r="GU492" i="1"/>
  <c r="HI492" i="1"/>
  <c r="GW492" i="1" l="1"/>
  <c r="HK492" i="1"/>
  <c r="GX492" i="1"/>
  <c r="HL492" i="1"/>
  <c r="GZ492" i="1" l="1"/>
  <c r="HN492" i="1"/>
  <c r="GY492" i="1"/>
  <c r="HM492" i="1"/>
  <c r="HA492" i="1" l="1"/>
  <c r="HO492" i="1"/>
  <c r="HB492" i="1"/>
  <c r="HP492" i="1"/>
  <c r="HD492" i="1" l="1"/>
  <c r="HT492" i="1" s="1"/>
  <c r="HR492" i="1"/>
  <c r="HC492" i="1"/>
  <c r="HQ492" i="1"/>
  <c r="HS492" i="1" l="1"/>
  <c r="Z492" i="1" a="1"/>
  <c r="Z492" i="1" s="1"/>
  <c r="Y493" i="1" s="1" a="1"/>
  <c r="Y493" i="1" s="1"/>
  <c r="AJ492" i="1" a="1"/>
  <c r="AJ492" i="1" s="1"/>
  <c r="AH493" i="1" s="1"/>
  <c r="AE492" i="1" a="1"/>
  <c r="AE492" i="1" s="1"/>
  <c r="AC493" i="1" s="1"/>
  <c r="AD493" i="1" l="1" a="1"/>
  <c r="AD493" i="1" s="1"/>
  <c r="AA493" i="1"/>
  <c r="HG493" i="1" s="1"/>
  <c r="AB493" i="1"/>
  <c r="HH493" i="1" s="1"/>
  <c r="AI493" i="1" a="1"/>
  <c r="AI493" i="1" s="1"/>
  <c r="AL493" i="1" l="1"/>
  <c r="HF493" i="1" s="1"/>
  <c r="AK493" i="1"/>
  <c r="HE493" i="1" s="1"/>
  <c r="AF493" i="1"/>
  <c r="AG493" i="1"/>
  <c r="MA493" i="1" s="1"/>
  <c r="GU493" i="1" l="1"/>
  <c r="HI493" i="1"/>
  <c r="HW493" i="1"/>
  <c r="HU493" i="1"/>
  <c r="GV493" i="1"/>
  <c r="HJ493" i="1"/>
  <c r="HX493" i="1"/>
  <c r="HV493" i="1"/>
  <c r="GX493" i="1" l="1"/>
  <c r="HL493" i="1"/>
  <c r="GW493" i="1"/>
  <c r="HK493" i="1"/>
  <c r="GY493" i="1" l="1"/>
  <c r="HM493" i="1"/>
  <c r="GZ493" i="1"/>
  <c r="HN493" i="1"/>
  <c r="HB493" i="1" l="1"/>
  <c r="HP493" i="1"/>
  <c r="HA493" i="1"/>
  <c r="HO493" i="1"/>
  <c r="HC493" i="1" l="1"/>
  <c r="HQ493" i="1"/>
  <c r="HD493" i="1"/>
  <c r="HT493" i="1" s="1"/>
  <c r="HR493" i="1"/>
  <c r="HS493" i="1" l="1"/>
  <c r="Z493" i="1" a="1"/>
  <c r="Z493" i="1" s="1"/>
  <c r="Y494" i="1" s="1" a="1"/>
  <c r="Y494" i="1" s="1"/>
  <c r="AE493" i="1" a="1"/>
  <c r="AE493" i="1" s="1"/>
  <c r="AC494" i="1" s="1"/>
  <c r="AJ493" i="1" a="1"/>
  <c r="AJ493" i="1" s="1"/>
  <c r="AH494" i="1" s="1"/>
  <c r="AI494" i="1" l="1" a="1"/>
  <c r="AI494" i="1" s="1"/>
  <c r="AA494" i="1"/>
  <c r="HG494" i="1" s="1"/>
  <c r="AB494" i="1"/>
  <c r="HH494" i="1" s="1"/>
  <c r="AD494" i="1" a="1"/>
  <c r="AD494" i="1" s="1"/>
  <c r="AL494" i="1" l="1"/>
  <c r="HF494" i="1" s="1"/>
  <c r="AK494" i="1"/>
  <c r="HE494" i="1" s="1"/>
  <c r="AF494" i="1"/>
  <c r="AG494" i="1"/>
  <c r="MA494" i="1" s="1"/>
  <c r="GV494" i="1" l="1"/>
  <c r="HJ494" i="1"/>
  <c r="HW494" i="1"/>
  <c r="HU494" i="1"/>
  <c r="GU494" i="1"/>
  <c r="HI494" i="1"/>
  <c r="HX494" i="1"/>
  <c r="HV494" i="1"/>
  <c r="GW494" i="1" l="1"/>
  <c r="HK494" i="1"/>
  <c r="GX494" i="1"/>
  <c r="HL494" i="1"/>
  <c r="GZ494" i="1" l="1"/>
  <c r="HN494" i="1"/>
  <c r="GY494" i="1"/>
  <c r="HM494" i="1"/>
  <c r="HA494" i="1" l="1"/>
  <c r="HO494" i="1"/>
  <c r="HB494" i="1"/>
  <c r="HP494" i="1"/>
  <c r="HD494" i="1" l="1"/>
  <c r="HT494" i="1" s="1"/>
  <c r="HR494" i="1"/>
  <c r="HC494" i="1"/>
  <c r="HQ494" i="1"/>
  <c r="HS494" i="1" l="1"/>
  <c r="AE494" i="1" a="1"/>
  <c r="AE494" i="1" s="1"/>
  <c r="AC495" i="1" s="1"/>
  <c r="Z494" i="1" a="1"/>
  <c r="Z494" i="1" s="1"/>
  <c r="Y497" i="1" s="1" a="1"/>
  <c r="Y497" i="1" s="1"/>
  <c r="AJ494" i="1" a="1"/>
  <c r="AJ494" i="1" s="1"/>
  <c r="AH495" i="1" s="1"/>
  <c r="AA497" i="1" l="1"/>
  <c r="HG497" i="1" s="1"/>
  <c r="AB497" i="1"/>
  <c r="HH497" i="1" s="1"/>
  <c r="AB540" i="1"/>
  <c r="KD540" i="1" s="1"/>
  <c r="AA540" i="1"/>
  <c r="KC540" i="1" s="1"/>
  <c r="Z540" i="1" s="1" a="1"/>
  <c r="Z540" i="1" s="1"/>
  <c r="Y541" i="1" s="1" a="1"/>
  <c r="Y541" i="1" s="1"/>
  <c r="AA530" i="1"/>
  <c r="HG530" i="1" s="1"/>
  <c r="AB530" i="1"/>
  <c r="HH530" i="1" s="1"/>
  <c r="AI495" i="1" a="1"/>
  <c r="AI495" i="1" s="1"/>
  <c r="AD495" i="1" a="1"/>
  <c r="AD495" i="1" s="1"/>
  <c r="AL495" i="1" l="1"/>
  <c r="BQ495" i="1" s="1"/>
  <c r="BS495" i="1" s="1"/>
  <c r="AK495" i="1"/>
  <c r="BP495" i="1" s="1"/>
  <c r="BR495" i="1" s="1"/>
  <c r="AA541" i="1"/>
  <c r="KC541" i="1" s="1"/>
  <c r="Z541" i="1" s="1" a="1"/>
  <c r="Z541" i="1" s="1"/>
  <c r="Y542" i="1" s="1" a="1"/>
  <c r="Y542" i="1" s="1"/>
  <c r="AB541" i="1"/>
  <c r="KD541" i="1" s="1"/>
  <c r="AG495" i="1"/>
  <c r="MA495" i="1" s="1"/>
  <c r="AF495" i="1"/>
  <c r="AB542" i="1" l="1"/>
  <c r="KD542" i="1" s="1"/>
  <c r="AA542" i="1"/>
  <c r="KC542" i="1" s="1"/>
  <c r="Z542" i="1" s="1" a="1"/>
  <c r="Z542" i="1" s="1"/>
  <c r="Y543" i="1" s="1" a="1"/>
  <c r="Y543" i="1" s="1"/>
  <c r="BF495" i="1"/>
  <c r="BT495" i="1"/>
  <c r="BG495" i="1"/>
  <c r="BU495" i="1"/>
  <c r="CF495" i="1"/>
  <c r="AB543" i="1" l="1"/>
  <c r="KD543" i="1" s="1"/>
  <c r="AA543" i="1"/>
  <c r="KC543" i="1" s="1"/>
  <c r="Z543" i="1" s="1" a="1"/>
  <c r="Z543" i="1" s="1"/>
  <c r="Y544" i="1" s="1" a="1"/>
  <c r="Y544" i="1" s="1"/>
  <c r="BI495" i="1"/>
  <c r="BW495" i="1"/>
  <c r="CJ495" i="1"/>
  <c r="CH495" i="1"/>
  <c r="BH495" i="1"/>
  <c r="BV495" i="1"/>
  <c r="CG495" i="1" l="1"/>
  <c r="AB544" i="1"/>
  <c r="KD544" i="1" s="1"/>
  <c r="AA544" i="1"/>
  <c r="KC544" i="1" s="1"/>
  <c r="Z544" i="1" s="1" a="1"/>
  <c r="Z544" i="1" s="1"/>
  <c r="Y545" i="1" s="1" a="1"/>
  <c r="Y545" i="1" s="1"/>
  <c r="BJ495" i="1"/>
  <c r="BX495" i="1"/>
  <c r="BK495" i="1"/>
  <c r="BY495" i="1"/>
  <c r="CK495" i="1" l="1"/>
  <c r="CI495" i="1"/>
  <c r="AB545" i="1"/>
  <c r="KD545" i="1" s="1"/>
  <c r="AA545" i="1"/>
  <c r="KC545" i="1" s="1"/>
  <c r="Z545" i="1" s="1" a="1"/>
  <c r="Z545" i="1" s="1"/>
  <c r="Y546" i="1" s="1" a="1"/>
  <c r="Y546" i="1" s="1"/>
  <c r="BM495" i="1"/>
  <c r="CA495" i="1"/>
  <c r="BL495" i="1"/>
  <c r="BZ495" i="1"/>
  <c r="AB546" i="1" l="1"/>
  <c r="KD546" i="1" s="1"/>
  <c r="AA546" i="1"/>
  <c r="KC546" i="1" s="1"/>
  <c r="Z546" i="1" s="1" a="1"/>
  <c r="Z546" i="1" s="1"/>
  <c r="Y547" i="1" s="1" a="1"/>
  <c r="Y547" i="1" s="1"/>
  <c r="BN495" i="1"/>
  <c r="CB495" i="1"/>
  <c r="BO495" i="1"/>
  <c r="CE495" i="1" s="1"/>
  <c r="CC495" i="1"/>
  <c r="AB547" i="1" l="1"/>
  <c r="KD547" i="1" s="1"/>
  <c r="AA547" i="1"/>
  <c r="KC547" i="1" s="1"/>
  <c r="Z547" i="1" s="1" a="1"/>
  <c r="Z547" i="1" s="1"/>
  <c r="Y548" i="1" s="1" a="1"/>
  <c r="Y548" i="1" s="1"/>
  <c r="CD495" i="1"/>
  <c r="AE495" i="1" a="1"/>
  <c r="AE495" i="1" s="1"/>
  <c r="AC496" i="1" s="1"/>
  <c r="AJ495" i="1" a="1"/>
  <c r="AJ495" i="1" s="1"/>
  <c r="AH496" i="1" s="1"/>
  <c r="AB548" i="1" l="1"/>
  <c r="KD548" i="1" s="1"/>
  <c r="AA548" i="1"/>
  <c r="KC548" i="1" s="1"/>
  <c r="Z548" i="1" s="1" a="1"/>
  <c r="Z548" i="1" s="1"/>
  <c r="Y549" i="1" s="1" a="1"/>
  <c r="Y549" i="1" s="1"/>
  <c r="AD496" i="1" a="1"/>
  <c r="AD496" i="1" s="1"/>
  <c r="AI496" i="1" a="1"/>
  <c r="AI496" i="1" s="1"/>
  <c r="AL496" i="1" l="1"/>
  <c r="BQ496" i="1" s="1"/>
  <c r="BS496" i="1" s="1"/>
  <c r="AK496" i="1"/>
  <c r="BP496" i="1" s="1"/>
  <c r="BR496" i="1" s="1"/>
  <c r="AB549" i="1"/>
  <c r="KD549" i="1" s="1"/>
  <c r="AA549" i="1"/>
  <c r="KC549" i="1" s="1"/>
  <c r="AG496" i="1"/>
  <c r="MA496" i="1" s="1"/>
  <c r="AF496" i="1"/>
  <c r="Z549" i="1" l="1" a="1"/>
  <c r="Z549" i="1" s="1"/>
  <c r="Y550" i="1" s="1" a="1"/>
  <c r="Y550" i="1" s="1"/>
  <c r="AB550" i="1" s="1"/>
  <c r="KD550" i="1" s="1"/>
  <c r="CF496" i="1"/>
  <c r="BF496" i="1"/>
  <c r="BT496" i="1"/>
  <c r="BG496" i="1"/>
  <c r="BU496" i="1"/>
  <c r="AA550" i="1" l="1"/>
  <c r="KC550" i="1" s="1"/>
  <c r="Z550" i="1" s="1" a="1"/>
  <c r="Z550" i="1" s="1"/>
  <c r="Y551" i="1" s="1" a="1"/>
  <c r="Y551" i="1" s="1"/>
  <c r="AA551" i="1" s="1"/>
  <c r="KC551" i="1" s="1"/>
  <c r="BH496" i="1"/>
  <c r="BV496" i="1"/>
  <c r="BI496" i="1"/>
  <c r="BW496" i="1"/>
  <c r="CJ496" i="1"/>
  <c r="CH496" i="1"/>
  <c r="Z551" i="1" l="1" a="1"/>
  <c r="Z551" i="1" s="1"/>
  <c r="Y552" i="1" s="1" a="1"/>
  <c r="Y552" i="1" s="1"/>
  <c r="AB552" i="1" s="1"/>
  <c r="KD552" i="1" s="1"/>
  <c r="AB551" i="1"/>
  <c r="KD551" i="1" s="1"/>
  <c r="CG496" i="1"/>
  <c r="BK496" i="1"/>
  <c r="BY496" i="1"/>
  <c r="BJ496" i="1"/>
  <c r="BX496" i="1"/>
  <c r="AA552" i="1" l="1"/>
  <c r="KC552" i="1" s="1"/>
  <c r="CI496" i="1"/>
  <c r="CK496" i="1"/>
  <c r="Z552" i="1" a="1"/>
  <c r="Z552" i="1" s="1"/>
  <c r="BL496" i="1"/>
  <c r="BZ496" i="1"/>
  <c r="BM496" i="1"/>
  <c r="CA496" i="1"/>
  <c r="BO496" i="1" l="1"/>
  <c r="CE496" i="1" s="1"/>
  <c r="CC496" i="1"/>
  <c r="BN496" i="1"/>
  <c r="CB496" i="1"/>
  <c r="CD496" i="1" l="1"/>
  <c r="AJ496" i="1" a="1"/>
  <c r="AJ496" i="1" s="1"/>
  <c r="AH497" i="1" s="1"/>
  <c r="AE496" i="1" a="1"/>
  <c r="AE496" i="1" s="1"/>
  <c r="AC497" i="1" s="1"/>
  <c r="AI497" i="1" l="1" a="1"/>
  <c r="AI497" i="1" s="1"/>
  <c r="AD497" i="1" a="1"/>
  <c r="AD497" i="1" s="1"/>
  <c r="AL497" i="1" l="1"/>
  <c r="HF497" i="1" s="1"/>
  <c r="AK497" i="1"/>
  <c r="HE497" i="1" s="1"/>
  <c r="AG497" i="1"/>
  <c r="MA497" i="1" s="1"/>
  <c r="AF497" i="1"/>
  <c r="GU497" i="1" l="1"/>
  <c r="HI497" i="1"/>
  <c r="HW497" i="1"/>
  <c r="HU497" i="1"/>
  <c r="HX497" i="1"/>
  <c r="HV497" i="1"/>
  <c r="GV497" i="1"/>
  <c r="HJ497" i="1"/>
  <c r="GX497" i="1" l="1"/>
  <c r="HL497" i="1"/>
  <c r="GW497" i="1"/>
  <c r="HK497" i="1"/>
  <c r="GY497" i="1" l="1"/>
  <c r="HM497" i="1"/>
  <c r="GZ497" i="1"/>
  <c r="HN497" i="1"/>
  <c r="HB497" i="1" l="1"/>
  <c r="HP497" i="1"/>
  <c r="HA497" i="1"/>
  <c r="HO497" i="1"/>
  <c r="HC497" i="1" l="1"/>
  <c r="HQ497" i="1"/>
  <c r="HD497" i="1"/>
  <c r="HT497" i="1" s="1"/>
  <c r="HR497" i="1"/>
  <c r="HS497" i="1" l="1"/>
  <c r="AE497" i="1" a="1"/>
  <c r="AE497" i="1" s="1"/>
  <c r="AC498" i="1" s="1"/>
  <c r="AJ497" i="1" a="1"/>
  <c r="AJ497" i="1" s="1"/>
  <c r="AH498" i="1" s="1"/>
  <c r="Z497" i="1" a="1"/>
  <c r="Z497" i="1" s="1"/>
  <c r="AI498" i="1" l="1" a="1"/>
  <c r="AI498" i="1" s="1"/>
  <c r="AD498" i="1" a="1"/>
  <c r="AD498" i="1" s="1"/>
  <c r="AL498" i="1" l="1"/>
  <c r="BQ498" i="1" s="1"/>
  <c r="BS498" i="1" s="1"/>
  <c r="AK498" i="1"/>
  <c r="BP498" i="1" s="1"/>
  <c r="BR498" i="1" s="1"/>
  <c r="AG498" i="1"/>
  <c r="MA498" i="1" s="1"/>
  <c r="AF498" i="1"/>
  <c r="BF498" i="1" l="1"/>
  <c r="BT498" i="1"/>
  <c r="CF498" i="1"/>
  <c r="BG498" i="1"/>
  <c r="BU498" i="1"/>
  <c r="BI498" i="1" l="1"/>
  <c r="BW498" i="1"/>
  <c r="CJ498" i="1"/>
  <c r="CH498" i="1"/>
  <c r="BH498" i="1"/>
  <c r="BV498" i="1"/>
  <c r="CG498" i="1" l="1"/>
  <c r="BJ498" i="1"/>
  <c r="BX498" i="1"/>
  <c r="BK498" i="1"/>
  <c r="BY498" i="1"/>
  <c r="CI498" i="1" l="1"/>
  <c r="CK498" i="1"/>
  <c r="BM498" i="1"/>
  <c r="CA498" i="1"/>
  <c r="BL498" i="1"/>
  <c r="BZ498" i="1"/>
  <c r="BN498" i="1" l="1"/>
  <c r="CB498" i="1"/>
  <c r="BO498" i="1"/>
  <c r="CE498" i="1" s="1"/>
  <c r="CC498" i="1"/>
  <c r="CD498" i="1" l="1"/>
  <c r="AJ498" i="1" a="1"/>
  <c r="AJ498" i="1" s="1"/>
  <c r="AH499" i="1" s="1"/>
  <c r="AE498" i="1" a="1"/>
  <c r="AE498" i="1" s="1"/>
  <c r="AC499" i="1" s="1"/>
  <c r="AI499" i="1" l="1" a="1"/>
  <c r="AI499" i="1" s="1"/>
  <c r="AD499" i="1" a="1"/>
  <c r="AD499" i="1" s="1"/>
  <c r="AL499" i="1" l="1"/>
  <c r="BQ499" i="1" s="1"/>
  <c r="BS499" i="1" s="1"/>
  <c r="AK499" i="1"/>
  <c r="BP499" i="1" s="1"/>
  <c r="BR499" i="1" s="1"/>
  <c r="CF523" i="1"/>
  <c r="AG499" i="1"/>
  <c r="MA499" i="1" s="1"/>
  <c r="AF499" i="1"/>
  <c r="CJ523" i="1" l="1"/>
  <c r="CH523" i="1"/>
  <c r="BF499" i="1"/>
  <c r="BT499" i="1"/>
  <c r="BG499" i="1"/>
  <c r="BU499" i="1"/>
  <c r="CF499" i="1"/>
  <c r="CJ499" i="1" l="1"/>
  <c r="CH499" i="1"/>
  <c r="BI499" i="1"/>
  <c r="BW499" i="1"/>
  <c r="BH499" i="1"/>
  <c r="BV499" i="1"/>
  <c r="CG499" i="1" l="1"/>
  <c r="BJ499" i="1"/>
  <c r="BX499" i="1"/>
  <c r="BK499" i="1"/>
  <c r="BY499" i="1"/>
  <c r="CK499" i="1" l="1"/>
  <c r="CI499" i="1"/>
  <c r="BM499" i="1"/>
  <c r="CA499" i="1"/>
  <c r="BL499" i="1"/>
  <c r="BZ499" i="1"/>
  <c r="BN499" i="1" l="1"/>
  <c r="CB499" i="1"/>
  <c r="BO499" i="1"/>
  <c r="CE499" i="1" s="1"/>
  <c r="CC499" i="1"/>
  <c r="CD499" i="1" l="1"/>
  <c r="AJ499" i="1" a="1"/>
  <c r="AJ499" i="1" s="1"/>
  <c r="AE499" i="1" a="1"/>
  <c r="AE499" i="1" s="1"/>
  <c r="AC500" i="1" s="1"/>
  <c r="AD500" i="1" l="1" a="1"/>
  <c r="AD500" i="1" s="1"/>
  <c r="AG500" i="1" l="1"/>
  <c r="MA500" i="1" s="1"/>
  <c r="AE500" i="1" s="1" a="1"/>
  <c r="AE500" i="1" s="1"/>
  <c r="AF500" i="1"/>
  <c r="AD517" i="1" l="1" a="1"/>
  <c r="AD517" i="1" s="1"/>
  <c r="AF517" i="1" l="1"/>
  <c r="LZ517" i="1" s="1"/>
  <c r="AE517" i="1" s="1" a="1"/>
  <c r="AE517" i="1" s="1"/>
  <c r="AC518" i="1" s="1"/>
  <c r="AG517" i="1"/>
  <c r="MA517" i="1" s="1"/>
  <c r="AD518" i="1" l="1" a="1"/>
  <c r="AD518" i="1" s="1"/>
  <c r="AF518" i="1" l="1"/>
  <c r="LZ518" i="1" s="1"/>
  <c r="AE518" i="1" s="1" a="1"/>
  <c r="AE518" i="1" s="1"/>
  <c r="AC519" i="1" s="1"/>
  <c r="AG518" i="1"/>
  <c r="MA518" i="1" s="1"/>
  <c r="AD519" i="1" l="1" a="1"/>
  <c r="AD519" i="1" s="1"/>
  <c r="AG519" i="1" l="1"/>
  <c r="MA519" i="1" s="1"/>
  <c r="AF519" i="1"/>
  <c r="LZ519" i="1" s="1"/>
  <c r="AE519" i="1" s="1" a="1"/>
  <c r="AE519" i="1" s="1"/>
  <c r="AC520" i="1" s="1"/>
  <c r="AD520" i="1" l="1" a="1"/>
  <c r="AD520" i="1" s="1"/>
  <c r="AF520" i="1" l="1"/>
  <c r="LZ520" i="1" s="1"/>
  <c r="AE520" i="1" s="1" a="1"/>
  <c r="AE520" i="1" s="1"/>
  <c r="AC521" i="1" s="1"/>
  <c r="AG520" i="1"/>
  <c r="MA520" i="1" s="1"/>
  <c r="AD521" i="1" l="1" a="1"/>
  <c r="AD521" i="1" s="1"/>
  <c r="AF521" i="1" l="1"/>
  <c r="LZ521" i="1" s="1"/>
  <c r="AE521" i="1" s="1" a="1"/>
  <c r="AE521" i="1" s="1"/>
  <c r="AC522" i="1" s="1"/>
  <c r="AG521" i="1"/>
  <c r="MA521" i="1" s="1"/>
  <c r="AD522" i="1" l="1" a="1"/>
  <c r="AD522" i="1" s="1"/>
  <c r="AF522" i="1" l="1"/>
  <c r="LZ522" i="1" s="1"/>
  <c r="AE522" i="1" s="1" a="1"/>
  <c r="AE522" i="1" s="1"/>
  <c r="AG522" i="1"/>
  <c r="MA522" i="1" s="1"/>
  <c r="AG523" i="1" l="1"/>
  <c r="MA523" i="1" s="1"/>
  <c r="AF523" i="1"/>
  <c r="BF523" i="1" l="1"/>
  <c r="BT523" i="1"/>
  <c r="BG523" i="1"/>
  <c r="BU523" i="1"/>
  <c r="BI523" i="1" l="1"/>
  <c r="BW523" i="1"/>
  <c r="BH523" i="1"/>
  <c r="BV523" i="1"/>
  <c r="CG523" i="1" l="1"/>
  <c r="BJ523" i="1"/>
  <c r="BX523" i="1"/>
  <c r="BK523" i="1"/>
  <c r="BY523" i="1"/>
  <c r="CK523" i="1" l="1"/>
  <c r="CI523" i="1"/>
  <c r="BM523" i="1"/>
  <c r="CA523" i="1"/>
  <c r="BL523" i="1"/>
  <c r="BZ523" i="1"/>
  <c r="BN523" i="1" l="1"/>
  <c r="CB523" i="1"/>
  <c r="BO523" i="1"/>
  <c r="CE523" i="1" s="1"/>
  <c r="CC523" i="1"/>
  <c r="CD523" i="1" l="1"/>
  <c r="AJ523" i="1" a="1"/>
  <c r="AJ523" i="1" s="1"/>
  <c r="AH524" i="1" s="1"/>
  <c r="AE523" i="1" a="1"/>
  <c r="AE523" i="1" s="1"/>
  <c r="AC524" i="1" s="1"/>
  <c r="AI524" i="1" l="1" a="1"/>
  <c r="AI524" i="1" s="1"/>
  <c r="AD524" i="1" a="1"/>
  <c r="AD524" i="1" s="1"/>
  <c r="AL524" i="1" l="1"/>
  <c r="BQ524" i="1" s="1"/>
  <c r="BS524" i="1" s="1"/>
  <c r="AK524" i="1"/>
  <c r="BP524" i="1" s="1"/>
  <c r="BR524" i="1" s="1"/>
  <c r="AG524" i="1"/>
  <c r="AF524" i="1"/>
  <c r="BT524" i="1" s="1"/>
  <c r="BG524" i="1" l="1"/>
  <c r="BW524" i="1" s="1"/>
  <c r="MA524" i="1"/>
  <c r="CF524" i="1"/>
  <c r="CJ524" i="1"/>
  <c r="BU524" i="1"/>
  <c r="BF524" i="1"/>
  <c r="BH524" i="1" s="1"/>
  <c r="BI524" i="1" l="1"/>
  <c r="CG524" i="1" s="1"/>
  <c r="CK524" i="1"/>
  <c r="CH524" i="1"/>
  <c r="BV524" i="1"/>
  <c r="BJ524" i="1"/>
  <c r="BX524" i="1"/>
  <c r="BK524" i="1" l="1"/>
  <c r="CA524" i="1" s="1"/>
  <c r="BY524" i="1"/>
  <c r="CI524" i="1"/>
  <c r="BZ524" i="1"/>
  <c r="BL524" i="1"/>
  <c r="BM524" i="1" l="1"/>
  <c r="BO524" i="1" s="1"/>
  <c r="CE524" i="1" s="1"/>
  <c r="CB524" i="1"/>
  <c r="BN524" i="1"/>
  <c r="CC524" i="1" l="1"/>
  <c r="CD524" i="1"/>
  <c r="AJ524" i="1" s="1" a="1"/>
  <c r="AJ524" i="1" s="1"/>
  <c r="AH525" i="1" s="1"/>
  <c r="AE524" i="1" l="1" a="1"/>
  <c r="AE524" i="1" s="1"/>
  <c r="AC525" i="1" s="1"/>
  <c r="AI525" i="1" a="1"/>
  <c r="AI525" i="1" s="1"/>
  <c r="AD525" i="1" l="1" a="1"/>
  <c r="AD525" i="1" s="1"/>
  <c r="AF525" i="1" s="1"/>
  <c r="AL525" i="1"/>
  <c r="BQ525" i="1" s="1"/>
  <c r="BS525" i="1" s="1"/>
  <c r="AK525" i="1"/>
  <c r="BP525" i="1" s="1"/>
  <c r="BR525" i="1" s="1"/>
  <c r="AG525" i="1" l="1"/>
  <c r="MA525" i="1" s="1"/>
  <c r="CF525" i="1"/>
  <c r="BF525" i="1"/>
  <c r="BT525" i="1"/>
  <c r="BU525" i="1"/>
  <c r="BG525" i="1" l="1"/>
  <c r="BI525" i="1" s="1"/>
  <c r="BH525" i="1"/>
  <c r="BV525" i="1"/>
  <c r="CJ525" i="1"/>
  <c r="CH525" i="1"/>
  <c r="BW525" i="1" l="1"/>
  <c r="CG525" i="1"/>
  <c r="BK525" i="1"/>
  <c r="BY525" i="1"/>
  <c r="BJ525" i="1"/>
  <c r="BX525" i="1"/>
  <c r="CI525" i="1" l="1"/>
  <c r="CK525" i="1"/>
  <c r="BL525" i="1"/>
  <c r="BZ525" i="1"/>
  <c r="BM525" i="1"/>
  <c r="CA525" i="1"/>
  <c r="BO525" i="1" l="1"/>
  <c r="CE525" i="1" s="1"/>
  <c r="CC525" i="1"/>
  <c r="BN525" i="1"/>
  <c r="CB525" i="1"/>
  <c r="CD525" i="1" l="1"/>
  <c r="AJ525" i="1" a="1"/>
  <c r="AJ525" i="1" s="1"/>
  <c r="AH526" i="1" s="1"/>
  <c r="AE525" i="1" a="1"/>
  <c r="AE525" i="1" s="1"/>
  <c r="AC526" i="1" s="1"/>
  <c r="AD526" i="1" l="1" a="1"/>
  <c r="AD526" i="1" s="1"/>
  <c r="AI526" i="1" a="1"/>
  <c r="AI526" i="1" s="1"/>
  <c r="AL526" i="1" l="1"/>
  <c r="BQ526" i="1" s="1"/>
  <c r="BS526" i="1" s="1"/>
  <c r="AK526" i="1"/>
  <c r="BP526" i="1" s="1"/>
  <c r="BR526" i="1" s="1"/>
  <c r="AF526" i="1"/>
  <c r="AG526" i="1"/>
  <c r="MA526" i="1" s="1"/>
  <c r="CF526" i="1" l="1"/>
  <c r="BG526" i="1"/>
  <c r="BU526" i="1"/>
  <c r="BF526" i="1"/>
  <c r="BT526" i="1"/>
  <c r="BH526" i="1" l="1"/>
  <c r="BJ526" i="1" s="1"/>
  <c r="BV526" i="1"/>
  <c r="BI526" i="1"/>
  <c r="BW526" i="1"/>
  <c r="CJ526" i="1"/>
  <c r="CH526" i="1"/>
  <c r="BK526" i="1" l="1"/>
  <c r="BY526" i="1"/>
  <c r="BX526" i="1"/>
  <c r="CG526" i="1" l="1"/>
  <c r="BZ526" i="1"/>
  <c r="CA526" i="1"/>
  <c r="CK526" i="1" l="1"/>
  <c r="CI526" i="1"/>
  <c r="CE526" i="1"/>
  <c r="CC526" i="1"/>
  <c r="CB526" i="1"/>
  <c r="CD526" i="1" l="1"/>
  <c r="AJ526" i="1" a="1"/>
  <c r="AJ526" i="1" s="1"/>
  <c r="AH527" i="1" s="1"/>
  <c r="AE526" i="1" a="1"/>
  <c r="AE526" i="1" s="1"/>
  <c r="AC527" i="1" s="1"/>
  <c r="AI527" i="1" l="1" a="1"/>
  <c r="AI527" i="1" s="1"/>
  <c r="AD527" i="1" a="1"/>
  <c r="AD527" i="1" s="1"/>
  <c r="CC527" i="1"/>
  <c r="CE527" i="1"/>
  <c r="CD527" i="1"/>
  <c r="CB527" i="1"/>
  <c r="AL527" i="1" l="1"/>
  <c r="BQ527" i="1" s="1"/>
  <c r="BS527" i="1" s="1"/>
  <c r="AK527" i="1"/>
  <c r="BP527" i="1" s="1"/>
  <c r="BR527" i="1" s="1"/>
  <c r="AF527" i="1"/>
  <c r="AG527" i="1"/>
  <c r="MA527" i="1" s="1"/>
  <c r="BG527" i="1" l="1"/>
  <c r="BU527" i="1"/>
  <c r="CF527" i="1"/>
  <c r="BF527" i="1"/>
  <c r="BT527" i="1"/>
  <c r="CJ527" i="1" l="1"/>
  <c r="CH527" i="1"/>
  <c r="BH527" i="1"/>
  <c r="BV527" i="1"/>
  <c r="BI527" i="1"/>
  <c r="BW527" i="1"/>
  <c r="CG527" i="1" l="1"/>
  <c r="BK527" i="1"/>
  <c r="CA527" i="1" s="1"/>
  <c r="BY527" i="1"/>
  <c r="BJ527" i="1"/>
  <c r="BX527" i="1"/>
  <c r="CK527" i="1" l="1"/>
  <c r="CI527" i="1"/>
  <c r="BZ527" i="1"/>
  <c r="AJ527" i="1" a="1"/>
  <c r="AJ527" i="1" s="1"/>
  <c r="AH528" i="1" s="1"/>
  <c r="AE527" i="1" a="1"/>
  <c r="AE527" i="1" s="1"/>
  <c r="AC528" i="1" s="1"/>
  <c r="AI528" i="1" l="1" a="1"/>
  <c r="AI528" i="1" s="1"/>
  <c r="AD528" i="1" a="1"/>
  <c r="AD528" i="1" s="1"/>
  <c r="CE528" i="1"/>
  <c r="CD528" i="1"/>
  <c r="CC528" i="1"/>
  <c r="CB528" i="1"/>
  <c r="AL528" i="1" l="1"/>
  <c r="BQ528" i="1" s="1"/>
  <c r="BS528" i="1" s="1"/>
  <c r="AK528" i="1"/>
  <c r="BP528" i="1" s="1"/>
  <c r="BR528" i="1" s="1"/>
  <c r="AF528" i="1"/>
  <c r="AG528" i="1"/>
  <c r="MA528" i="1" s="1"/>
  <c r="BG528" i="1" l="1"/>
  <c r="BU528" i="1"/>
  <c r="CF528" i="1"/>
  <c r="BF528" i="1"/>
  <c r="BT528" i="1"/>
  <c r="BH528" i="1" l="1"/>
  <c r="BV528" i="1"/>
  <c r="CJ528" i="1"/>
  <c r="CH528" i="1"/>
  <c r="BI528" i="1"/>
  <c r="BW528" i="1"/>
  <c r="CG528" i="1" l="1"/>
  <c r="BK528" i="1"/>
  <c r="CA528" i="1" s="1"/>
  <c r="BY528" i="1"/>
  <c r="BJ528" i="1"/>
  <c r="BX528" i="1"/>
  <c r="CK528" i="1" l="1"/>
  <c r="CI528" i="1"/>
  <c r="BZ528" i="1"/>
  <c r="AE528" i="1" a="1"/>
  <c r="AE528" i="1" s="1"/>
  <c r="AC529" i="1" s="1"/>
  <c r="AJ528" i="1" a="1"/>
  <c r="AJ528" i="1" s="1"/>
  <c r="AH529" i="1" s="1"/>
  <c r="AD529" i="1" l="1" a="1"/>
  <c r="AD529" i="1" s="1"/>
  <c r="CE529" i="1"/>
  <c r="CB529" i="1"/>
  <c r="CD529" i="1"/>
  <c r="CC529" i="1"/>
  <c r="AI529" i="1" a="1"/>
  <c r="AI529" i="1" s="1"/>
  <c r="AL529" i="1" l="1"/>
  <c r="BQ529" i="1" s="1"/>
  <c r="BS529" i="1" s="1"/>
  <c r="AK529" i="1"/>
  <c r="BP529" i="1" s="1"/>
  <c r="BR529" i="1" s="1"/>
  <c r="AF529" i="1"/>
  <c r="AG529" i="1"/>
  <c r="MA529" i="1" s="1"/>
  <c r="BF529" i="1" l="1"/>
  <c r="BT529" i="1"/>
  <c r="CF529" i="1"/>
  <c r="BG529" i="1"/>
  <c r="BU529" i="1"/>
  <c r="BI529" i="1" l="1"/>
  <c r="BW529" i="1"/>
  <c r="CJ529" i="1"/>
  <c r="CH529" i="1"/>
  <c r="BH529" i="1"/>
  <c r="BV529" i="1"/>
  <c r="CG529" i="1" l="1"/>
  <c r="BJ529" i="1"/>
  <c r="BX529" i="1"/>
  <c r="BK529" i="1"/>
  <c r="CA529" i="1" s="1"/>
  <c r="BY529" i="1"/>
  <c r="CK529" i="1" l="1"/>
  <c r="CI529" i="1"/>
  <c r="BZ529" i="1"/>
  <c r="AJ529" i="1" a="1"/>
  <c r="AJ529" i="1" s="1"/>
  <c r="AH530" i="1" s="1"/>
  <c r="AI530" i="1" s="1" a="1"/>
  <c r="AI530" i="1" s="1"/>
  <c r="AE529" i="1" a="1"/>
  <c r="AE529" i="1" s="1"/>
  <c r="AC530" i="1" s="1"/>
  <c r="AD530" i="1" l="1" a="1"/>
  <c r="AD530" i="1" s="1"/>
  <c r="AG530" i="1" s="1"/>
  <c r="MA530" i="1" s="1"/>
  <c r="AL530" i="1"/>
  <c r="HF530" i="1" s="1"/>
  <c r="AK530" i="1"/>
  <c r="HE530" i="1" s="1"/>
  <c r="AF530" i="1" l="1"/>
  <c r="GU530" i="1" s="1"/>
  <c r="HX530" i="1"/>
  <c r="HV530" i="1"/>
  <c r="GV530" i="1"/>
  <c r="HJ530" i="1"/>
  <c r="HW530" i="1"/>
  <c r="HU530" i="1"/>
  <c r="HI530" i="1" l="1"/>
  <c r="GX530" i="1"/>
  <c r="HL530" i="1"/>
  <c r="GW530" i="1"/>
  <c r="HK530" i="1"/>
  <c r="GY530" i="1" l="1"/>
  <c r="HM530" i="1"/>
  <c r="GZ530" i="1"/>
  <c r="HN530" i="1"/>
  <c r="HB530" i="1" l="1"/>
  <c r="HP530" i="1"/>
  <c r="HA530" i="1"/>
  <c r="HO530" i="1"/>
  <c r="HC530" i="1" l="1"/>
  <c r="HQ530" i="1"/>
  <c r="HD530" i="1"/>
  <c r="HT530" i="1" s="1"/>
  <c r="HR530" i="1"/>
  <c r="HS530" i="1" l="1"/>
  <c r="AJ530" i="1" a="1"/>
  <c r="AJ530" i="1" s="1"/>
  <c r="AH531" i="1" s="1"/>
  <c r="Z530" i="1" a="1"/>
  <c r="Z530" i="1" s="1"/>
  <c r="Y531" i="1" s="1" a="1"/>
  <c r="Y531" i="1" s="1"/>
  <c r="AE530" i="1" a="1"/>
  <c r="AE530" i="1" s="1"/>
  <c r="AC531" i="1" s="1"/>
  <c r="AD531" i="1" l="1" a="1"/>
  <c r="AD531" i="1" s="1"/>
  <c r="AI531" i="1" a="1"/>
  <c r="AI531" i="1" s="1"/>
  <c r="AA531" i="1"/>
  <c r="HG531" i="1" s="1"/>
  <c r="AB531" i="1"/>
  <c r="HH531" i="1" s="1"/>
  <c r="AL531" i="1" l="1"/>
  <c r="HF531" i="1" s="1"/>
  <c r="AK531" i="1"/>
  <c r="HE531" i="1" s="1"/>
  <c r="AG531" i="1"/>
  <c r="MA531" i="1" s="1"/>
  <c r="AF531" i="1"/>
  <c r="HW531" i="1" l="1"/>
  <c r="HU531" i="1"/>
  <c r="HX531" i="1"/>
  <c r="HV531" i="1"/>
  <c r="GU531" i="1"/>
  <c r="HI531" i="1"/>
  <c r="GV531" i="1"/>
  <c r="HJ531" i="1"/>
  <c r="GX531" i="1" l="1"/>
  <c r="HL531" i="1"/>
  <c r="GW531" i="1"/>
  <c r="HK531" i="1"/>
  <c r="GY531" i="1" l="1"/>
  <c r="HM531" i="1"/>
  <c r="GZ531" i="1"/>
  <c r="HN531" i="1"/>
  <c r="HB531" i="1" l="1"/>
  <c r="HP531" i="1"/>
  <c r="HA531" i="1"/>
  <c r="HO531" i="1"/>
  <c r="HC531" i="1" l="1"/>
  <c r="HQ531" i="1"/>
  <c r="HD531" i="1"/>
  <c r="HT531" i="1" s="1"/>
  <c r="HR531" i="1"/>
  <c r="HS531" i="1" l="1"/>
  <c r="AJ531" i="1" a="1"/>
  <c r="AJ531" i="1" s="1"/>
  <c r="AH532" i="1" s="1"/>
  <c r="AE531" i="1" a="1"/>
  <c r="AE531" i="1" s="1"/>
  <c r="AC532" i="1" s="1"/>
  <c r="Z531" i="1" a="1"/>
  <c r="Z531" i="1" s="1"/>
  <c r="AA573" i="1" l="1"/>
  <c r="AB573" i="1"/>
  <c r="AI532" i="1" a="1"/>
  <c r="AI532" i="1" s="1"/>
  <c r="AD532" i="1" a="1"/>
  <c r="AD532" i="1" s="1"/>
  <c r="QF573" i="1" l="1"/>
  <c r="RB573" i="1"/>
  <c r="QG573" i="1"/>
  <c r="RC573" i="1"/>
  <c r="AL532" i="1"/>
  <c r="BQ532" i="1" s="1"/>
  <c r="BS532" i="1" s="1"/>
  <c r="AK532" i="1"/>
  <c r="BP532" i="1" s="1"/>
  <c r="BR532" i="1" s="1"/>
  <c r="AG532" i="1"/>
  <c r="MA532" i="1" s="1"/>
  <c r="AF532" i="1"/>
  <c r="QI573" i="1" l="1"/>
  <c r="RE573" i="1"/>
  <c r="QH573" i="1"/>
  <c r="RD573" i="1"/>
  <c r="BG532" i="1"/>
  <c r="BU532" i="1"/>
  <c r="BF532" i="1"/>
  <c r="BT532" i="1"/>
  <c r="CF532" i="1"/>
  <c r="QJ573" i="1" l="1"/>
  <c r="RF573" i="1"/>
  <c r="QK573" i="1"/>
  <c r="RG573" i="1"/>
  <c r="BH532" i="1"/>
  <c r="BV532" i="1"/>
  <c r="CJ532" i="1"/>
  <c r="CH532" i="1"/>
  <c r="BI532" i="1"/>
  <c r="BW532" i="1"/>
  <c r="QM573" i="1" l="1"/>
  <c r="RI573" i="1"/>
  <c r="QL573" i="1"/>
  <c r="RH573" i="1"/>
  <c r="CG532" i="1"/>
  <c r="BK532" i="1"/>
  <c r="BY532" i="1"/>
  <c r="BJ532" i="1"/>
  <c r="BX532" i="1"/>
  <c r="QN573" i="1" l="1"/>
  <c r="RJ573" i="1"/>
  <c r="QO573" i="1"/>
  <c r="RM573" i="1" s="1"/>
  <c r="RK573" i="1"/>
  <c r="CK532" i="1"/>
  <c r="CI532" i="1"/>
  <c r="BL532" i="1"/>
  <c r="BZ532" i="1"/>
  <c r="BM532" i="1"/>
  <c r="CA532" i="1"/>
  <c r="RL573" i="1" l="1"/>
  <c r="Z573" i="1" a="1"/>
  <c r="Z573" i="1" s="1"/>
  <c r="BO532" i="1"/>
  <c r="CE532" i="1" s="1"/>
  <c r="CC532" i="1"/>
  <c r="BN532" i="1"/>
  <c r="CB532" i="1"/>
  <c r="Y574" i="1" l="1" a="1"/>
  <c r="Y574" i="1" s="1"/>
  <c r="AB574" i="1" s="1"/>
  <c r="CD532" i="1"/>
  <c r="AJ532" i="1" a="1"/>
  <c r="AJ532" i="1" s="1"/>
  <c r="AH533" i="1" s="1"/>
  <c r="AE532" i="1" a="1"/>
  <c r="AE532" i="1" s="1"/>
  <c r="AC533" i="1" s="1"/>
  <c r="AA574" i="1" l="1"/>
  <c r="QG574" i="1" s="1"/>
  <c r="QF574" i="1"/>
  <c r="RB574" i="1"/>
  <c r="AD533" i="1" a="1"/>
  <c r="AD533" i="1" s="1"/>
  <c r="AI533" i="1" a="1"/>
  <c r="AI533" i="1" s="1"/>
  <c r="RC574" i="1" l="1"/>
  <c r="QH574" i="1"/>
  <c r="RD574" i="1"/>
  <c r="RE574" i="1"/>
  <c r="QI574" i="1"/>
  <c r="AL533" i="1"/>
  <c r="BQ533" i="1" s="1"/>
  <c r="BS533" i="1" s="1"/>
  <c r="AK533" i="1"/>
  <c r="BP533" i="1" s="1"/>
  <c r="BR533" i="1" s="1"/>
  <c r="AG533" i="1"/>
  <c r="MA533" i="1" s="1"/>
  <c r="AF533" i="1"/>
  <c r="RG574" i="1" l="1"/>
  <c r="QK574" i="1"/>
  <c r="RF574" i="1"/>
  <c r="QJ574" i="1"/>
  <c r="CF533" i="1"/>
  <c r="BF533" i="1"/>
  <c r="BT533" i="1"/>
  <c r="BG533" i="1"/>
  <c r="BU533" i="1"/>
  <c r="RI574" i="1" l="1"/>
  <c r="QM574" i="1"/>
  <c r="RH574" i="1"/>
  <c r="QL574" i="1"/>
  <c r="BI533" i="1"/>
  <c r="BW533" i="1"/>
  <c r="CJ533" i="1"/>
  <c r="CH533" i="1"/>
  <c r="BH533" i="1"/>
  <c r="BV533" i="1"/>
  <c r="QO574" i="1" l="1"/>
  <c r="RM574" i="1" s="1"/>
  <c r="RK574" i="1"/>
  <c r="RJ574" i="1"/>
  <c r="QN574" i="1"/>
  <c r="CG533" i="1"/>
  <c r="BJ533" i="1"/>
  <c r="BX533" i="1"/>
  <c r="BK533" i="1"/>
  <c r="BY533" i="1"/>
  <c r="RL574" i="1" l="1"/>
  <c r="Z574" i="1" a="1"/>
  <c r="Z574" i="1" s="1"/>
  <c r="CK533" i="1"/>
  <c r="CI533" i="1"/>
  <c r="BM533" i="1"/>
  <c r="CA533" i="1"/>
  <c r="BL533" i="1"/>
  <c r="BZ533" i="1"/>
  <c r="AB502" i="1" l="1"/>
  <c r="AA502" i="1"/>
  <c r="BN533" i="1"/>
  <c r="CB533" i="1"/>
  <c r="BO533" i="1"/>
  <c r="CE533" i="1" s="1"/>
  <c r="CC533" i="1"/>
  <c r="QG502" i="1" l="1"/>
  <c r="RC502" i="1"/>
  <c r="QF502" i="1"/>
  <c r="RB502" i="1"/>
  <c r="CD533" i="1"/>
  <c r="AJ533" i="1" a="1"/>
  <c r="AJ533" i="1" s="1"/>
  <c r="AH534" i="1" s="1"/>
  <c r="AI534" i="1" s="1" a="1"/>
  <c r="AI534" i="1" s="1"/>
  <c r="AE533" i="1" a="1"/>
  <c r="AE533" i="1" s="1"/>
  <c r="AC534" i="1" s="1"/>
  <c r="AD534" i="1" l="1" a="1"/>
  <c r="AD534" i="1" s="1"/>
  <c r="AG534" i="1" s="1"/>
  <c r="MA534" i="1" s="1"/>
  <c r="QH502" i="1"/>
  <c r="RD502" i="1"/>
  <c r="RE502" i="1"/>
  <c r="QI502" i="1"/>
  <c r="AL534" i="1"/>
  <c r="BQ534" i="1" s="1"/>
  <c r="BS534" i="1" s="1"/>
  <c r="AK534" i="1"/>
  <c r="BP534" i="1" s="1"/>
  <c r="BR534" i="1" s="1"/>
  <c r="AF534" i="1" l="1"/>
  <c r="RG502" i="1"/>
  <c r="QK502" i="1"/>
  <c r="RF502" i="1"/>
  <c r="QJ502" i="1"/>
  <c r="CF534" i="1"/>
  <c r="BF534" i="1"/>
  <c r="BT534" i="1"/>
  <c r="BG534" i="1"/>
  <c r="BU534" i="1"/>
  <c r="RH502" i="1" l="1"/>
  <c r="QL502" i="1"/>
  <c r="RI502" i="1"/>
  <c r="QM502" i="1"/>
  <c r="BH534" i="1"/>
  <c r="BV534" i="1"/>
  <c r="BI534" i="1"/>
  <c r="BW534" i="1"/>
  <c r="CJ534" i="1"/>
  <c r="CH534" i="1"/>
  <c r="RJ502" i="1" l="1"/>
  <c r="QN502" i="1"/>
  <c r="QO502" i="1"/>
  <c r="RM502" i="1" s="1"/>
  <c r="RK502" i="1"/>
  <c r="CG534" i="1"/>
  <c r="BK534" i="1"/>
  <c r="BY534" i="1"/>
  <c r="BJ534" i="1"/>
  <c r="BX534" i="1"/>
  <c r="RL502" i="1" l="1"/>
  <c r="Z502" i="1" a="1"/>
  <c r="Z502" i="1" s="1"/>
  <c r="CI534" i="1"/>
  <c r="CK534" i="1"/>
  <c r="BL534" i="1"/>
  <c r="BZ534" i="1"/>
  <c r="BM534" i="1"/>
  <c r="CA534" i="1"/>
  <c r="BO534" i="1" l="1"/>
  <c r="CE534" i="1" s="1"/>
  <c r="CC534" i="1"/>
  <c r="BN534" i="1"/>
  <c r="CB534" i="1"/>
  <c r="CD534" i="1" l="1"/>
  <c r="AJ534" i="1" a="1"/>
  <c r="AJ534" i="1" s="1"/>
  <c r="AH535" i="1" s="1"/>
  <c r="AE534" i="1" a="1"/>
  <c r="AE534" i="1" s="1"/>
  <c r="AC535" i="1" s="1"/>
  <c r="AI535" i="1" l="1" a="1"/>
  <c r="AI535" i="1" s="1"/>
  <c r="AD535" i="1" a="1"/>
  <c r="AD535" i="1" s="1"/>
  <c r="AL535" i="1" l="1"/>
  <c r="BQ535" i="1" s="1"/>
  <c r="BS535" i="1" s="1"/>
  <c r="AK535" i="1"/>
  <c r="BP535" i="1" s="1"/>
  <c r="BR535" i="1" s="1"/>
  <c r="AG535" i="1"/>
  <c r="MA535" i="1" s="1"/>
  <c r="AF535" i="1"/>
  <c r="BG535" i="1" l="1"/>
  <c r="BU535" i="1"/>
  <c r="CF535" i="1"/>
  <c r="BF535" i="1"/>
  <c r="BT535" i="1"/>
  <c r="CJ535" i="1" l="1"/>
  <c r="CH535" i="1"/>
  <c r="BH535" i="1"/>
  <c r="BV535" i="1"/>
  <c r="BI535" i="1"/>
  <c r="BW535" i="1"/>
  <c r="CG535" i="1" l="1"/>
  <c r="BJ535" i="1"/>
  <c r="BX535" i="1"/>
  <c r="BK535" i="1"/>
  <c r="BY535" i="1"/>
  <c r="CK535" i="1" l="1"/>
  <c r="CI535" i="1"/>
  <c r="BM535" i="1"/>
  <c r="CA535" i="1"/>
  <c r="BL535" i="1"/>
  <c r="BZ535" i="1"/>
  <c r="BN535" i="1" l="1"/>
  <c r="CB535" i="1"/>
  <c r="BO535" i="1"/>
  <c r="CE535" i="1" s="1"/>
  <c r="CC535" i="1"/>
  <c r="CD535" i="1" l="1"/>
  <c r="AJ535" i="1" a="1"/>
  <c r="AJ535" i="1" s="1"/>
  <c r="AH536" i="1" s="1"/>
  <c r="AE535" i="1" a="1"/>
  <c r="AE535" i="1" s="1"/>
  <c r="AC536" i="1" s="1"/>
  <c r="AI536" i="1" l="1" a="1"/>
  <c r="AI536" i="1" s="1"/>
  <c r="CD536" i="1"/>
  <c r="CC536" i="1"/>
  <c r="AD536" i="1" a="1"/>
  <c r="AD536" i="1" s="1"/>
  <c r="CB536" i="1"/>
  <c r="CE536" i="1"/>
  <c r="AL536" i="1" l="1"/>
  <c r="BQ536" i="1" s="1"/>
  <c r="BS536" i="1" s="1"/>
  <c r="AK536" i="1"/>
  <c r="BP536" i="1" s="1"/>
  <c r="BR536" i="1" s="1"/>
  <c r="AG536" i="1"/>
  <c r="MA536" i="1" s="1"/>
  <c r="AF536" i="1"/>
  <c r="CF536" i="1" l="1"/>
  <c r="BF536" i="1"/>
  <c r="BT536" i="1"/>
  <c r="BG536" i="1"/>
  <c r="BU536" i="1"/>
  <c r="BH536" i="1" l="1"/>
  <c r="BV536" i="1"/>
  <c r="CJ536" i="1"/>
  <c r="CH536" i="1"/>
  <c r="BI536" i="1"/>
  <c r="BW536" i="1"/>
  <c r="CG536" i="1" l="1"/>
  <c r="BK536" i="1"/>
  <c r="CA536" i="1" s="1"/>
  <c r="BY536" i="1"/>
  <c r="BJ536" i="1"/>
  <c r="BX536" i="1"/>
  <c r="CK536" i="1" l="1"/>
  <c r="CI536" i="1"/>
  <c r="BZ536" i="1"/>
  <c r="AJ536" i="1" a="1"/>
  <c r="AJ536" i="1" s="1"/>
  <c r="AH537" i="1" s="1"/>
  <c r="AE536" i="1" a="1"/>
  <c r="AE536" i="1" s="1"/>
  <c r="AC537" i="1" s="1"/>
  <c r="AI537" i="1" l="1" a="1"/>
  <c r="AI537" i="1" s="1"/>
  <c r="CC537" i="1"/>
  <c r="AD537" i="1" a="1"/>
  <c r="AD537" i="1" s="1"/>
  <c r="CE537" i="1"/>
  <c r="CD537" i="1"/>
  <c r="CB537" i="1"/>
  <c r="AL537" i="1" l="1"/>
  <c r="BQ537" i="1" s="1"/>
  <c r="BS537" i="1" s="1"/>
  <c r="AK537" i="1"/>
  <c r="BP537" i="1" s="1"/>
  <c r="BR537" i="1" s="1"/>
  <c r="AF537" i="1"/>
  <c r="AG537" i="1"/>
  <c r="MA537" i="1" s="1"/>
  <c r="BG537" i="1" l="1"/>
  <c r="BU537" i="1"/>
  <c r="BF537" i="1"/>
  <c r="BT537" i="1"/>
  <c r="CF537" i="1"/>
  <c r="BH537" i="1" l="1"/>
  <c r="BV537" i="1"/>
  <c r="CJ537" i="1"/>
  <c r="CH537" i="1"/>
  <c r="BI537" i="1"/>
  <c r="BW537" i="1"/>
  <c r="CG537" i="1" l="1"/>
  <c r="BK537" i="1"/>
  <c r="CA537" i="1" s="1"/>
  <c r="BY537" i="1"/>
  <c r="BJ537" i="1"/>
  <c r="BX537" i="1"/>
  <c r="CK537" i="1" l="1"/>
  <c r="CI537" i="1"/>
  <c r="BZ537" i="1"/>
  <c r="AJ537" i="1" a="1"/>
  <c r="AJ537" i="1" s="1"/>
  <c r="AH538" i="1" s="1"/>
  <c r="AE537" i="1" a="1"/>
  <c r="AE537" i="1" s="1"/>
  <c r="AC538" i="1" s="1"/>
  <c r="AI538" i="1" l="1" a="1"/>
  <c r="AI538" i="1" s="1"/>
  <c r="CD538" i="1"/>
  <c r="CC538" i="1"/>
  <c r="AD538" i="1" a="1"/>
  <c r="AD538" i="1" s="1"/>
  <c r="CE538" i="1"/>
  <c r="CB538" i="1"/>
  <c r="AL538" i="1" l="1"/>
  <c r="BQ538" i="1" s="1"/>
  <c r="BS538" i="1" s="1"/>
  <c r="AK538" i="1"/>
  <c r="BP538" i="1" s="1"/>
  <c r="BR538" i="1" s="1"/>
  <c r="AG538" i="1"/>
  <c r="MA538" i="1" s="1"/>
  <c r="AF538" i="1"/>
  <c r="CF538" i="1" l="1"/>
  <c r="BF538" i="1"/>
  <c r="BT538" i="1"/>
  <c r="BG538" i="1"/>
  <c r="BU538" i="1"/>
  <c r="BH538" i="1" l="1"/>
  <c r="BV538" i="1"/>
  <c r="BI538" i="1"/>
  <c r="BW538" i="1"/>
  <c r="CJ538" i="1"/>
  <c r="CH538" i="1"/>
  <c r="CG538" i="1" l="1"/>
  <c r="BK538" i="1"/>
  <c r="CA538" i="1" s="1"/>
  <c r="BY538" i="1"/>
  <c r="BJ538" i="1"/>
  <c r="BX538" i="1"/>
  <c r="CI538" i="1" l="1"/>
  <c r="CK538" i="1"/>
  <c r="BZ538" i="1"/>
  <c r="AJ538" i="1" a="1"/>
  <c r="AJ538" i="1" s="1"/>
  <c r="AH539" i="1" s="1"/>
  <c r="AE538" i="1" a="1"/>
  <c r="AE538" i="1" s="1"/>
  <c r="AC539" i="1" s="1"/>
  <c r="AI553" i="1" l="1" a="1"/>
  <c r="AI553" i="1" s="1"/>
  <c r="AD554" i="1" a="1"/>
  <c r="AD554" i="1" s="1"/>
  <c r="AG554" i="1" s="1"/>
  <c r="MA554" i="1" s="1"/>
  <c r="AI539" i="1" a="1"/>
  <c r="AI539" i="1" s="1"/>
  <c r="AD539" i="1" a="1"/>
  <c r="AD539" i="1" s="1"/>
  <c r="CE539" i="1"/>
  <c r="CD539" i="1"/>
  <c r="CC539" i="1"/>
  <c r="CB539" i="1"/>
  <c r="AL539" i="1" l="1"/>
  <c r="BQ539" i="1" s="1"/>
  <c r="BS539" i="1" s="1"/>
  <c r="AK539" i="1"/>
  <c r="BP539" i="1" s="1"/>
  <c r="BR539" i="1" s="1"/>
  <c r="AL553" i="1"/>
  <c r="AK553" i="1"/>
  <c r="ABV554" i="1"/>
  <c r="ACB554" i="1"/>
  <c r="AF554" i="1"/>
  <c r="AF539" i="1"/>
  <c r="AG539" i="1"/>
  <c r="MA539" i="1" s="1"/>
  <c r="YE553" i="1" l="1"/>
  <c r="XM553" i="1"/>
  <c r="XO553" i="1" s="1"/>
  <c r="XQ553" i="1" s="1"/>
  <c r="XS553" i="1" s="1"/>
  <c r="XU553" i="1" s="1"/>
  <c r="XW553" i="1" s="1"/>
  <c r="XY553" i="1" s="1"/>
  <c r="YA553" i="1" s="1"/>
  <c r="YC553" i="1" s="1"/>
  <c r="YF553" i="1"/>
  <c r="XN553" i="1"/>
  <c r="ABU554" i="1"/>
  <c r="ACA554" i="1"/>
  <c r="ABX554" i="1"/>
  <c r="ACD554" i="1"/>
  <c r="BG539" i="1"/>
  <c r="BU539" i="1"/>
  <c r="BF539" i="1"/>
  <c r="BT539" i="1"/>
  <c r="CF539" i="1"/>
  <c r="YG553" i="1" l="1"/>
  <c r="YH553" i="1"/>
  <c r="XP553" i="1"/>
  <c r="XR553" i="1" s="1"/>
  <c r="XT553" i="1" s="1"/>
  <c r="XV553" i="1" s="1"/>
  <c r="XX553" i="1" s="1"/>
  <c r="XZ553" i="1" s="1"/>
  <c r="YB553" i="1" s="1"/>
  <c r="YD553" i="1" s="1"/>
  <c r="YI553" i="1"/>
  <c r="ABZ554" i="1"/>
  <c r="ACH554" i="1" s="1"/>
  <c r="ACF554" i="1"/>
  <c r="ABW554" i="1"/>
  <c r="ACC554" i="1"/>
  <c r="CJ539" i="1"/>
  <c r="CH539" i="1"/>
  <c r="BH539" i="1"/>
  <c r="BV539" i="1"/>
  <c r="BI539" i="1"/>
  <c r="BW539" i="1"/>
  <c r="YJ553" i="1" l="1"/>
  <c r="YK553" i="1"/>
  <c r="CG539" i="1"/>
  <c r="ABY554" i="1"/>
  <c r="ACE554" i="1"/>
  <c r="YL553" i="1"/>
  <c r="BK539" i="1"/>
  <c r="CA539" i="1" s="1"/>
  <c r="BY539" i="1"/>
  <c r="BJ539" i="1"/>
  <c r="BX539" i="1"/>
  <c r="CK539" i="1" l="1"/>
  <c r="CI539" i="1"/>
  <c r="ACG554" i="1"/>
  <c r="AE554" i="1" a="1"/>
  <c r="AE554" i="1" s="1"/>
  <c r="AD557" i="1" s="1" a="1"/>
  <c r="AD557" i="1" s="1"/>
  <c r="YN553" i="1"/>
  <c r="BZ539" i="1"/>
  <c r="AJ539" i="1" a="1"/>
  <c r="AJ539" i="1" s="1"/>
  <c r="AE539" i="1" a="1"/>
  <c r="AE539" i="1" s="1"/>
  <c r="YM553" i="1" l="1"/>
  <c r="AG557" i="1"/>
  <c r="MA557" i="1" s="1"/>
  <c r="AF557" i="1"/>
  <c r="YP553" i="1"/>
  <c r="YO553" i="1"/>
  <c r="ACA557" i="1" l="1"/>
  <c r="ABU557" i="1"/>
  <c r="ACB557" i="1"/>
  <c r="ABV557" i="1"/>
  <c r="YQ553" i="1"/>
  <c r="YR553" i="1"/>
  <c r="ACC557" i="1" l="1"/>
  <c r="ABW557" i="1"/>
  <c r="ACD557" i="1"/>
  <c r="ABX557" i="1"/>
  <c r="YT553" i="1"/>
  <c r="YS553" i="1"/>
  <c r="ACE557" i="1" l="1"/>
  <c r="ABY557" i="1"/>
  <c r="ACF557" i="1"/>
  <c r="ABZ557" i="1"/>
  <c r="ACH557" i="1" s="1"/>
  <c r="YU553" i="1"/>
  <c r="YX553" i="1"/>
  <c r="YV553" i="1"/>
  <c r="ACG557" i="1" l="1"/>
  <c r="AE557" i="1" a="1"/>
  <c r="AE557" i="1" s="1"/>
  <c r="YW553" i="1"/>
  <c r="AJ553" i="1" a="1"/>
  <c r="AJ553" i="1" s="1"/>
  <c r="AI556" i="1" s="1" a="1"/>
  <c r="AI556" i="1" s="1"/>
  <c r="AL556" i="1" l="1"/>
  <c r="XN556" i="1" s="1"/>
  <c r="XP556" i="1" s="1"/>
  <c r="XR556" i="1" s="1"/>
  <c r="XT556" i="1" s="1"/>
  <c r="XV556" i="1" s="1"/>
  <c r="XX556" i="1" s="1"/>
  <c r="XZ556" i="1" s="1"/>
  <c r="YB556" i="1" s="1"/>
  <c r="YD556" i="1" s="1"/>
  <c r="AK556" i="1"/>
  <c r="XM556" i="1" s="1"/>
  <c r="XO556" i="1" s="1"/>
  <c r="XQ556" i="1" s="1"/>
  <c r="XS556" i="1" s="1"/>
  <c r="XU556" i="1" s="1"/>
  <c r="XW556" i="1" s="1"/>
  <c r="XY556" i="1" s="1"/>
  <c r="YA556" i="1" s="1"/>
  <c r="YC556" i="1" s="1"/>
  <c r="AG563" i="1"/>
  <c r="AF563" i="1"/>
  <c r="LZ563" i="1" l="1"/>
  <c r="AE563" i="1" s="1" a="1"/>
  <c r="AE563" i="1" s="1"/>
  <c r="AC566" i="1" s="1"/>
  <c r="AD566" i="1" s="1" a="1"/>
  <c r="AD566" i="1" s="1"/>
  <c r="AF566" i="1" s="1"/>
  <c r="LZ566" i="1" s="1"/>
  <c r="MA563" i="1"/>
  <c r="YE556" i="1"/>
  <c r="YF556" i="1"/>
  <c r="AE566" i="1" l="1" a="1"/>
  <c r="AE566" i="1" s="1"/>
  <c r="AC567" i="1" s="1"/>
  <c r="AD567" i="1" s="1" a="1"/>
  <c r="AD567" i="1" s="1"/>
  <c r="AG567" i="1" s="1"/>
  <c r="AG566" i="1"/>
  <c r="MA566" i="1" s="1"/>
  <c r="YH556" i="1"/>
  <c r="YG556" i="1"/>
  <c r="MA567" i="1" l="1"/>
  <c r="AF567" i="1"/>
  <c r="LZ567" i="1" s="1"/>
  <c r="AE567" i="1" s="1" a="1"/>
  <c r="AE567" i="1" s="1"/>
  <c r="AC568" i="1" s="1"/>
  <c r="YI556" i="1"/>
  <c r="YJ556" i="1"/>
  <c r="AD568" i="1" l="1" a="1"/>
  <c r="AD568" i="1" s="1"/>
  <c r="YL556" i="1"/>
  <c r="YK556" i="1"/>
  <c r="AF568" i="1" l="1"/>
  <c r="LZ568" i="1" s="1"/>
  <c r="AE568" i="1" s="1" a="1"/>
  <c r="AE568" i="1" s="1"/>
  <c r="AC569" i="1" s="1"/>
  <c r="AG568" i="1"/>
  <c r="MA568" i="1" s="1"/>
  <c r="YM556" i="1"/>
  <c r="YN556" i="1"/>
  <c r="AD569" i="1" l="1" a="1"/>
  <c r="AD569" i="1" s="1"/>
  <c r="YP556" i="1"/>
  <c r="YO556" i="1"/>
  <c r="AF569" i="1" l="1"/>
  <c r="LZ569" i="1" s="1"/>
  <c r="AE569" i="1" s="1" a="1"/>
  <c r="AE569" i="1" s="1"/>
  <c r="AC570" i="1" s="1"/>
  <c r="AG569" i="1"/>
  <c r="MA569" i="1" s="1"/>
  <c r="YQ556" i="1"/>
  <c r="YR556" i="1"/>
  <c r="AD570" i="1" l="1" a="1"/>
  <c r="AD570" i="1" s="1"/>
  <c r="YT556" i="1"/>
  <c r="YS556" i="1"/>
  <c r="AF570" i="1" l="1"/>
  <c r="LZ570" i="1" s="1"/>
  <c r="AE570" i="1" s="1" a="1"/>
  <c r="AE570" i="1" s="1"/>
  <c r="AC571" i="1" s="1"/>
  <c r="AG570" i="1"/>
  <c r="MA570" i="1" s="1"/>
  <c r="YU556" i="1"/>
  <c r="YX556" i="1"/>
  <c r="YV556" i="1"/>
  <c r="AD571" i="1" l="1" a="1"/>
  <c r="AD571" i="1" s="1"/>
  <c r="YW556" i="1"/>
  <c r="AJ556" i="1" a="1"/>
  <c r="AJ556" i="1" s="1"/>
  <c r="AG571" i="1" l="1"/>
  <c r="MA571" i="1" s="1"/>
  <c r="AF571" i="1"/>
  <c r="LZ571" i="1" s="1"/>
  <c r="AE571" i="1" s="1" a="1"/>
  <c r="AE571" i="1" s="1"/>
  <c r="AC572" i="1" s="1"/>
  <c r="AL594" i="1"/>
  <c r="AEH594" i="1" s="1"/>
  <c r="AK594" i="1"/>
  <c r="AEG594" i="1" s="1"/>
  <c r="AD572" i="1" l="1" a="1"/>
  <c r="AD572" i="1" s="1"/>
  <c r="AD588" i="1" a="1"/>
  <c r="AD588" i="1" s="1"/>
  <c r="AG588" i="1" l="1"/>
  <c r="MA588" i="1" s="1"/>
  <c r="AF588" i="1"/>
  <c r="LZ588" i="1" s="1"/>
  <c r="AE588" i="1" s="1" a="1"/>
  <c r="AE588" i="1" s="1"/>
  <c r="AC589" i="1" s="1"/>
  <c r="AF572" i="1"/>
  <c r="LZ572" i="1" s="1"/>
  <c r="AE572" i="1" s="1" a="1"/>
  <c r="AE572" i="1" s="1"/>
  <c r="AG572" i="1"/>
  <c r="MA572" i="1" s="1"/>
  <c r="AD589" i="1" l="1" a="1"/>
  <c r="AD589" i="1" s="1"/>
  <c r="AF589" i="1" l="1"/>
  <c r="LZ589" i="1" s="1"/>
  <c r="AE589" i="1" s="1" a="1"/>
  <c r="AE589" i="1" s="1"/>
  <c r="AC590" i="1" s="1"/>
  <c r="AG589" i="1"/>
  <c r="MA589" i="1" s="1"/>
  <c r="AD590" i="1" l="1" a="1"/>
  <c r="AD590" i="1" s="1"/>
  <c r="AG590" i="1" l="1"/>
  <c r="MA590" i="1" s="1"/>
  <c r="AF590" i="1"/>
  <c r="LZ590" i="1" s="1"/>
  <c r="AE590" i="1" s="1" a="1"/>
  <c r="AE590" i="1" s="1"/>
  <c r="AC591" i="1" s="1"/>
  <c r="AD591" i="1" l="1" a="1"/>
  <c r="AD591" i="1" s="1"/>
  <c r="AF591" i="1" l="1"/>
  <c r="LZ591" i="1" s="1"/>
  <c r="AE591" i="1" s="1" a="1"/>
  <c r="AE591" i="1" s="1"/>
  <c r="AC592" i="1" s="1"/>
  <c r="AG591" i="1"/>
  <c r="MA591" i="1" s="1"/>
  <c r="AD592" i="1" l="1" a="1"/>
  <c r="AD592" i="1" s="1"/>
  <c r="AG592" i="1" l="1"/>
  <c r="MA592" i="1" s="1"/>
  <c r="AF592" i="1"/>
  <c r="LZ592" i="1" s="1"/>
  <c r="AE592" i="1" s="1" a="1"/>
  <c r="AE592" i="1" s="1"/>
  <c r="AC593" i="1" s="1"/>
  <c r="AA501" i="1" l="1"/>
  <c r="QG501" i="1" s="1"/>
  <c r="AB501" i="1"/>
  <c r="RB501" i="1" s="1"/>
  <c r="RE501" i="1" l="1"/>
  <c r="QI501" i="1"/>
  <c r="RC501" i="1"/>
  <c r="QF501" i="1"/>
  <c r="QH501" i="1" l="1"/>
  <c r="RD501" i="1"/>
  <c r="RG501" i="1"/>
  <c r="QK501" i="1"/>
  <c r="AD593" i="1" l="1" a="1"/>
  <c r="AD593" i="1" s="1"/>
  <c r="QM501" i="1"/>
  <c r="RI501" i="1"/>
  <c r="QJ501" i="1"/>
  <c r="RF501" i="1"/>
  <c r="AF593" i="1" l="1"/>
  <c r="LZ593" i="1" s="1"/>
  <c r="AE593" i="1" s="1" a="1"/>
  <c r="AE593" i="1" s="1"/>
  <c r="AD601" i="1" s="1" a="1"/>
  <c r="AD601" i="1" s="1"/>
  <c r="AG593" i="1"/>
  <c r="MA593" i="1" s="1"/>
  <c r="RH501" i="1"/>
  <c r="QL501" i="1"/>
  <c r="RK501" i="1"/>
  <c r="QO501" i="1"/>
  <c r="RM501" i="1" s="1"/>
  <c r="AG601" i="1" l="1"/>
  <c r="MA601" i="1" s="1"/>
  <c r="AF601" i="1"/>
  <c r="LZ601" i="1" s="1"/>
  <c r="AE601" i="1" s="1" a="1"/>
  <c r="AE601" i="1" s="1"/>
  <c r="RJ501" i="1"/>
  <c r="QN501" i="1"/>
  <c r="RL501" i="1" l="1"/>
  <c r="Z501" i="1" a="1"/>
  <c r="Z501" i="1" s="1"/>
  <c r="AE169" i="1" a="1"/>
  <c r="AE169" i="1" s="1"/>
  <c r="AD177" i="1" s="1" a="1"/>
  <c r="AD177" i="1" s="1"/>
  <c r="AD178" i="1" s="1" a="1"/>
  <c r="AD178" i="1" s="1"/>
  <c r="AD179" i="1" s="1" a="1"/>
  <c r="AD179" i="1" s="1"/>
  <c r="AD180" i="1" s="1" a="1"/>
  <c r="AD180" i="1" s="1"/>
  <c r="Y186" i="1" a="1"/>
  <c r="Y186" i="1" s="1"/>
  <c r="AE180" i="1" a="1"/>
  <c r="AE180" i="1" s="1"/>
  <c r="Z180" i="1" a="1"/>
  <c r="Z180" i="1" s="1"/>
  <c r="Y181" i="1" s="1" a="1"/>
  <c r="Y181" i="1" s="1"/>
  <c r="AA186" i="1" l="1"/>
  <c r="KC186" i="1" s="1"/>
  <c r="AB186" i="1"/>
  <c r="KD186" i="1" s="1"/>
  <c r="AA181" i="1"/>
  <c r="KC181" i="1" s="1"/>
  <c r="AB181" i="1"/>
  <c r="KD181" i="1" s="1"/>
  <c r="AE186" i="1" l="1" a="1"/>
  <c r="AE186" i="1" s="1"/>
  <c r="Z186" i="1" a="1"/>
  <c r="Z186" i="1" s="1"/>
  <c r="Y187" i="1" s="1" a="1"/>
  <c r="Y187" i="1" s="1"/>
  <c r="Z181" i="1" a="1"/>
  <c r="Z181" i="1" s="1"/>
  <c r="Y182" i="1" s="1" a="1"/>
  <c r="Y182" i="1" s="1"/>
  <c r="AE181" i="1" a="1"/>
  <c r="AE181" i="1" s="1"/>
  <c r="AB187" i="1" l="1"/>
  <c r="AA187" i="1"/>
  <c r="AB182" i="1"/>
  <c r="KD182" i="1" s="1"/>
  <c r="AA182" i="1"/>
  <c r="KC182" i="1" s="1"/>
  <c r="QG187" i="1" l="1"/>
  <c r="RC187" i="1"/>
  <c r="RB187" i="1"/>
  <c r="QF187" i="1"/>
  <c r="Z182" i="1" a="1"/>
  <c r="Z182" i="1" s="1"/>
  <c r="AE182" i="1" a="1"/>
  <c r="AE182" i="1" s="1"/>
  <c r="RD187" i="1" l="1"/>
  <c r="QH187" i="1"/>
  <c r="RE187" i="1"/>
  <c r="QI187" i="1"/>
  <c r="RG187" i="1" l="1"/>
  <c r="QK187" i="1"/>
  <c r="QJ187" i="1"/>
  <c r="RF187" i="1"/>
  <c r="QM187" i="1" l="1"/>
  <c r="RI187" i="1"/>
  <c r="QL187" i="1"/>
  <c r="RH187" i="1"/>
  <c r="RJ187" i="1" l="1"/>
  <c r="QN187" i="1"/>
  <c r="QO187" i="1"/>
  <c r="RM187" i="1" s="1"/>
  <c r="RK187" i="1"/>
  <c r="RL187" i="1" l="1"/>
  <c r="AE187" i="1" a="1"/>
  <c r="AE187" i="1" s="1"/>
  <c r="Z187" i="1" a="1"/>
  <c r="Z187" i="1" s="1"/>
</calcChain>
</file>

<file path=xl/comments1.xml><?xml version="1.0" encoding="utf-8"?>
<comments xmlns="http://schemas.openxmlformats.org/spreadsheetml/2006/main">
  <authors>
    <author>tc={F5B4A413-8E9D-4E5D-A7E6-F8CAAC683CB0}</author>
    <author>tc={20090E64-8286-40F1-B1DA-DF6DD14D0F7A}</author>
    <author>tc={3E3B6129-7D3D-43E1-94E9-29EE39694C57}</author>
    <author>tc={F37083B4-0267-40B3-943E-8E106B59FD56}</author>
    <author>tc={1E085EFA-2D4C-49AF-8DF0-637CB800E501}</author>
    <author>Admin</author>
    <author>tc={D3B0118F-DD0F-48F6-9A58-CF2A997A7300}</author>
    <author>tc={16653607-FB67-4DB8-8255-D89C6181BDB1}</author>
  </authors>
  <commentList>
    <comment ref="B319" authorId="0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4-20 или резистивный?</t>
        </r>
      </text>
    </comment>
    <comment ref="B324" authorId="1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 активный или пассивный</t>
        </r>
      </text>
    </comment>
    <comment ref="B326" authorId="2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  </r>
      </text>
    </comment>
    <comment ref="B358" authorId="3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принципиальных схем для этих позиций, по схемам внешних соединений не хватает жил для всех сигналов</t>
        </r>
      </text>
    </comment>
    <comment ref="B365" authorId="4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Ш-1 ГРП 2</t>
        </r>
      </text>
    </comment>
    <comment ref="B427" authorId="5" shapeId="0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432" authorId="5" shapeId="0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437" authorId="5" shapeId="0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442" authorId="5" shapeId="0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500" authorId="6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ШУЗ зд</t>
        </r>
      </text>
    </comment>
    <comment ref="B563" authorId="7" shapeId="0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  </r>
      </text>
    </comment>
  </commentList>
</comments>
</file>

<file path=xl/sharedStrings.xml><?xml version="1.0" encoding="utf-8"?>
<sst xmlns="http://schemas.openxmlformats.org/spreadsheetml/2006/main" count="16445" uniqueCount="3396">
  <si>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</si>
  <si>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</si>
  <si>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</si>
  <si>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</si>
  <si>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</si>
  <si>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</si>
  <si>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</si>
  <si>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</si>
  <si>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</si>
  <si>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</si>
  <si>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</si>
  <si>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</si>
  <si>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</si>
  <si>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</si>
  <si>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</si>
  <si>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</si>
  <si>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</si>
  <si>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</si>
  <si>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</si>
  <si>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</si>
  <si>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</si>
  <si>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</si>
  <si>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</si>
  <si>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</si>
  <si>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</si>
  <si>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</si>
  <si>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</si>
  <si>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</si>
  <si>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</si>
  <si>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</si>
  <si>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</si>
  <si>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</si>
  <si>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</si>
  <si>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</si>
  <si>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</si>
  <si>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</si>
  <si>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</si>
  <si>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</si>
  <si>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</si>
  <si>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</si>
  <si>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</si>
  <si>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</si>
  <si>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</si>
  <si>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</si>
  <si>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</si>
  <si>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</si>
  <si>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</si>
  <si>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</si>
  <si>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</si>
  <si>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</si>
  <si>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</si>
  <si>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</si>
  <si>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</si>
  <si>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</si>
  <si>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</si>
  <si>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</si>
  <si>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</si>
  <si>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</si>
  <si>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</si>
  <si>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</si>
  <si>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</si>
  <si>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</si>
  <si>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</si>
  <si>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</si>
  <si>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</si>
  <si>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</si>
  <si>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</si>
  <si>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</si>
  <si>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</si>
  <si>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</si>
  <si>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</si>
  <si>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</si>
  <si>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</si>
  <si>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</si>
  <si>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</si>
  <si>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</si>
  <si>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</si>
  <si>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</si>
  <si>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</si>
  <si>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</si>
  <si>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</si>
  <si>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</si>
  <si>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</si>
  <si>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</si>
  <si>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</si>
  <si>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</si>
  <si>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</si>
  <si>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</si>
  <si>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</si>
  <si>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</si>
  <si>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</si>
  <si>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</si>
  <si>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</si>
  <si>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</si>
  <si>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</si>
  <si>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</si>
  <si>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</si>
  <si>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</si>
  <si>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</si>
  <si>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</si>
  <si>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</si>
  <si>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</si>
  <si>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</si>
  <si>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</si>
  <si>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</si>
  <si>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</si>
  <si>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</si>
  <si>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</si>
  <si>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</si>
  <si>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</si>
  <si>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</si>
  <si>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</si>
  <si>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</si>
  <si>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</si>
  <si>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</si>
  <si>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</si>
  <si>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</si>
  <si>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</si>
  <si>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</si>
  <si>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</si>
  <si>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</si>
  <si>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</si>
  <si>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</si>
  <si>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</si>
  <si>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</si>
  <si>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</si>
  <si>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</si>
  <si>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</si>
  <si>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</si>
  <si>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</si>
  <si>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</si>
  <si>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</si>
  <si>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</si>
  <si>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</si>
  <si>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</si>
  <si>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</si>
  <si>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</si>
  <si>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</si>
  <si>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</si>
  <si>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</si>
  <si>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</si>
  <si>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</si>
  <si>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</si>
  <si>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</si>
  <si>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</si>
  <si>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</si>
  <si>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</si>
  <si>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</si>
  <si>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</si>
  <si>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</si>
  <si>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</si>
  <si>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</si>
  <si>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</si>
  <si>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</si>
  <si>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</si>
  <si>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</si>
  <si>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</si>
  <si>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</si>
  <si>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</si>
  <si>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</si>
  <si>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</si>
  <si>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</si>
  <si>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</si>
  <si>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</si>
  <si>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</si>
  <si>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</si>
  <si>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</si>
  <si>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</si>
  <si>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</si>
  <si>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</si>
  <si>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</si>
  <si>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</si>
  <si>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</si>
  <si>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</si>
  <si>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</si>
  <si>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</si>
  <si>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</si>
  <si>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</si>
  <si>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</si>
  <si>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</si>
  <si>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</si>
  <si>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</si>
  <si>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</si>
  <si>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</si>
  <si>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</si>
  <si>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</si>
  <si>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</si>
  <si>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</si>
  <si>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</si>
  <si>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</si>
  <si>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</si>
  <si>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</si>
  <si>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</si>
  <si>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</si>
  <si>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</si>
  <si>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</si>
  <si>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</si>
  <si>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</si>
  <si>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</si>
  <si>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</si>
  <si>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</si>
  <si>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</si>
  <si>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</si>
  <si>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</si>
  <si>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</si>
  <si>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</si>
  <si>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</si>
  <si>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</si>
  <si>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</si>
  <si>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</si>
  <si>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</si>
  <si>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</si>
  <si>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</si>
  <si>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</si>
  <si>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</si>
  <si>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</si>
  <si>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</si>
  <si>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</si>
  <si>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</si>
  <si>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</si>
  <si>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</si>
  <si>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</si>
  <si>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</si>
  <si>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</si>
  <si>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</si>
  <si>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</si>
  <si>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</si>
  <si>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</si>
  <si>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</si>
  <si>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</si>
  <si>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</si>
  <si>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</si>
  <si>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</si>
  <si>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</si>
  <si>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</si>
  <si>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</si>
  <si>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</si>
  <si>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</si>
  <si>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</si>
  <si>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</si>
  <si>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</si>
  <si>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</si>
  <si>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</si>
  <si>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</si>
  <si>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</si>
  <si>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</si>
  <si>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</si>
  <si>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</si>
  <si>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</si>
  <si>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</si>
  <si>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</si>
  <si>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</si>
  <si>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</si>
  <si>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</si>
  <si>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</si>
  <si>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</si>
  <si>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</si>
  <si>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</si>
  <si>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</si>
  <si>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</si>
  <si>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</si>
  <si>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</si>
  <si>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</si>
  <si>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</si>
  <si>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</si>
  <si>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</si>
  <si>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</si>
  <si>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</si>
  <si>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</si>
  <si>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</si>
  <si>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</si>
  <si>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</si>
  <si>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</si>
  <si>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</si>
  <si>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</si>
  <si>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</si>
  <si>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</si>
  <si>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</si>
  <si>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</si>
  <si>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</si>
  <si>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</si>
  <si>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</si>
  <si>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</si>
  <si>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</si>
  <si>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</si>
  <si>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</si>
  <si>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</si>
  <si>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</si>
  <si>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</si>
  <si>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</si>
  <si>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</si>
  <si>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</si>
  <si>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</si>
  <si>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</si>
  <si>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</si>
  <si>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</si>
  <si>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</si>
  <si>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</si>
  <si>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</si>
  <si>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</si>
  <si>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</si>
  <si>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</si>
  <si>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</si>
  <si>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</si>
  <si>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</si>
  <si>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</si>
  <si>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</si>
  <si>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</si>
  <si>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</si>
  <si>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</si>
  <si>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</si>
  <si>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</si>
  <si>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</si>
  <si>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</si>
  <si>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</si>
  <si>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</si>
  <si>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</si>
  <si>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</si>
  <si>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</si>
  <si>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</si>
  <si>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</si>
  <si>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</si>
  <si>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</si>
  <si>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</si>
  <si>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</si>
  <si>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</si>
  <si>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</si>
  <si>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</si>
  <si>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</si>
  <si>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</si>
  <si>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</si>
  <si>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</si>
  <si>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</si>
  <si>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</si>
  <si>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</si>
  <si>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</si>
  <si>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</si>
  <si>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</si>
  <si>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</si>
  <si>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</si>
  <si>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</si>
  <si>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</si>
  <si>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</si>
  <si>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</si>
  <si>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</si>
  <si>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</si>
  <si>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</si>
  <si>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</si>
  <si>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</si>
  <si>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</si>
  <si>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</si>
  <si>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</si>
  <si>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</si>
  <si>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</si>
  <si>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</si>
  <si>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</si>
  <si>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</si>
  <si>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</si>
  <si>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</si>
  <si>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</si>
  <si>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</si>
  <si>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</si>
  <si>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</si>
  <si>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</si>
  <si>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</si>
  <si>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</si>
  <si>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</si>
  <si>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</si>
  <si>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</si>
  <si>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</si>
  <si>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</si>
  <si>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</si>
  <si>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</si>
  <si>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</si>
  <si>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</si>
  <si>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</si>
  <si>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</si>
  <si>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</si>
  <si>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</si>
  <si>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</si>
  <si>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</si>
  <si>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</si>
  <si>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</si>
  <si>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</si>
  <si>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</si>
  <si>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</si>
  <si>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</si>
  <si>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</si>
  <si>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</si>
  <si>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</si>
  <si>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</si>
  <si>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</si>
  <si>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</si>
  <si>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</si>
  <si>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</si>
  <si>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</si>
  <si>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</si>
  <si>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</si>
  <si>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</si>
  <si>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</si>
  <si>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</si>
  <si>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</si>
  <si>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</si>
  <si>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</si>
  <si>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</si>
  <si>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</si>
  <si>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</si>
  <si>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</si>
  <si>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</si>
  <si>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</si>
  <si>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</si>
  <si>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</si>
  <si>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</si>
  <si>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</si>
  <si>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</si>
  <si>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</si>
  <si>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</si>
  <si>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</si>
  <si>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</si>
  <si>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</si>
  <si>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</si>
  <si>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</si>
  <si>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</si>
  <si>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</si>
  <si>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</si>
  <si>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</si>
  <si>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</si>
  <si>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</si>
  <si>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</si>
  <si>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</si>
  <si>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</si>
  <si>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</si>
  <si>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</si>
  <si>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</si>
  <si>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</si>
  <si>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</si>
  <si>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</si>
  <si>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</si>
  <si>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</si>
  <si>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</si>
  <si>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</si>
  <si>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</si>
  <si>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</si>
  <si>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</si>
  <si>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</si>
  <si>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</si>
  <si>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</si>
  <si>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</si>
  <si>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</si>
  <si>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</si>
  <si>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</si>
  <si>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</si>
  <si>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</si>
  <si>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</si>
  <si>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</si>
  <si>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</si>
  <si>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</si>
  <si>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</si>
  <si>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</si>
  <si>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</si>
  <si>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</si>
  <si>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</si>
  <si>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</si>
  <si>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</si>
  <si>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</si>
  <si>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</si>
  <si>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</si>
  <si>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</si>
  <si>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</si>
  <si>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</si>
  <si>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</si>
  <si>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</si>
  <si>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</si>
  <si>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</si>
  <si>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</si>
  <si>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</si>
  <si>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</si>
  <si>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</si>
  <si>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</si>
  <si>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</si>
  <si>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</si>
  <si>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</si>
  <si>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</si>
  <si>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</si>
  <si>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</si>
  <si>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</si>
  <si>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</si>
  <si>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</si>
  <si>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</si>
  <si>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</si>
  <si>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</si>
  <si>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</si>
  <si>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</si>
  <si>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</si>
  <si>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</si>
  <si>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</si>
  <si>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</si>
  <si>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</si>
  <si>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</si>
  <si>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</si>
  <si>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</si>
  <si>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</si>
  <si>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</si>
  <si>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</si>
  <si>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</si>
  <si>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</si>
  <si>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</si>
  <si>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</si>
  <si>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</si>
  <si>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</si>
  <si>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</si>
  <si>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</si>
  <si>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</si>
  <si>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</si>
  <si>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</si>
  <si>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</si>
  <si>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</si>
  <si>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</si>
  <si>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</si>
  <si>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</si>
  <si>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</si>
  <si>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</si>
  <si>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</si>
  <si>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</si>
  <si>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</si>
  <si>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</si>
  <si>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</si>
  <si>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</si>
  <si>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</si>
  <si>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</si>
  <si>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</si>
  <si>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</si>
  <si>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</si>
  <si>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</si>
  <si>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</si>
  <si>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</si>
  <si>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</si>
  <si>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</si>
  <si>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</si>
  <si>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</si>
  <si>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</si>
  <si>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</si>
  <si>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</si>
  <si>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</si>
  <si>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</si>
  <si>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</si>
  <si>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</si>
  <si>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</si>
  <si>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</si>
  <si>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</si>
  <si>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</si>
  <si>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</si>
  <si>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</si>
  <si>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</si>
  <si>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</si>
  <si>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</si>
  <si>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</si>
  <si>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</si>
  <si>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</si>
  <si>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</si>
  <si>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</si>
  <si>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</si>
  <si>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</si>
  <si>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</si>
  <si>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</si>
  <si>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</si>
  <si>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</si>
  <si>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</si>
  <si>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</si>
  <si>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</si>
  <si>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</si>
  <si>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</si>
  <si>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</si>
  <si>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</si>
  <si>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</si>
  <si>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</si>
  <si>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</si>
  <si>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</si>
  <si>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</si>
  <si>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</si>
  <si>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</si>
  <si>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</si>
  <si>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</si>
  <si>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</si>
  <si>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</si>
  <si>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</si>
  <si>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</si>
  <si>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</si>
  <si>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</si>
  <si>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</si>
  <si>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</si>
  <si>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</si>
  <si>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</si>
  <si>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</si>
  <si>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</si>
  <si>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</si>
  <si>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</si>
  <si>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</si>
  <si>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</si>
  <si>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</si>
  <si>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</si>
  <si>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</si>
  <si>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</si>
  <si>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</si>
  <si>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</si>
  <si>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</si>
  <si>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</si>
  <si>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</si>
  <si>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</si>
  <si>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</si>
  <si>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</si>
  <si>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</si>
  <si>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</si>
  <si>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</si>
  <si>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</si>
  <si>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</si>
  <si>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</si>
  <si>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</si>
  <si>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</si>
  <si>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</si>
  <si>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</si>
  <si>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</si>
  <si>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</si>
  <si>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</si>
  <si>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</si>
  <si>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</si>
  <si>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</si>
  <si>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</si>
  <si>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</si>
  <si>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</si>
  <si>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</si>
  <si>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</si>
  <si>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</si>
  <si>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</si>
  <si>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</si>
  <si>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</si>
  <si>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</si>
  <si>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</si>
  <si>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</si>
  <si>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</si>
  <si>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</si>
  <si>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</si>
  <si>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</si>
  <si>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</si>
  <si>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</si>
  <si>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</si>
  <si>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</si>
  <si>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</si>
  <si>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</si>
  <si>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</si>
  <si>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</si>
  <si>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</si>
  <si>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</si>
  <si>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</si>
  <si>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</si>
  <si>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</si>
  <si>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</si>
  <si>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</si>
  <si>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</si>
  <si>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</si>
  <si>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</si>
  <si>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</si>
  <si>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</si>
  <si>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</si>
  <si>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</si>
  <si>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</si>
  <si>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</si>
  <si>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</si>
  <si>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</si>
  <si>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</si>
  <si>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</si>
  <si>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</si>
  <si>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</si>
  <si>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</si>
  <si>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</si>
  <si>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</si>
  <si>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</si>
  <si>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</si>
  <si>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</si>
  <si>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</si>
  <si>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</si>
  <si>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</si>
  <si>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</si>
  <si>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</si>
  <si>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</si>
  <si>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</si>
  <si>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</si>
  <si>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</si>
  <si>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</si>
  <si>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</si>
  <si>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</si>
  <si>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</si>
  <si>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</si>
  <si>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</si>
  <si>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</si>
  <si>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</si>
  <si>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</si>
  <si>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</si>
  <si>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</si>
  <si>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</si>
  <si>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</si>
  <si>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</si>
  <si>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</si>
  <si>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</si>
  <si>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</si>
  <si>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</si>
  <si>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</si>
  <si>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</si>
  <si>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</si>
  <si>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</si>
  <si>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</si>
  <si>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</si>
  <si>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</si>
  <si>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</si>
  <si>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</si>
  <si>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</si>
  <si>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</si>
  <si>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</si>
  <si>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</si>
  <si>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</si>
  <si>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</si>
  <si>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</si>
  <si>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</si>
  <si>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</si>
  <si>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</si>
  <si>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</si>
  <si>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</si>
  <si>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</si>
  <si>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</si>
  <si>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</si>
  <si>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</si>
  <si>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</si>
  <si>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</si>
  <si>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</si>
  <si>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</si>
  <si>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</si>
  <si>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</si>
  <si>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</si>
  <si>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</si>
  <si>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</si>
  <si>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</si>
  <si>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</si>
  <si>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</si>
  <si>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</si>
  <si>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</si>
  <si>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</si>
  <si>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</si>
  <si>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</si>
  <si>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</si>
  <si>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</si>
  <si>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</si>
  <si>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</si>
  <si>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</si>
  <si>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</si>
  <si>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</si>
  <si>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</si>
  <si>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</si>
  <si>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</si>
  <si>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</si>
  <si>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</si>
  <si>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</si>
  <si>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</si>
  <si>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</si>
  <si>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</si>
  <si>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</si>
  <si>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</si>
  <si>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</si>
  <si>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</si>
  <si>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</si>
  <si>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</si>
  <si>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</si>
  <si>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</si>
  <si>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</si>
  <si>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</si>
  <si>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</si>
  <si>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</si>
  <si>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</si>
  <si>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</si>
  <si>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</si>
  <si>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</si>
  <si>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</si>
  <si>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</si>
  <si>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</si>
  <si>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</si>
  <si>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</si>
  <si>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</si>
  <si>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</si>
  <si>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</si>
  <si>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</si>
  <si>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</si>
  <si>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</si>
  <si>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</si>
  <si>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</si>
  <si>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</si>
  <si>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</si>
  <si>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</si>
  <si>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</si>
  <si>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</si>
  <si>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</si>
  <si>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</si>
  <si>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</si>
  <si>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</si>
  <si>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</si>
  <si>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</si>
  <si>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</si>
  <si>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</si>
  <si>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</si>
  <si>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</si>
  <si>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</si>
  <si>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</si>
  <si>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</si>
  <si>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</si>
  <si>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</si>
  <si>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</si>
  <si>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</si>
  <si>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</si>
  <si>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</si>
  <si>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</si>
  <si>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</si>
  <si>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</si>
  <si>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</si>
  <si>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</si>
  <si>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</si>
  <si>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</si>
  <si>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</si>
  <si>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</si>
  <si>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</si>
  <si>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</si>
  <si>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</si>
  <si>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</si>
  <si>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</si>
  <si>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</si>
  <si>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</si>
  <si>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</si>
  <si>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</si>
  <si>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</si>
  <si>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</si>
  <si>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</si>
  <si>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</si>
  <si>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</si>
  <si>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</si>
  <si>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</si>
  <si>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</si>
  <si>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</si>
  <si>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</si>
  <si>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</si>
  <si>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</si>
  <si>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</si>
  <si>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</si>
  <si>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</si>
  <si>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</si>
  <si>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</si>
  <si>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</si>
  <si>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</si>
  <si>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</si>
  <si>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</si>
  <si>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</si>
  <si>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</si>
  <si>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</si>
  <si>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</si>
  <si>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</si>
  <si>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</si>
  <si>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</si>
  <si>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</si>
  <si>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</si>
  <si>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</si>
  <si>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</si>
  <si>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</si>
  <si>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</si>
  <si>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</si>
  <si>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</si>
  <si>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</si>
  <si>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</si>
  <si>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</si>
  <si>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</si>
  <si>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</si>
  <si>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</si>
  <si>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</si>
  <si>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</si>
  <si>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</si>
  <si>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</si>
  <si>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</si>
  <si>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</si>
  <si>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</si>
  <si>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</si>
  <si>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</si>
  <si>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</si>
  <si>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</si>
  <si>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</si>
  <si>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</si>
  <si>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</si>
  <si>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</si>
  <si>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</si>
  <si>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</si>
  <si>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</si>
  <si>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</si>
  <si>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</si>
  <si>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</si>
  <si>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</si>
  <si>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</si>
  <si>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</si>
  <si>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</si>
  <si>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</si>
  <si>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</si>
  <si>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</si>
  <si>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</si>
  <si>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</si>
  <si>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</si>
  <si>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</si>
  <si>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</si>
  <si>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</si>
  <si>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</si>
  <si>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</si>
  <si>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</si>
  <si>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</si>
  <si>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</si>
  <si>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</si>
  <si>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</si>
  <si>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</si>
  <si>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</si>
  <si>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</si>
  <si>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</si>
  <si>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</si>
  <si>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</si>
  <si>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</si>
  <si>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</si>
  <si>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</si>
  <si>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</si>
  <si>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</si>
  <si>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</si>
  <si>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</si>
  <si>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</si>
  <si>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</si>
  <si>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</si>
  <si>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</si>
  <si>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</si>
  <si>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</si>
  <si>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</si>
  <si>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</si>
  <si>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</si>
  <si>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</si>
  <si>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</si>
  <si>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</si>
  <si>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</si>
  <si>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</si>
  <si>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</si>
  <si>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</si>
  <si>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</si>
  <si>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</si>
  <si>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</si>
  <si>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</si>
  <si>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</si>
  <si>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</si>
  <si>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</si>
  <si>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</si>
  <si>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</si>
  <si>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</si>
  <si>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</si>
  <si>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</si>
  <si>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</si>
  <si>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</si>
  <si>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</si>
  <si>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</si>
  <si>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</si>
  <si>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</si>
  <si>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</si>
  <si>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</si>
  <si>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</si>
  <si>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</si>
  <si>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</si>
  <si>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</si>
  <si>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</si>
  <si>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</si>
  <si>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</si>
  <si>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</si>
  <si>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</si>
  <si>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</si>
  <si>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</si>
  <si>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</si>
  <si>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</si>
  <si>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</si>
  <si>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</si>
  <si>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</si>
  <si>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</si>
  <si>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</si>
  <si>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</si>
  <si>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</si>
  <si>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</si>
  <si>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</si>
  <si>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</si>
  <si>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</si>
  <si>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</si>
  <si>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</si>
  <si>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</si>
  <si>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</si>
  <si>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</si>
  <si>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</si>
  <si>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</si>
  <si>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</si>
  <si>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</si>
  <si>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</si>
  <si>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</si>
  <si>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</si>
  <si>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</si>
  <si>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</si>
  <si>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</si>
  <si>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</si>
  <si>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</si>
  <si>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</si>
  <si>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</si>
  <si>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</si>
  <si>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</si>
  <si>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</si>
  <si>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</si>
  <si>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</si>
  <si>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</si>
  <si>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</si>
  <si>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</si>
  <si>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</si>
  <si>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</si>
  <si>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</si>
  <si>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</si>
  <si>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</si>
  <si>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</si>
  <si>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</si>
  <si>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</si>
  <si>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</si>
  <si>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</si>
  <si>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</si>
  <si>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</si>
  <si>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</si>
  <si>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</si>
  <si>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</si>
  <si>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</si>
  <si>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</si>
  <si>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</si>
  <si>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</si>
  <si>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</si>
  <si>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</si>
  <si>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</si>
  <si>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</si>
  <si>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</si>
  <si>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</si>
  <si>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</si>
  <si>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</si>
  <si>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</si>
  <si>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</si>
  <si>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</si>
  <si>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</si>
  <si>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</si>
  <si>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</si>
  <si>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</si>
  <si>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</si>
  <si>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</si>
  <si>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</si>
  <si>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</si>
  <si>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</si>
  <si>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</si>
  <si>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</si>
  <si>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</si>
  <si>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</si>
  <si>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</si>
  <si>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</si>
  <si>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</si>
  <si>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</si>
  <si>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</si>
  <si>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</si>
  <si>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</si>
  <si>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</si>
  <si>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</si>
  <si>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</si>
  <si>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</si>
  <si>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</si>
  <si>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</si>
  <si>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</si>
  <si>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</si>
  <si>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</si>
  <si>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</si>
  <si>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</si>
  <si>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</si>
  <si>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</si>
  <si>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</si>
  <si>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</si>
  <si>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</si>
  <si>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</si>
  <si>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</si>
  <si>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</si>
  <si>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</si>
  <si>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</si>
  <si>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</si>
  <si>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</si>
  <si>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</si>
  <si>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</si>
  <si>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</si>
  <si>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</si>
  <si>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</si>
  <si>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</si>
  <si>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</si>
  <si>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</si>
  <si>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</si>
  <si>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</si>
  <si>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</si>
  <si>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</si>
  <si>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</si>
  <si>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</si>
  <si>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</si>
  <si>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</si>
  <si>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</si>
  <si>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</si>
  <si>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</si>
  <si>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</si>
  <si>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</si>
  <si>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</si>
  <si>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</si>
  <si>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</si>
  <si>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</si>
  <si>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</si>
  <si>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</si>
  <si>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</si>
  <si>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</si>
  <si>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</si>
  <si>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</si>
  <si>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</si>
  <si>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</si>
  <si>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</si>
  <si>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</si>
  <si>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</si>
  <si>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</si>
  <si>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</si>
  <si>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</si>
  <si>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</si>
  <si>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</si>
  <si>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</si>
  <si>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</si>
  <si>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</si>
  <si>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</si>
  <si>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</si>
  <si>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</si>
  <si>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</si>
  <si>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</si>
  <si>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</si>
  <si>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</si>
  <si>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</si>
  <si>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</si>
  <si>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</si>
  <si>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</si>
  <si>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</si>
  <si>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</si>
  <si>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</si>
  <si>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</si>
  <si>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</si>
  <si>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</si>
  <si>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</si>
  <si>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</si>
  <si>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</si>
  <si>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</si>
  <si>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</si>
  <si>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</si>
  <si>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</si>
  <si>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</si>
  <si>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</si>
  <si>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</si>
  <si>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</si>
  <si>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</si>
  <si>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</si>
  <si>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</si>
  <si>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</si>
  <si>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</si>
  <si>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</si>
  <si>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</si>
  <si>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</si>
  <si>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</si>
  <si>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</si>
  <si>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</si>
  <si>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</si>
  <si>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</si>
  <si>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</si>
  <si>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</si>
  <si>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</si>
  <si>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</si>
  <si>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</si>
  <si>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</si>
  <si>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</si>
  <si>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</si>
  <si>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</si>
  <si>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</si>
  <si>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</si>
  <si>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</si>
  <si>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</si>
  <si>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</si>
  <si>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</si>
  <si>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</si>
  <si>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</si>
  <si>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</si>
  <si>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</si>
  <si>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</si>
  <si>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</si>
  <si>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</si>
  <si>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</si>
  <si>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</si>
  <si>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</si>
  <si>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</si>
  <si>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</si>
  <si>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</si>
  <si>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</si>
  <si>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</si>
  <si>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</si>
  <si>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</si>
  <si>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</si>
  <si>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</si>
  <si>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</si>
  <si>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</si>
  <si>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</si>
  <si>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</si>
  <si>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</si>
  <si>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</si>
  <si>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</si>
  <si>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</si>
  <si>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</si>
  <si>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</si>
  <si>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</si>
  <si>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</si>
  <si>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</si>
  <si>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</si>
  <si>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</si>
  <si>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</si>
  <si>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</si>
  <si>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</si>
  <si>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</si>
  <si>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</si>
  <si>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</si>
  <si>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</si>
  <si>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</si>
  <si>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</si>
  <si>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</si>
  <si>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</si>
  <si>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</si>
  <si>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</si>
  <si>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</si>
  <si>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</si>
  <si>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</si>
  <si>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</si>
  <si>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</si>
  <si>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</si>
  <si>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</si>
  <si>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</si>
  <si>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</si>
  <si>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</si>
  <si>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</si>
  <si>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</si>
  <si>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</si>
  <si>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</si>
  <si>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</si>
  <si>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</si>
  <si>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</si>
  <si>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</si>
  <si>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</si>
  <si>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</si>
  <si>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</si>
  <si>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</si>
  <si>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</si>
  <si>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</si>
  <si>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</si>
  <si>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</si>
  <si>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</si>
  <si>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</si>
  <si>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</si>
  <si>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</si>
  <si>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</si>
  <si>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</si>
  <si>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</si>
  <si>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</si>
  <si>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</si>
  <si>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</si>
  <si>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</si>
  <si>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</si>
  <si>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</si>
  <si>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</si>
  <si>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</si>
  <si>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</si>
  <si>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</si>
  <si>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</si>
  <si>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</si>
  <si>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</si>
  <si>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</si>
  <si>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</si>
  <si>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</si>
  <si>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</si>
  <si>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</si>
  <si>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</si>
  <si>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</si>
  <si>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</si>
  <si>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</si>
  <si>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</si>
  <si>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</si>
  <si>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</si>
  <si>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</si>
  <si>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</si>
  <si>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</si>
  <si>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</si>
  <si>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</si>
  <si>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</si>
  <si>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</si>
  <si>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</si>
  <si>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</si>
  <si>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</si>
  <si>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</si>
  <si>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</si>
  <si>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</si>
  <si>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</si>
  <si>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</si>
  <si>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</si>
  <si>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</si>
  <si>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</si>
  <si>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</si>
  <si>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</si>
  <si>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</si>
  <si>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</si>
  <si>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</si>
  <si>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</si>
  <si>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</si>
  <si>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</si>
  <si>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</si>
  <si>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</si>
  <si>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</si>
  <si>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</si>
  <si>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</si>
  <si>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</si>
  <si>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</si>
  <si>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</si>
  <si>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</si>
  <si>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</si>
  <si>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</si>
  <si>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</si>
  <si>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</si>
  <si>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</si>
  <si>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</si>
  <si>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</si>
  <si>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</si>
  <si>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</si>
  <si>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</si>
  <si>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</si>
  <si>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</si>
  <si>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</si>
  <si>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</si>
  <si>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</si>
  <si>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</si>
  <si>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</si>
  <si>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</si>
  <si>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</si>
  <si>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</si>
  <si>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</si>
  <si>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</si>
  <si>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</si>
  <si>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</si>
  <si>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</si>
  <si>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</si>
  <si>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</si>
  <si>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</si>
  <si>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</si>
  <si>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</si>
  <si>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</si>
  <si>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</si>
  <si>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</si>
  <si>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</si>
  <si>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</si>
  <si>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</si>
  <si>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</si>
  <si>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</si>
  <si>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</si>
  <si>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</si>
  <si>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</si>
  <si>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</si>
  <si>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</si>
  <si>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</si>
  <si>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</si>
  <si>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</si>
  <si>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</si>
  <si>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</si>
  <si>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</si>
  <si>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</si>
  <si>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</si>
  <si>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</si>
  <si>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</si>
  <si>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</si>
  <si>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</si>
  <si>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</si>
  <si>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</si>
  <si>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</si>
  <si>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</si>
  <si>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</si>
  <si>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</si>
  <si>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</si>
  <si>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</si>
  <si>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</si>
  <si>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</si>
  <si>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</si>
  <si>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</si>
  <si>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</si>
  <si>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</si>
  <si>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</si>
  <si>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</si>
  <si>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</si>
  <si>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</si>
  <si>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</si>
  <si>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</si>
  <si>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</si>
  <si>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</si>
  <si>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</si>
  <si>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</si>
  <si>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</si>
  <si>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</si>
  <si>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</si>
  <si>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</si>
  <si>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</si>
  <si>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</si>
  <si>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</si>
  <si>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</si>
  <si>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</si>
  <si>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</si>
  <si>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</si>
  <si>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</si>
  <si>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</si>
  <si>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</si>
  <si>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</si>
  <si>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</si>
  <si>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</si>
  <si>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</si>
  <si>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</si>
  <si>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</si>
  <si>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</si>
  <si>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</si>
  <si>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</si>
  <si>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</si>
  <si>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</si>
  <si>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</si>
  <si>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</si>
  <si>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</si>
  <si>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</si>
  <si>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</si>
  <si>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</si>
  <si>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</si>
  <si>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</si>
  <si>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</si>
  <si>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</si>
  <si>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</si>
  <si>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</si>
  <si>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</si>
  <si>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</si>
  <si>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</si>
  <si>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</si>
  <si>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</si>
  <si>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</si>
  <si>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</si>
  <si>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</si>
  <si>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</si>
  <si>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</si>
  <si>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</si>
  <si>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</si>
  <si>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</si>
  <si>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</si>
  <si>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</si>
  <si>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</si>
  <si>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</si>
  <si>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</si>
  <si>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</si>
  <si>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</si>
  <si>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</si>
  <si>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</si>
  <si>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</si>
  <si>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</si>
  <si>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</si>
  <si>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</si>
  <si>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</si>
  <si>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</si>
  <si>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</si>
  <si>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</si>
  <si>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</si>
  <si>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</si>
  <si>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</si>
  <si>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</si>
  <si>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</si>
  <si>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</si>
  <si>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</si>
  <si>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</si>
  <si>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</si>
  <si>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</si>
  <si>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</si>
  <si>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</si>
  <si>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</si>
  <si>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</si>
  <si>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</si>
  <si>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</si>
  <si>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</si>
  <si>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</si>
  <si>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</si>
  <si>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</si>
  <si>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</si>
  <si>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</si>
  <si>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</si>
  <si>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</si>
  <si>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</si>
  <si>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</si>
  <si>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</si>
  <si>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</si>
  <si>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</si>
  <si>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</si>
  <si>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</si>
  <si>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</si>
  <si>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</si>
  <si>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</si>
  <si>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</si>
  <si>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</si>
  <si>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</si>
  <si>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</si>
  <si>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</si>
  <si>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</si>
  <si>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</si>
  <si>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</si>
  <si>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</si>
  <si>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</si>
  <si>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</si>
  <si>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</si>
  <si>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</si>
  <si>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</si>
  <si>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</si>
  <si>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</si>
  <si>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</si>
  <si>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</si>
  <si>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</si>
  <si>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</si>
  <si>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</si>
  <si>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</si>
  <si>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</si>
  <si>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</si>
  <si>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</si>
  <si>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</si>
  <si>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</si>
  <si>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</si>
  <si>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</si>
  <si>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</si>
  <si>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</si>
  <si>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</si>
  <si>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</si>
  <si>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</si>
  <si>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</si>
  <si>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</si>
  <si>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</si>
  <si>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</si>
  <si>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</si>
  <si>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</si>
  <si>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</si>
  <si>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</si>
  <si>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</si>
  <si>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</si>
  <si>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</si>
  <si>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</si>
  <si>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</si>
  <si>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</si>
  <si>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</si>
  <si>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</si>
  <si>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</si>
  <si>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</si>
  <si>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</si>
  <si>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</si>
  <si>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</si>
  <si>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</si>
  <si>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</si>
  <si>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</si>
  <si>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</si>
  <si>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</si>
  <si>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</si>
  <si>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</si>
  <si>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</si>
  <si>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</si>
  <si>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</si>
  <si>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</si>
  <si>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</si>
  <si>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</si>
  <si>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</si>
  <si>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</si>
  <si>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</si>
  <si>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</si>
  <si>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</si>
  <si>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</si>
  <si>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</si>
  <si>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</si>
  <si>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</si>
  <si>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</si>
  <si>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</si>
  <si>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</si>
  <si>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</si>
  <si>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</si>
  <si>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</si>
  <si>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</si>
  <si>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</si>
  <si>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</si>
  <si>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</si>
  <si>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</si>
  <si>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</si>
  <si>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</si>
  <si>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</si>
  <si>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</si>
  <si>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</si>
  <si>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</si>
  <si>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</si>
  <si>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</si>
  <si>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</si>
  <si>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</si>
  <si>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</si>
  <si>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</si>
  <si>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</si>
  <si>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</si>
  <si>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</si>
  <si>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</si>
  <si>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</si>
  <si>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</si>
  <si>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</si>
  <si>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</si>
  <si>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</si>
  <si>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</si>
  <si>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</si>
  <si>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</si>
  <si>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</si>
  <si>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</si>
  <si>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</si>
  <si>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</si>
  <si>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</si>
  <si>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</si>
  <si>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</si>
  <si>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</si>
  <si>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</si>
  <si>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</si>
  <si>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</si>
  <si>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</si>
  <si>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</si>
  <si>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</si>
  <si>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</si>
  <si>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</si>
  <si>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</si>
  <si>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</si>
  <si>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</si>
  <si>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</si>
  <si>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</si>
  <si>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</si>
  <si>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</si>
  <si>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</si>
  <si>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</si>
  <si>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</si>
  <si>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</si>
  <si>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</si>
  <si>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</si>
  <si>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</si>
  <si>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</si>
  <si>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</si>
  <si>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</si>
  <si>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</si>
  <si>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</si>
  <si>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</si>
  <si>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</si>
  <si>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</si>
  <si>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</si>
  <si>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</si>
  <si>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</si>
  <si>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</si>
  <si>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</si>
  <si>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</si>
  <si>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</si>
  <si>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</si>
  <si>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</si>
  <si>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</si>
  <si>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</si>
  <si>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</si>
  <si>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</si>
  <si>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</si>
  <si>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</si>
  <si>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</si>
  <si>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</si>
  <si>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</si>
  <si>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</si>
  <si>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</si>
  <si>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</si>
  <si>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</si>
  <si>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</si>
  <si>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</si>
  <si>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</si>
  <si>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</si>
  <si>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</si>
  <si>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</si>
  <si>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</si>
  <si>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</si>
  <si>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</si>
  <si>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</si>
  <si>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</si>
  <si>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</si>
  <si>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</si>
  <si>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</si>
  <si>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</si>
  <si>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</si>
  <si>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</si>
  <si>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</si>
  <si>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</si>
  <si>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</si>
  <si>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</si>
  <si>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</si>
  <si>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</si>
  <si>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</si>
  <si>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</si>
  <si>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</si>
  <si>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</si>
  <si>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</si>
  <si>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</si>
  <si>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</si>
  <si>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</si>
  <si>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</si>
  <si>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</si>
  <si>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</si>
  <si>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</si>
  <si>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</si>
  <si>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</si>
  <si>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</si>
  <si>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</si>
  <si>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</si>
  <si>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</si>
  <si>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</si>
  <si>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</si>
  <si>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</si>
  <si>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</si>
  <si>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</si>
  <si>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</si>
  <si>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</si>
  <si>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</si>
  <si>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</si>
  <si>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</si>
  <si>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</si>
  <si>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</si>
  <si>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</si>
  <si>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</si>
  <si>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</si>
  <si>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</si>
  <si>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</si>
  <si>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</si>
  <si>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</si>
  <si>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</si>
  <si>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</si>
  <si>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</si>
  <si>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</si>
  <si>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</si>
  <si>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</si>
  <si>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</si>
  <si>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</si>
  <si>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</si>
  <si>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</si>
  <si>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</si>
  <si>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</si>
  <si>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</si>
  <si>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</si>
  <si>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</si>
  <si>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</si>
  <si>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</si>
  <si>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</si>
  <si>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</si>
  <si>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</si>
  <si>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</si>
  <si>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</si>
  <si>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</si>
  <si>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</si>
  <si>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</si>
  <si>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</si>
  <si>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</si>
  <si>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</si>
  <si>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</si>
  <si>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</si>
  <si>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</si>
  <si>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</si>
  <si>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</si>
  <si>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</si>
  <si>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</si>
  <si>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</si>
  <si>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</si>
  <si>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</si>
  <si>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</si>
  <si>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</si>
  <si>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</si>
  <si>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</si>
  <si>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</si>
  <si>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</si>
  <si>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</si>
  <si>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</si>
  <si>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</si>
  <si>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</si>
  <si>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</si>
  <si>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</si>
  <si>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</si>
  <si>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</si>
  <si>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</si>
  <si>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</si>
  <si>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</si>
  <si>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</si>
  <si>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</si>
  <si>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</si>
  <si>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</si>
  <si>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</si>
  <si>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</si>
  <si>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</si>
  <si>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</si>
  <si>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</si>
  <si>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</si>
  <si>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</si>
  <si>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</si>
  <si>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</si>
  <si>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</si>
  <si>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</si>
  <si>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</si>
  <si>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</si>
  <si>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</si>
  <si>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</si>
  <si>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</si>
  <si>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</si>
  <si>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</si>
  <si>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</si>
  <si>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</si>
  <si>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</si>
  <si>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</si>
  <si>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</si>
  <si>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</si>
  <si>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</si>
  <si>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</si>
  <si>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</si>
  <si>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</si>
  <si>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</si>
  <si>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</si>
  <si>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</si>
  <si>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</si>
  <si>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</si>
  <si>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</si>
  <si>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</si>
  <si>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</si>
  <si>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</si>
  <si>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</si>
  <si>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</si>
  <si>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</si>
  <si>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</si>
  <si>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</si>
  <si>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</si>
  <si>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</si>
  <si>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</si>
  <si>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</si>
  <si>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</si>
  <si>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</si>
  <si>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</si>
  <si>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</si>
  <si>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</si>
  <si>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</si>
  <si>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</si>
  <si>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</si>
  <si>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</si>
  <si>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</si>
  <si>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</si>
  <si>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</si>
  <si>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</si>
  <si>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</si>
  <si>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</si>
  <si>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</si>
  <si>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</si>
  <si>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</si>
  <si>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</si>
  <si>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</si>
  <si>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</si>
  <si>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</si>
  <si>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</si>
  <si>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</si>
  <si>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</si>
  <si>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</si>
  <si>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</si>
  <si>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</si>
  <si>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</si>
  <si>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</si>
  <si>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</si>
  <si>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</si>
  <si>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</si>
  <si>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</si>
  <si>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</si>
  <si>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</si>
  <si>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</si>
  <si>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</si>
  <si>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</si>
  <si>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</si>
  <si>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</si>
  <si>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</si>
  <si>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</si>
  <si>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</si>
  <si>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</si>
  <si>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</si>
  <si>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</si>
  <si>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</si>
  <si>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</si>
  <si>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</si>
  <si>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</si>
  <si>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</si>
  <si>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</si>
  <si>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</si>
  <si>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</si>
  <si>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</si>
  <si>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</si>
  <si>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</si>
  <si>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</si>
  <si>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</si>
  <si>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</si>
  <si>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</si>
  <si>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</si>
  <si>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</si>
  <si>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</si>
  <si>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</si>
  <si>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</si>
  <si>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</si>
  <si>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</si>
  <si>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</si>
  <si>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</si>
  <si>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</si>
  <si>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</si>
  <si>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</si>
  <si>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</si>
  <si>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</si>
  <si>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</si>
  <si>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</si>
  <si>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</si>
  <si>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</si>
  <si>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</si>
  <si>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</si>
  <si>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</si>
  <si>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</si>
  <si>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</si>
  <si>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</si>
  <si>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</si>
  <si>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</si>
  <si>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</si>
  <si>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</si>
  <si>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</si>
  <si>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</si>
  <si>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</si>
  <si>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</si>
  <si>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</si>
  <si>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</si>
  <si>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</si>
  <si>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</si>
  <si>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</si>
  <si>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</si>
  <si>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</si>
  <si>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</si>
  <si>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</si>
  <si>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</si>
  <si>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</si>
  <si>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</si>
  <si>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</si>
  <si>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</si>
  <si>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</si>
  <si>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</si>
  <si>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</si>
  <si>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</si>
  <si>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</si>
  <si>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</si>
  <si>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</si>
  <si>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</si>
  <si>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</si>
  <si>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</si>
  <si>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</si>
  <si>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</si>
  <si>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</si>
  <si>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</si>
  <si>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</si>
  <si>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</si>
  <si>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</si>
  <si>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</si>
  <si>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</si>
  <si>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</si>
  <si>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</si>
  <si>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</si>
  <si>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</si>
  <si>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</si>
  <si>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</si>
  <si>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</si>
  <si>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</si>
  <si>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</si>
  <si>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</si>
  <si>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</si>
  <si>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</si>
  <si>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</si>
  <si>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</si>
  <si>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</si>
  <si>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</si>
  <si>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</si>
  <si>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E1-3</t>
  </si>
  <si>
    <t>E1-2</t>
  </si>
  <si>
    <t>E1-1</t>
  </si>
  <si>
    <t>E1EKE02CP151</t>
  </si>
  <si>
    <t>Засорение фильтра №2</t>
  </si>
  <si>
    <t>WppL</t>
  </si>
  <si>
    <t>WppDi1</t>
  </si>
  <si>
    <t>WppDi2</t>
  </si>
  <si>
    <t>E1-S9-L</t>
  </si>
  <si>
    <t>WppL2</t>
  </si>
  <si>
    <t>E1-S10-L</t>
  </si>
  <si>
    <t>XT7</t>
  </si>
  <si>
    <t>XT5</t>
  </si>
  <si>
    <t>XT10</t>
  </si>
  <si>
    <t>E1-S9-D1</t>
  </si>
  <si>
    <t>E1-S10-D1</t>
  </si>
  <si>
    <t>ЩА сущ. ГРП-1</t>
  </si>
  <si>
    <t>Температура на выходе ГРП-1 (15а)</t>
  </si>
  <si>
    <t>Температура на входе ГРП-1 (16а)</t>
  </si>
  <si>
    <t>E1EKG01CT101</t>
  </si>
  <si>
    <t>E1EKA01CT101</t>
  </si>
  <si>
    <t>E1-4</t>
  </si>
  <si>
    <t>E1-5</t>
  </si>
  <si>
    <t>A3.2</t>
  </si>
  <si>
    <t>Давление на выходе ГРП-1 (13а)</t>
  </si>
  <si>
    <t>Давление на входе ГРП-1 (14а)</t>
  </si>
  <si>
    <t>E1EKG01CP001</t>
  </si>
  <si>
    <t>E1EKA01CP001</t>
  </si>
  <si>
    <t>Давление после заслонки №1 (11а)</t>
  </si>
  <si>
    <t>Давление после заслонки №2 (12а)</t>
  </si>
  <si>
    <t>E1EKD01CP001</t>
  </si>
  <si>
    <t>E1EKD02CP001</t>
  </si>
  <si>
    <t>E1-6</t>
  </si>
  <si>
    <t>E1-7</t>
  </si>
  <si>
    <t>E1-8</t>
  </si>
  <si>
    <t>E1-9</t>
  </si>
  <si>
    <t>XT27</t>
  </si>
  <si>
    <t>XT28</t>
  </si>
  <si>
    <t>XT31</t>
  </si>
  <si>
    <t>XT32</t>
  </si>
  <si>
    <t>XT38</t>
  </si>
  <si>
    <t>XT39</t>
  </si>
  <si>
    <t>XT43</t>
  </si>
  <si>
    <t>XT44</t>
  </si>
  <si>
    <t>E1-30</t>
  </si>
  <si>
    <t>Загазованность в ГРП, 1 порог</t>
  </si>
  <si>
    <t>E1UEN01CQ001</t>
  </si>
  <si>
    <t>se0025</t>
  </si>
  <si>
    <t>Сигнализатор газов СТМ-10</t>
  </si>
  <si>
    <t>E1-S17-21</t>
  </si>
  <si>
    <t>E1-S17-23</t>
  </si>
  <si>
    <t>---</t>
  </si>
  <si>
    <t>Desc1</t>
  </si>
  <si>
    <t>Desc2</t>
  </si>
  <si>
    <t>Загазованность в ГРП, 2 порог</t>
  </si>
  <si>
    <t>Неисправность шкафа сборки задвижек</t>
  </si>
  <si>
    <t>E1CDA01GH002</t>
  </si>
  <si>
    <t>E1-29</t>
  </si>
  <si>
    <t>Сборка СЗ ГРП-1 (E1CDA01GH002)</t>
  </si>
  <si>
    <t>X</t>
  </si>
  <si>
    <t>K2-05</t>
  </si>
  <si>
    <t>E1-GH2-EH</t>
  </si>
  <si>
    <t>Регулирующая заслонка №1</t>
  </si>
  <si>
    <t>E1EKD01AA801</t>
  </si>
  <si>
    <t>E1-12</t>
  </si>
  <si>
    <t>E1-14</t>
  </si>
  <si>
    <t>se0026</t>
  </si>
  <si>
    <t>Регулирующая заслонка №2</t>
  </si>
  <si>
    <t>se0027</t>
  </si>
  <si>
    <t>E1EKD02AA801</t>
  </si>
  <si>
    <t>E1-17</t>
  </si>
  <si>
    <t>E1-19</t>
  </si>
  <si>
    <t>Задвижка 2-Г</t>
  </si>
  <si>
    <t>E1EKA01AA001</t>
  </si>
  <si>
    <t>E1-21</t>
  </si>
  <si>
    <t>se0028</t>
  </si>
  <si>
    <t>Задвижка 3-Г</t>
  </si>
  <si>
    <t>E1EKG11AA001</t>
  </si>
  <si>
    <t>E1-24</t>
  </si>
  <si>
    <t>Дисковый затвор ГК-1</t>
  </si>
  <si>
    <t>E1EKG12AA001</t>
  </si>
  <si>
    <t>E1-27</t>
  </si>
  <si>
    <t>Давление после клапана ЗР-1</t>
  </si>
  <si>
    <t>Давление после клапана ЗР-2</t>
  </si>
  <si>
    <t>Давление на входе ГРП-2</t>
  </si>
  <si>
    <t>Температура на входе в ГРП-2</t>
  </si>
  <si>
    <t>Температура на выходе ГРП-2</t>
  </si>
  <si>
    <t>E2EKD01CP001</t>
  </si>
  <si>
    <t>E2EKD02CP001</t>
  </si>
  <si>
    <t>E2EKA01CP001</t>
  </si>
  <si>
    <t>E2EKG01CP001</t>
  </si>
  <si>
    <t>E2EKG01CP002</t>
  </si>
  <si>
    <t>E2EKG01CP003</t>
  </si>
  <si>
    <t>E2EKA01CT101</t>
  </si>
  <si>
    <t>E2EKG01CT101</t>
  </si>
  <si>
    <t>Регулирующий клапан ЗР-1 (линия 1)</t>
  </si>
  <si>
    <t>Регулирующий клапан ЗР-1 (линия 2)</t>
  </si>
  <si>
    <t>Задвижка 2-13Г на входе линии 1</t>
  </si>
  <si>
    <t>Задвижка 2-14Г на выходе линии 1</t>
  </si>
  <si>
    <t>Задвижка 2-15Г на входе линии 2</t>
  </si>
  <si>
    <t>Задвижка 2-16Г на выходе линии 2</t>
  </si>
  <si>
    <t>Задвижка 2-17Г на байпасе ГРП-2</t>
  </si>
  <si>
    <t>Задвижка 2-3Г на входе ГРП-2</t>
  </si>
  <si>
    <t>Задвижка 2-19Г на выходе ГРП-2 к главному корпусу</t>
  </si>
  <si>
    <t>Задвижка 4-ГД</t>
  </si>
  <si>
    <t>Дисковый затвор ГК-2</t>
  </si>
  <si>
    <t>E2CDA01GH001</t>
  </si>
  <si>
    <t>E2UEN01CQ001</t>
  </si>
  <si>
    <t>E2EKG12AA001</t>
  </si>
  <si>
    <t>E2EKG11AA002</t>
  </si>
  <si>
    <t>E2EKG11AA001</t>
  </si>
  <si>
    <t>E2EKA01AA001</t>
  </si>
  <si>
    <t>E2EKG02AA001</t>
  </si>
  <si>
    <t>E2EKD02AA002</t>
  </si>
  <si>
    <t>E2EKD02AA001</t>
  </si>
  <si>
    <t>E2EKD01AA002</t>
  </si>
  <si>
    <t>E2EKD01AA001</t>
  </si>
  <si>
    <t>E2EKD02AA801</t>
  </si>
  <si>
    <t>E2EKD01AA801</t>
  </si>
  <si>
    <t>Давление на выходе ГРП-2 №1</t>
  </si>
  <si>
    <t>Давление на выходе ГРП-2 №2</t>
  </si>
  <si>
    <t>Давление на выходе ГРП-2 №3</t>
  </si>
  <si>
    <t>E2</t>
  </si>
  <si>
    <t>E2-1</t>
  </si>
  <si>
    <t>Шкаф АСУ ГРП-2 (E2CJU01)</t>
  </si>
  <si>
    <t>E2-2</t>
  </si>
  <si>
    <t>E2-3</t>
  </si>
  <si>
    <t>E2-4</t>
  </si>
  <si>
    <t>E2-5</t>
  </si>
  <si>
    <t>E2-6</t>
  </si>
  <si>
    <t>E2-7</t>
  </si>
  <si>
    <t>E2-8</t>
  </si>
  <si>
    <t>E2-11</t>
  </si>
  <si>
    <t>E2-12</t>
  </si>
  <si>
    <t>E2-13</t>
  </si>
  <si>
    <t>E2EKA02СР001</t>
  </si>
  <si>
    <t>E2EKA02СР002</t>
  </si>
  <si>
    <t>E2EKA02СР003</t>
  </si>
  <si>
    <t>Давление газа после регулятора на перемычке (регулирование)</t>
  </si>
  <si>
    <t>Давление газа после регулятора на перемычке</t>
  </si>
  <si>
    <t>Давление газа до регулятора на перемычке</t>
  </si>
  <si>
    <t>E2-20</t>
  </si>
  <si>
    <t>Шкаф Ш-2 (E2CDA01GH002)</t>
  </si>
  <si>
    <t>E2-23</t>
  </si>
  <si>
    <t>E2-26</t>
  </si>
  <si>
    <t>se0029</t>
  </si>
  <si>
    <t>E2-29</t>
  </si>
  <si>
    <t>E2-35</t>
  </si>
  <si>
    <t>E2-41</t>
  </si>
  <si>
    <t>E2-36</t>
  </si>
  <si>
    <t>E2-40</t>
  </si>
  <si>
    <t>E2-42</t>
  </si>
  <si>
    <t>Затвор со стороны газопровода на ГРП-2</t>
  </si>
  <si>
    <t>E2EKA02AA001</t>
  </si>
  <si>
    <t>Затвор со стороны газопровода на ГРП-1</t>
  </si>
  <si>
    <t>E2EKA02AA002</t>
  </si>
  <si>
    <t>Регулятор давления газа</t>
  </si>
  <si>
    <t>E2EKA02AA801</t>
  </si>
  <si>
    <t>E2EKA02FF001</t>
  </si>
  <si>
    <t>Расход газа</t>
  </si>
  <si>
    <t>E2-15</t>
  </si>
  <si>
    <t>Шкаф учета газа ШУГ (E2CFQ01)</t>
  </si>
  <si>
    <t>E2EKA02СF001</t>
  </si>
  <si>
    <t>E2-16</t>
  </si>
  <si>
    <t>ИРВИС-Ультра.ТИ (A1.4)</t>
  </si>
  <si>
    <t>E2-68</t>
  </si>
  <si>
    <t>E2-45</t>
  </si>
  <si>
    <t>E2-48</t>
  </si>
  <si>
    <t>E2-51</t>
  </si>
  <si>
    <t>E2-54</t>
  </si>
  <si>
    <t>E2-57</t>
  </si>
  <si>
    <t>E2-60</t>
  </si>
  <si>
    <t>E2-66</t>
  </si>
  <si>
    <t>E2-67</t>
  </si>
  <si>
    <t>E2-17</t>
  </si>
  <si>
    <t>Шкаф Ш-3 (E2CDA01GH003)</t>
  </si>
  <si>
    <t>Шкаф Ш-1 (E2CDA01GH001)</t>
  </si>
  <si>
    <t>Шкаф системы контроля загазованности ШСКЗ (E2CXE01)</t>
  </si>
  <si>
    <t>se0031</t>
  </si>
  <si>
    <t>T4</t>
  </si>
  <si>
    <t>name1</t>
  </si>
  <si>
    <t>name2</t>
  </si>
  <si>
    <t>Порог 1</t>
  </si>
  <si>
    <t>Порог 2</t>
  </si>
  <si>
    <t>KL1</t>
  </si>
  <si>
    <t>KL2</t>
  </si>
  <si>
    <t>K17-01</t>
  </si>
  <si>
    <t>K17-02</t>
  </si>
  <si>
    <t>Давление сетевой воды после всех теплообменных аппаратов</t>
  </si>
  <si>
    <t>N1NDA10CP001</t>
  </si>
  <si>
    <t>N1</t>
  </si>
  <si>
    <t>N1-1</t>
  </si>
  <si>
    <t>Шкаф АСУ Зд (N1CJU01)</t>
  </si>
  <si>
    <t>Температура сетевой воды после всех теплообменных аппаратов</t>
  </si>
  <si>
    <t>N1NDA10CT002</t>
  </si>
  <si>
    <t>N1-2</t>
  </si>
  <si>
    <t>N1NDD01CT002</t>
  </si>
  <si>
    <t>Температура сетевой воды на выходе из ТА-1</t>
  </si>
  <si>
    <t>N1-3</t>
  </si>
  <si>
    <t>N1-4</t>
  </si>
  <si>
    <t>N1-5</t>
  </si>
  <si>
    <t>N1-6</t>
  </si>
  <si>
    <t>N1-7</t>
  </si>
  <si>
    <t>N1-8</t>
  </si>
  <si>
    <t>N1-9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</si>
  <si>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</si>
  <si>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</si>
  <si>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</si>
  <si>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</si>
  <si>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</si>
  <si>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</si>
  <si>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</si>
  <si>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</si>
  <si>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</si>
  <si>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</si>
  <si>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</si>
  <si>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</si>
  <si>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</si>
  <si>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</si>
  <si>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</si>
  <si>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N1-25</t>
  </si>
  <si>
    <t>N1-26</t>
  </si>
  <si>
    <t>N1-27</t>
  </si>
  <si>
    <t>N1-28</t>
  </si>
  <si>
    <t>N1-29</t>
  </si>
  <si>
    <t>N1-30</t>
  </si>
  <si>
    <t>N1-31</t>
  </si>
  <si>
    <t>N1-32</t>
  </si>
  <si>
    <t>N1-33</t>
  </si>
  <si>
    <t>N1-34</t>
  </si>
  <si>
    <t>N1-35</t>
  </si>
  <si>
    <t>N1-36</t>
  </si>
  <si>
    <t>N1-37</t>
  </si>
  <si>
    <t>N1-38</t>
  </si>
  <si>
    <t>N1-39</t>
  </si>
  <si>
    <t>N1-40</t>
  </si>
  <si>
    <t>N1-41</t>
  </si>
  <si>
    <t>N1-42</t>
  </si>
  <si>
    <t>N1-43</t>
  </si>
  <si>
    <t>N1-44</t>
  </si>
  <si>
    <t>N1-45</t>
  </si>
  <si>
    <t>N1-46</t>
  </si>
  <si>
    <t>N1-47</t>
  </si>
  <si>
    <t>N1-48</t>
  </si>
  <si>
    <t>Температура сетевой воды на выходе из ТА-2</t>
  </si>
  <si>
    <t>N1NDD02CT002</t>
  </si>
  <si>
    <t>Температура сетевой воды на выходе из ТА-3</t>
  </si>
  <si>
    <t>N1NDD03CT002</t>
  </si>
  <si>
    <t>Температура сетевой воды на выходе из ТА-4</t>
  </si>
  <si>
    <t>N1NDD04CT002</t>
  </si>
  <si>
    <t>Температура сетевой воды на выходе из ТА-5</t>
  </si>
  <si>
    <t>N1NDD05CT002</t>
  </si>
  <si>
    <t>Температура сетевой воды на выходе из ТА-6</t>
  </si>
  <si>
    <t>N1NDD06CT002</t>
  </si>
  <si>
    <t>Температура сетевой воды на выходе из ТА-7</t>
  </si>
  <si>
    <t>N1NDD07CT002</t>
  </si>
  <si>
    <t>Температура сетевой воды на выходе из ТА-8</t>
  </si>
  <si>
    <t>N1NDD08CT002</t>
  </si>
  <si>
    <t>Температура сетевой воды на выходе из ТА-9</t>
  </si>
  <si>
    <t>N1NDD09CT002</t>
  </si>
  <si>
    <t>N1NDF10CT001</t>
  </si>
  <si>
    <t>Температура котловой воды перед сетевыми теплообменниками</t>
  </si>
  <si>
    <t>Температура котловой воды на выходе из ТА-1</t>
  </si>
  <si>
    <t>Температура котловой воды на выходе из ТА-2</t>
  </si>
  <si>
    <t>N1NDD01CT004</t>
  </si>
  <si>
    <t>N1NDD02CT004</t>
  </si>
  <si>
    <t>Температура котловой воды на выходе из ТА-3</t>
  </si>
  <si>
    <t>N1NDD03CT004</t>
  </si>
  <si>
    <t>Температура котловой воды на выходе из ТА-4</t>
  </si>
  <si>
    <t>N1NDD04CT004</t>
  </si>
  <si>
    <t>Температура котловой воды на выходе из ТА-5</t>
  </si>
  <si>
    <t>N1NDD05CT004</t>
  </si>
  <si>
    <t>Температура котловой воды на выходе из ТА-6</t>
  </si>
  <si>
    <t>N1NDD06CT004</t>
  </si>
  <si>
    <t>Температура котловой воды на выходе из ТА-7</t>
  </si>
  <si>
    <t>N1NDD07CT004</t>
  </si>
  <si>
    <t>Температура котловой воды на выходе из ТА-8</t>
  </si>
  <si>
    <t>N1NDD08CT004</t>
  </si>
  <si>
    <t>Температура котловой воды на выходе из ТА-9</t>
  </si>
  <si>
    <t>N1NDD09CT004</t>
  </si>
  <si>
    <t>Температура обратной сетевой воды на входе в здание теплообменников</t>
  </si>
  <si>
    <t>N1NDB10CT001</t>
  </si>
  <si>
    <t>N1NDB10CP003</t>
  </si>
  <si>
    <t>Давление обратной сетевой воды на входе в здание теплообменников</t>
  </si>
  <si>
    <t>Давление обратной сетевой воды (регулирование)</t>
  </si>
  <si>
    <t>N1NDB10CP004</t>
  </si>
  <si>
    <t>Давление на всасе насоса СН-1</t>
  </si>
  <si>
    <t>N1NDC01CP001</t>
  </si>
  <si>
    <t>N1NDC01CP002</t>
  </si>
  <si>
    <t>Давление на напоре насоса СН-1</t>
  </si>
  <si>
    <t>Давление на всасе насоса СН-2</t>
  </si>
  <si>
    <t>Давление на напоре насоса СН-2</t>
  </si>
  <si>
    <t>Давление на всасе насоса СН-3</t>
  </si>
  <si>
    <t>Давление на напоре насоса СН-3</t>
  </si>
  <si>
    <t>Давление на всасе насоса СН-4</t>
  </si>
  <si>
    <t>Давление на напоре насоса СН-4</t>
  </si>
  <si>
    <t>N1NDC02CP001</t>
  </si>
  <si>
    <t>N1NDC02CP002</t>
  </si>
  <si>
    <t>N1NDC03CP001</t>
  </si>
  <si>
    <t>N1NDC03CP002</t>
  </si>
  <si>
    <t>N1NDC04CP001</t>
  </si>
  <si>
    <t>N1NDC04CP002</t>
  </si>
  <si>
    <t>Давление обратной сетевой воды перед теплообменниками</t>
  </si>
  <si>
    <t>N1NDB20CP001</t>
  </si>
  <si>
    <t>Температура обратной сетевой воды перед теплообменниками</t>
  </si>
  <si>
    <t>N1NDB20CT001</t>
  </si>
  <si>
    <t>Давление воды на аварийную подпитку</t>
  </si>
  <si>
    <t>N1GAD11CP001</t>
  </si>
  <si>
    <t>Температура воды на аварийную подпитку</t>
  </si>
  <si>
    <t>N1GAD11CT001</t>
  </si>
  <si>
    <t>Температура подпиточной воды от деаэратора</t>
  </si>
  <si>
    <t>N1NDK10CT001</t>
  </si>
  <si>
    <t>Давление сетевой воды после сетевых насосов (группа 1)</t>
  </si>
  <si>
    <t>N1NDB11CP002</t>
  </si>
  <si>
    <t>Давление сетевой воды после сетевых насосов (группа 1) сигнализация</t>
  </si>
  <si>
    <t>N1NDB11CP003</t>
  </si>
  <si>
    <t>Давление сетевой воды после сетевых насосов (группа 2)</t>
  </si>
  <si>
    <t>N1NDB12CP002</t>
  </si>
  <si>
    <t>Давление сетевой воды после сетевых насосов (группа 2) сигнализация</t>
  </si>
  <si>
    <t>N1NDB12CP003</t>
  </si>
  <si>
    <t>Давление обратной сетевой воды до сетевых насосов (коллектор)</t>
  </si>
  <si>
    <t>N1NDB10CP005</t>
  </si>
  <si>
    <t>Температура обратной сетевой воды до сетевых насосов (коллектор)</t>
  </si>
  <si>
    <t>N1NDB10CT002</t>
  </si>
  <si>
    <t>Давление сетевой воды до сетевых насосов (группа 1)</t>
  </si>
  <si>
    <t>N1NDB11CP001</t>
  </si>
  <si>
    <t>Давление сетевой воды до сетевых насосов (группа 2)</t>
  </si>
  <si>
    <t>N1NDB12CP001</t>
  </si>
  <si>
    <t>Давление обратной сетевой воды до фильтра ГИГ</t>
  </si>
  <si>
    <t>N1NDB10CP001</t>
  </si>
  <si>
    <t>Давление обратной сетевой воды после фильтра ГИГ</t>
  </si>
  <si>
    <t>N1NDB10CP002</t>
  </si>
  <si>
    <t>A3.5</t>
  </si>
  <si>
    <t>A3.7</t>
  </si>
  <si>
    <t>A3.8</t>
  </si>
  <si>
    <t>N1-49</t>
  </si>
  <si>
    <t>N1-50</t>
  </si>
  <si>
    <t>N1-51</t>
  </si>
  <si>
    <t>N1-52</t>
  </si>
  <si>
    <t>A3.9</t>
  </si>
  <si>
    <t>N1NDC01CT101</t>
  </si>
  <si>
    <t>N1NDC01CT103</t>
  </si>
  <si>
    <t>Температура подшипника №1 ЭД сетевого насоса СН-1</t>
  </si>
  <si>
    <t>Температура подшипника №3 ЭД сетевого насоса СН-1</t>
  </si>
  <si>
    <t>N1NDC01CT105</t>
  </si>
  <si>
    <t>N1NDC01CE012</t>
  </si>
  <si>
    <t>N1NDC01CT102</t>
  </si>
  <si>
    <t>N1NDC01CT104</t>
  </si>
  <si>
    <t>N1NDC01CT106</t>
  </si>
  <si>
    <t>N1NDC01CT107</t>
  </si>
  <si>
    <t>Температура подшипника №2 ЭД сетевого насоса СН-1</t>
  </si>
  <si>
    <t>Температура подшипника №4 ЭД сетевого насоса СН-1</t>
  </si>
  <si>
    <t>Температура обмоток электродвигателя фаза V сетевого насоса СН-1</t>
  </si>
  <si>
    <t>Температура обмоток электродвигателя фаза W сетевого насоса СН-1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</si>
  <si>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</si>
  <si>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</si>
  <si>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</si>
  <si>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</si>
  <si>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</si>
  <si>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</si>
  <si>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</si>
  <si>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</si>
  <si>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</si>
  <si>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</si>
  <si>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</si>
  <si>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</si>
  <si>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N1NDC01AP001</t>
  </si>
  <si>
    <t>Температура обмоток электродвигателя фаза U сетевого насоса СН-1</t>
  </si>
  <si>
    <t>Ток ЭД сетевого насоса СН-1</t>
  </si>
  <si>
    <t>Электродвигатель сетевого насоса СН-1</t>
  </si>
  <si>
    <t>F0NDG01AP001</t>
  </si>
  <si>
    <t>F0NDG02AP001</t>
  </si>
  <si>
    <t>F0NDG03AP001</t>
  </si>
  <si>
    <t>F0NDG04AP001</t>
  </si>
  <si>
    <t>Соединительная коробка СК-1 СН-1</t>
  </si>
  <si>
    <t>Соединительная коробка СК-2 СН-1</t>
  </si>
  <si>
    <t>Соединительная коробка СК-3 СН-1</t>
  </si>
  <si>
    <t>N1-53</t>
  </si>
  <si>
    <t>N1-54</t>
  </si>
  <si>
    <t>N1-55</t>
  </si>
  <si>
    <t>N1-56</t>
  </si>
  <si>
    <t>N1-57</t>
  </si>
  <si>
    <t>Температура подшипника №1 ЭД сетевого насоса СН-2</t>
  </si>
  <si>
    <t>Соединительная коробка СК-1 СН-2</t>
  </si>
  <si>
    <t>Температура подшипника №2 ЭД сетевого насоса СН-2</t>
  </si>
  <si>
    <t>Температура подшипника №3 ЭД сетевого насоса СН-2</t>
  </si>
  <si>
    <t>Температура подшипника №4 ЭД сетевого насоса СН-2</t>
  </si>
  <si>
    <t>Температура обмоток электродвигателя фаза U сетевого насоса СН-2</t>
  </si>
  <si>
    <t>Соединительная коробка СК-2 СН-2</t>
  </si>
  <si>
    <t>Температура обмоток электродвигателя фаза V сетевого насоса СН-2</t>
  </si>
  <si>
    <t>Температура обмоток электродвигателя фаза W сетевого насоса СН-2</t>
  </si>
  <si>
    <t>Ток ЭД сетевого насоса СН-2</t>
  </si>
  <si>
    <t>Электродвигатель сетевого насоса СН-2</t>
  </si>
  <si>
    <t>Соединительная коробка СК-3 СН-2</t>
  </si>
  <si>
    <t>N1NDC02CT101</t>
  </si>
  <si>
    <t>N1NDC02CT102</t>
  </si>
  <si>
    <t>N1NDC02CT103</t>
  </si>
  <si>
    <t>N1NDC02CT104</t>
  </si>
  <si>
    <t>N1NDC02CT105</t>
  </si>
  <si>
    <t>N1NDC02CT106</t>
  </si>
  <si>
    <t>N1NDC02CT107</t>
  </si>
  <si>
    <t>N1NDC02CE012</t>
  </si>
  <si>
    <t>N1NDC02AP001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</si>
  <si>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</si>
  <si>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</si>
  <si>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</si>
  <si>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</si>
  <si>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</si>
  <si>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</si>
  <si>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</si>
  <si>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</si>
  <si>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</si>
  <si>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</si>
  <si>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</si>
  <si>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</si>
  <si>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A3.21</t>
  </si>
  <si>
    <t>A3.11</t>
  </si>
  <si>
    <t>N1NDC03CT101</t>
  </si>
  <si>
    <t>N1NDC03CT102</t>
  </si>
  <si>
    <t>N1NDC03CT103</t>
  </si>
  <si>
    <t>N1NDC03CT104</t>
  </si>
  <si>
    <t>N1NDC03CT105</t>
  </si>
  <si>
    <t>N1NDC03CT106</t>
  </si>
  <si>
    <t>N1NDC03CT107</t>
  </si>
  <si>
    <t>N1NDC03CE012</t>
  </si>
  <si>
    <t>N1NDC03AP001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</si>
  <si>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</si>
  <si>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</si>
  <si>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</si>
  <si>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</si>
  <si>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</si>
  <si>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</si>
  <si>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</si>
  <si>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</si>
  <si>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</si>
  <si>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</si>
  <si>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</si>
  <si>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</si>
  <si>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Температура подшипника №1 ЭД сетевого насоса СН-3</t>
  </si>
  <si>
    <t>Соединительная коробка СК-1 СН-3</t>
  </si>
  <si>
    <t>Температура подшипника №2 ЭД сетевого насоса СН-3</t>
  </si>
  <si>
    <t>Температура подшипника №3 ЭД сетевого насоса СН-3</t>
  </si>
  <si>
    <t>Температура подшипника №4 ЭД сетевого насоса СН-3</t>
  </si>
  <si>
    <t>Температура обмоток электродвигателя фаза U сетевого насоса СН-3</t>
  </si>
  <si>
    <t>Соединительная коробка СК-2 СН-3</t>
  </si>
  <si>
    <t>Температура обмоток электродвигателя фаза V сетевого насоса СН-3</t>
  </si>
  <si>
    <t>Температура обмоток электродвигателя фаза W сетевого насоса СН-3</t>
  </si>
  <si>
    <t>Ток ЭД сетевого насоса СН-3</t>
  </si>
  <si>
    <t>Электродвигатель сетевого насоса СН-3</t>
  </si>
  <si>
    <t>Соединительная коробка СК-3 СН-3</t>
  </si>
  <si>
    <t>N1-58</t>
  </si>
  <si>
    <t>N1-59</t>
  </si>
  <si>
    <t>N1-60</t>
  </si>
  <si>
    <t>N1-61</t>
  </si>
  <si>
    <t>N1-62</t>
  </si>
  <si>
    <t>A3.13</t>
  </si>
  <si>
    <t>Температура подшипника №1 ЭД сетевого насоса СН-4</t>
  </si>
  <si>
    <t>Соединительная коробка СК-1 СН-4</t>
  </si>
  <si>
    <t>Температура подшипника №2 ЭД сетевого насоса СН-4</t>
  </si>
  <si>
    <t>Температура подшипника №3 ЭД сетевого насоса СН-4</t>
  </si>
  <si>
    <t>Температура подшипника №4 ЭД сетевого насоса СН-4</t>
  </si>
  <si>
    <t>Температура обмоток электродвигателя фаза U сетевого насоса СН-4</t>
  </si>
  <si>
    <t>Соединительная коробка СК-2 СН-4</t>
  </si>
  <si>
    <t>Температура обмоток электродвигателя фаза V сетевого насоса СН-4</t>
  </si>
  <si>
    <t>Температура обмоток электродвигателя фаза W сетевого насоса СН-4</t>
  </si>
  <si>
    <t>Ток ЭД сетевого насоса СН-4</t>
  </si>
  <si>
    <t>Электродвигатель сетевого насоса СН-4</t>
  </si>
  <si>
    <t>Соединительная коробка СК-3 СН-4</t>
  </si>
  <si>
    <t>N1NDC04CT101</t>
  </si>
  <si>
    <t>N1NDC04CT102</t>
  </si>
  <si>
    <t>N1NDC04CT103</t>
  </si>
  <si>
    <t>N1NDC04CT104</t>
  </si>
  <si>
    <t>N1NDC04CT105</t>
  </si>
  <si>
    <t>N1NDC04CT106</t>
  </si>
  <si>
    <t>N1NDC04CT107</t>
  </si>
  <si>
    <t>N1NDC04CE012</t>
  </si>
  <si>
    <t>N1NDC04AP001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</si>
  <si>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</si>
  <si>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</si>
  <si>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</si>
  <si>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</si>
  <si>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</si>
  <si>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</si>
  <si>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</si>
  <si>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</si>
  <si>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</si>
  <si>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</si>
  <si>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</si>
  <si>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</si>
  <si>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N1-63</t>
  </si>
  <si>
    <t>N1-64</t>
  </si>
  <si>
    <t>N1-65</t>
  </si>
  <si>
    <t>N1-66</t>
  </si>
  <si>
    <t>N1-67</t>
  </si>
  <si>
    <t>A3.15</t>
  </si>
  <si>
    <t>N1-68</t>
  </si>
  <si>
    <t>Сигналы с ША ПЧВМ СН-1 - СН-4</t>
  </si>
  <si>
    <t>ША ПЧВМ СН-1 - СН-4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</si>
  <si>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</si>
  <si>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</si>
  <si>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</si>
  <si>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</si>
  <si>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</si>
  <si>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</si>
  <si>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</si>
  <si>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</si>
  <si>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N1SGA01CP001</t>
  </si>
  <si>
    <t>Давление воды после пожарных насосов. Датчик 1</t>
  </si>
  <si>
    <t>N1-ПТ2</t>
  </si>
  <si>
    <t>N1SGA01CP002</t>
  </si>
  <si>
    <t>Давление воды после пожарных насосов. Датчик 2</t>
  </si>
  <si>
    <t>N1-ПТ3</t>
  </si>
  <si>
    <t>ТОЛ-П-8У-2.7 кН</t>
  </si>
  <si>
    <t>Затвор дисковый Т-1 тепловывод "A"</t>
  </si>
  <si>
    <t>N1NDB01AA001</t>
  </si>
  <si>
    <t>N1-70</t>
  </si>
  <si>
    <t>Шкаф управления запорной арматурой ШУЗ (N1CDA01)</t>
  </si>
  <si>
    <t>Затвор дисковый Т-2 тепловывод "B"</t>
  </si>
  <si>
    <t>N1NDB02AA001</t>
  </si>
  <si>
    <t>N1-72</t>
  </si>
  <si>
    <t>Затвор дисковый Т-3 тепловывод "С"</t>
  </si>
  <si>
    <t>N1NDB03AA001</t>
  </si>
  <si>
    <t>N1-74</t>
  </si>
  <si>
    <t>Затвор дисковый Т-4 на подаче сетевой воды в ГИГ</t>
  </si>
  <si>
    <t>N1NDB10AA001</t>
  </si>
  <si>
    <t>Затвор дисковый Т-5 на выходе сетевой воды из ГИГ</t>
  </si>
  <si>
    <t>N1NDB10AA002</t>
  </si>
  <si>
    <t>Затвор дисковый Т-6 на трубопроводе помимо ГИГ</t>
  </si>
  <si>
    <t>N1NDB10AA003</t>
  </si>
  <si>
    <t>Затвор дисковый Т-7 на отключение здания теплообменников по сетевой воде</t>
  </si>
  <si>
    <t>N1NDB10AA004</t>
  </si>
  <si>
    <t>N1-76</t>
  </si>
  <si>
    <t>N1-78</t>
  </si>
  <si>
    <t>N1-80</t>
  </si>
  <si>
    <t>N1-82</t>
  </si>
  <si>
    <t>N1-84</t>
  </si>
  <si>
    <t>N1-86</t>
  </si>
  <si>
    <t>N1-88</t>
  </si>
  <si>
    <t>N1-90</t>
  </si>
  <si>
    <t>N1-92</t>
  </si>
  <si>
    <t>N1-94</t>
  </si>
  <si>
    <t>N1-96</t>
  </si>
  <si>
    <t>N1-98</t>
  </si>
  <si>
    <t>N1-100</t>
  </si>
  <si>
    <t>N1-102</t>
  </si>
  <si>
    <t>N1-104</t>
  </si>
  <si>
    <t>N1-106</t>
  </si>
  <si>
    <t>Затвор дисковый Т-8 на входе насосной группы №1</t>
  </si>
  <si>
    <t>N1NDB11AA001</t>
  </si>
  <si>
    <t>Затвор дисковый Т-9 на входе насосной группы №2</t>
  </si>
  <si>
    <t>N1NDB12AA001</t>
  </si>
  <si>
    <t>Затвор дисковый Т-10 на всасе СН №1</t>
  </si>
  <si>
    <t>N1NDC01AA001</t>
  </si>
  <si>
    <t>Затвор дисковый Т-11 на напоре СН №1</t>
  </si>
  <si>
    <t>N1NDC01AA002</t>
  </si>
  <si>
    <t>Затвор дисковый Т-12 на всасе СН №2</t>
  </si>
  <si>
    <t>N1NDC02AA001</t>
  </si>
  <si>
    <t>Затвор дисковый Т-13 на напоре СН №2</t>
  </si>
  <si>
    <t>N1NDC02AA002</t>
  </si>
  <si>
    <t>Затвор дисковый Т-14 на всасе СН №3</t>
  </si>
  <si>
    <t>N1NDC03AA001</t>
  </si>
  <si>
    <t>Затвор дисковый Т-15 на напоре СН №3</t>
  </si>
  <si>
    <t>N1NDC03AA002</t>
  </si>
  <si>
    <t>Затвор дисковый Т-16 на всасе СН №4</t>
  </si>
  <si>
    <t>N1NDC04AA001</t>
  </si>
  <si>
    <t>Затвор дисковый Т-17 на напоре СН №4</t>
  </si>
  <si>
    <t>N1NDC04AA002</t>
  </si>
  <si>
    <t>Затвор дисковый Т-18 на выходе насосной группы №1</t>
  </si>
  <si>
    <t>N1NDB11AA002</t>
  </si>
  <si>
    <t>Затвор дисковый Т-19 на выходе насосной группы №2</t>
  </si>
  <si>
    <t>N1NDB12AA002</t>
  </si>
  <si>
    <t>Затвор дисковый Т-20 на выходе сетевой воды из ТА-1</t>
  </si>
  <si>
    <t>N1NDD01AA002</t>
  </si>
  <si>
    <t>N1-108</t>
  </si>
  <si>
    <t>N1-110</t>
  </si>
  <si>
    <t>N1-112</t>
  </si>
  <si>
    <t>N1-114</t>
  </si>
  <si>
    <t>N1-116</t>
  </si>
  <si>
    <t>N1-118</t>
  </si>
  <si>
    <t>N1-120</t>
  </si>
  <si>
    <t>N1-122</t>
  </si>
  <si>
    <t>N1-124</t>
  </si>
  <si>
    <t>Затвор дисковый Т-21 на выходе сетевой воды из ТА-2</t>
  </si>
  <si>
    <t>N1NDD02AA002</t>
  </si>
  <si>
    <t>Затвор дисковый Т-22 на выходе сетевой воды из ТА-3</t>
  </si>
  <si>
    <t>N1NDD03AA002</t>
  </si>
  <si>
    <t>Затвор дисковый Т-23 на выходе сетевой воды из ТА-4</t>
  </si>
  <si>
    <t>N1NDD04AA002</t>
  </si>
  <si>
    <t>Затвор дисковый Т-24 на выходе сетевой воды из ТА-5</t>
  </si>
  <si>
    <t>N1NDD05AA002</t>
  </si>
  <si>
    <t>Затвор дисковый Т-25 на выходе сетевой воды из ТА-6</t>
  </si>
  <si>
    <t>N1NDD06AA002</t>
  </si>
  <si>
    <t>Затвор дисковый Т-26 на выходе сетевой воды из ТА-7</t>
  </si>
  <si>
    <t>N1NDD07AA002</t>
  </si>
  <si>
    <t>Затвор дисковый Т-27 на выходе сетевой воды из ТА-8</t>
  </si>
  <si>
    <t>N1NDD08AA002</t>
  </si>
  <si>
    <t>Затвор дисковый Т-28 на выходе сетевой воды из ТА-9</t>
  </si>
  <si>
    <t>N1NDD09AA002</t>
  </si>
  <si>
    <t>N1-126</t>
  </si>
  <si>
    <t>N1-128</t>
  </si>
  <si>
    <t>N1-130</t>
  </si>
  <si>
    <t>31X</t>
  </si>
  <si>
    <t>Затвор дисковый Т-29 тепловывод "A"</t>
  </si>
  <si>
    <t>N1NDA01AA001</t>
  </si>
  <si>
    <t>Затвор дисковый Т-30 тепловывод "B"</t>
  </si>
  <si>
    <t>N1NDA02AA001</t>
  </si>
  <si>
    <t>Затвор дисковый Т-31 тепловывод "C"</t>
  </si>
  <si>
    <t>N1NDA03AA001</t>
  </si>
  <si>
    <t>N1-132</t>
  </si>
  <si>
    <t>N1-134</t>
  </si>
  <si>
    <t>N1-136</t>
  </si>
  <si>
    <t>N1-138</t>
  </si>
  <si>
    <t>N1-140</t>
  </si>
  <si>
    <t>N1-142</t>
  </si>
  <si>
    <t>N1-144</t>
  </si>
  <si>
    <t>N1-146</t>
  </si>
  <si>
    <t>N1-148</t>
  </si>
  <si>
    <t>Затвор дисковый К-17 на выходе котловой воды из ТА-1</t>
  </si>
  <si>
    <t>N1NDD01AA004</t>
  </si>
  <si>
    <t>Затвор дисковый К-18 на выходе котловой воды из ТА-2</t>
  </si>
  <si>
    <t>N1NDD02AA004</t>
  </si>
  <si>
    <t>Затвор дисковый К-19 на выходе котловой воды из ТА-3</t>
  </si>
  <si>
    <t>N1NDD03AA004</t>
  </si>
  <si>
    <t>Затвор дисковый К-20 на выходе котловой воды из ТА-4</t>
  </si>
  <si>
    <t>N1NDD04AA004</t>
  </si>
  <si>
    <t>Затвор дисковый К-21 на выходе котловой воды из ТА-5</t>
  </si>
  <si>
    <t>N1NDD05AA004</t>
  </si>
  <si>
    <t>Затвор дисковый К-22 на выходе котловой воды из ТА-6</t>
  </si>
  <si>
    <t>N1NDD06AA004</t>
  </si>
  <si>
    <t>Затвор дисковый К-23 на выходе котловой воды из ТА-7</t>
  </si>
  <si>
    <t>N1NDD07AA004</t>
  </si>
  <si>
    <t>Затвор дисковый К-24 на выходе котловой воды из ТА-8</t>
  </si>
  <si>
    <t>N1NDD08AA004</t>
  </si>
  <si>
    <t>Затвор дисковый К-25 на выходе котловой воды из ТА-9</t>
  </si>
  <si>
    <t>N1NDD09AA004</t>
  </si>
  <si>
    <t>N1-150</t>
  </si>
  <si>
    <t>N1-152</t>
  </si>
  <si>
    <t>N1-154</t>
  </si>
  <si>
    <t>42X</t>
  </si>
  <si>
    <t>Затвор дисковый секционирующий Т-1С на входе сетевой воды в теплообменники</t>
  </si>
  <si>
    <t>N1NDB20AA001</t>
  </si>
  <si>
    <t>Затвор дисковый секционирующий Т-2С на выходе сетевой воды из теплообменников</t>
  </si>
  <si>
    <t>N1NDA10AA001</t>
  </si>
  <si>
    <t>Затвор дисковый зТА-0 помимо регуляторов расхода</t>
  </si>
  <si>
    <t>N1NDB23AA001</t>
  </si>
  <si>
    <t>Регулирующий клапан РДТА-1 на линии помимо теплообменников</t>
  </si>
  <si>
    <t>N1NDB21AA801</t>
  </si>
  <si>
    <t>N1-158</t>
  </si>
  <si>
    <t>N1-159</t>
  </si>
  <si>
    <t>44X</t>
  </si>
  <si>
    <t>Регулирующий клапан РДТА-2 на линии помимо теплообменников</t>
  </si>
  <si>
    <t>N1NDB22AA801</t>
  </si>
  <si>
    <t>N1-162</t>
  </si>
  <si>
    <t>N1-163</t>
  </si>
  <si>
    <t>45X</t>
  </si>
  <si>
    <t>Регулирующий клапан РД-79 аварийной подпитки сырой водой</t>
  </si>
  <si>
    <t>N1GAD11AA801</t>
  </si>
  <si>
    <t>N1-166</t>
  </si>
  <si>
    <t>N1-167</t>
  </si>
  <si>
    <t>46X</t>
  </si>
  <si>
    <t>Регулирующий клапан РД-80 на линии подпитки теплосети</t>
  </si>
  <si>
    <t>N1NDK10AA801</t>
  </si>
  <si>
    <t>N1-170</t>
  </si>
  <si>
    <t>N1-171</t>
  </si>
  <si>
    <t>N1-172</t>
  </si>
  <si>
    <t>N1NDE10AA002</t>
  </si>
  <si>
    <t>Затвор дисковый С-10 от аккумуляторной насосной</t>
  </si>
  <si>
    <t>Затвор дисковый С-71 на линии подпитки теплосети</t>
  </si>
  <si>
    <t>N1NDK10AA001</t>
  </si>
  <si>
    <t>N1-174</t>
  </si>
  <si>
    <t>49X</t>
  </si>
  <si>
    <t>Регулирующий клапан РД-75 от аккумуляторной насосной</t>
  </si>
  <si>
    <t>N1NDE10AA802</t>
  </si>
  <si>
    <t>N1-178</t>
  </si>
  <si>
    <t>N1-179</t>
  </si>
  <si>
    <t>50X</t>
  </si>
  <si>
    <t>N1-180</t>
  </si>
  <si>
    <t>51X</t>
  </si>
  <si>
    <t>Затвор дисковый секционирующий К-3С на входе котловой воды в теплообменники</t>
  </si>
  <si>
    <t>N1NDF10AA001</t>
  </si>
  <si>
    <t>N1-182</t>
  </si>
  <si>
    <t>52X</t>
  </si>
  <si>
    <t>N1NDG20AA001</t>
  </si>
  <si>
    <t>Затвор дисковый секционирующий К-4С на выходе котловой воды из теплообменников</t>
  </si>
  <si>
    <t>N1-184</t>
  </si>
  <si>
    <t>N1-ПТ5</t>
  </si>
  <si>
    <t>Давление воды до пожарных насосов ниже уставки. Датчик "сухого хода"</t>
  </si>
  <si>
    <t>N1CDA01GH001</t>
  </si>
  <si>
    <t>N1CJU01GH001</t>
  </si>
  <si>
    <t>N1CJU01GH003</t>
  </si>
  <si>
    <t>N1CJU01GH005</t>
  </si>
  <si>
    <t>N1CJU01GH006</t>
  </si>
  <si>
    <t>N1CJU01GH007</t>
  </si>
  <si>
    <t>N1CJU01GH008</t>
  </si>
  <si>
    <t>E2CJU01GH001</t>
  </si>
  <si>
    <t>E2CJU01GH002</t>
  </si>
  <si>
    <t>E2CJU01GH003</t>
  </si>
  <si>
    <t>E2CJU01GH004</t>
  </si>
  <si>
    <t>E2CJU01GH005</t>
  </si>
  <si>
    <t>E2CJU01GH007</t>
  </si>
  <si>
    <t>E2CJU01GH008</t>
  </si>
  <si>
    <t>E2CJU01GH009</t>
  </si>
  <si>
    <t>E1CJU01GH001</t>
  </si>
  <si>
    <t>E1CJU01GH002</t>
  </si>
  <si>
    <t>E1CJU01GH003</t>
  </si>
  <si>
    <t>E1CJU01GH004</t>
  </si>
  <si>
    <t>E1CJU01GH005</t>
  </si>
  <si>
    <t>E1CJU01GH006</t>
  </si>
  <si>
    <t>E1CJU01GH009</t>
  </si>
  <si>
    <t>F0CJU01GH001</t>
  </si>
  <si>
    <t>F0CJU01GH002</t>
  </si>
  <si>
    <t>F0CJU01GH003</t>
  </si>
  <si>
    <t>F0CJU01GH004</t>
  </si>
  <si>
    <t>F0CJU01GH005</t>
  </si>
  <si>
    <t>F0CJU01GH006</t>
  </si>
  <si>
    <t>F0CJU01GH007</t>
  </si>
  <si>
    <t>F0CJU01GH008</t>
  </si>
  <si>
    <t>F0CJU01GH009</t>
  </si>
  <si>
    <t>Шкаф пожаротушения ШУВН</t>
  </si>
  <si>
    <t>se0032</t>
  </si>
  <si>
    <t>N2-1</t>
  </si>
  <si>
    <t>N2</t>
  </si>
  <si>
    <t>Задвижка 9ПТА-1</t>
  </si>
  <si>
    <t>N2NDE11AA001</t>
  </si>
  <si>
    <t>Шкаф АСУ ТП НАБ (N2CJU01)</t>
  </si>
  <si>
    <t>Шкаф Ш-2 (N2CDA01GH002)</t>
  </si>
  <si>
    <t>N2-4</t>
  </si>
  <si>
    <t>Задвижка 10ПТА-1</t>
  </si>
  <si>
    <t>N2NDE11AA002</t>
  </si>
  <si>
    <t>Задвижка 3ПТА</t>
  </si>
  <si>
    <t>N2NDE20AA002</t>
  </si>
  <si>
    <t>N2-7</t>
  </si>
  <si>
    <t>N2-10</t>
  </si>
  <si>
    <t>Шаровый кран 4ПТА-1 на всасе насоса</t>
  </si>
  <si>
    <t>N2NDE01AA001</t>
  </si>
  <si>
    <t>se0033</t>
  </si>
  <si>
    <t>Шаровый кран 5ПТА-1 на напоре насоса</t>
  </si>
  <si>
    <t>N2NDE01AA002</t>
  </si>
  <si>
    <t>N2-13</t>
  </si>
  <si>
    <t>Шаровый кран 4ПТА-2 на всасе насоса</t>
  </si>
  <si>
    <t>N2NDE02AA001</t>
  </si>
  <si>
    <t>N2-16</t>
  </si>
  <si>
    <t>N2-19</t>
  </si>
  <si>
    <t>Шаровый кран 5ПТА-2 на напоре насоса</t>
  </si>
  <si>
    <t>N2NDE02AA002</t>
  </si>
  <si>
    <t>N2-26</t>
  </si>
  <si>
    <t>N2-25</t>
  </si>
  <si>
    <t>Регулирующий клапан РД0</t>
  </si>
  <si>
    <t>N2NDE20AA801</t>
  </si>
  <si>
    <t>Регулирующий клапан РД1</t>
  </si>
  <si>
    <t>N2NDE10AA801</t>
  </si>
  <si>
    <t>N2-30</t>
  </si>
  <si>
    <t>N2-31</t>
  </si>
  <si>
    <t>Шкаф Ш-3 (N2CDA01GH003)</t>
  </si>
  <si>
    <t>Задвижка 9ПТА-2</t>
  </si>
  <si>
    <t>N2-32</t>
  </si>
  <si>
    <t>N2NDE12AA001</t>
  </si>
  <si>
    <t>Задвижка 10ПТА-2</t>
  </si>
  <si>
    <t>N2NDE12AA002</t>
  </si>
  <si>
    <t>N2-35</t>
  </si>
  <si>
    <t>N2-38</t>
  </si>
  <si>
    <t>Затвор дисковый 11ПТА</t>
  </si>
  <si>
    <t>N2NDE20AA001</t>
  </si>
  <si>
    <t>N2-41</t>
  </si>
  <si>
    <t>Затвор дисковый 12ПТА</t>
  </si>
  <si>
    <t>N2NDE10AA001</t>
  </si>
  <si>
    <t>N2-44</t>
  </si>
  <si>
    <t>N2-47</t>
  </si>
  <si>
    <t>N2-50</t>
  </si>
  <si>
    <t>N2-53</t>
  </si>
  <si>
    <t>Шаровый кран 4ПТА-3 на всасе насоса</t>
  </si>
  <si>
    <t>N2NDE03AA001</t>
  </si>
  <si>
    <t>N2NDE03AA002</t>
  </si>
  <si>
    <t>Шаровый кран 5ПТА-3 на напоре насоса</t>
  </si>
  <si>
    <t>Шаровый кран 4ПТА-4 на всасе насоса</t>
  </si>
  <si>
    <t>Шаровый кран 5ПТА-4 на напоре насоса</t>
  </si>
  <si>
    <t>N2NDE04AA001</t>
  </si>
  <si>
    <t>N2NDE04AA002</t>
  </si>
  <si>
    <t>N2-56</t>
  </si>
  <si>
    <t>Давление в напорном коллекторе НАБ</t>
  </si>
  <si>
    <t>N2NDE10CP001</t>
  </si>
  <si>
    <t>Давление в коллекторе всаса НАБ</t>
  </si>
  <si>
    <t>N2NDE20CP001</t>
  </si>
  <si>
    <t>N2-57</t>
  </si>
  <si>
    <t>Давление на всасе НАБ-1</t>
  </si>
  <si>
    <t>N2NDE01CP001</t>
  </si>
  <si>
    <t>Давление на напоре НАБ-1</t>
  </si>
  <si>
    <t>N2NDE01CP002</t>
  </si>
  <si>
    <t>N2-58</t>
  </si>
  <si>
    <t>N2-59</t>
  </si>
  <si>
    <t>N2-60</t>
  </si>
  <si>
    <t>N2-61</t>
  </si>
  <si>
    <t>Давление на всасе НАБ-2</t>
  </si>
  <si>
    <t>Давление на напоре НАБ-2</t>
  </si>
  <si>
    <t>N2NDE02CP001</t>
  </si>
  <si>
    <t>N2NDE02CP002</t>
  </si>
  <si>
    <t>Давление на всасе НАБ-3</t>
  </si>
  <si>
    <t>Давление на напоре НАБ-3</t>
  </si>
  <si>
    <t>Давление на всасе НАБ-4</t>
  </si>
  <si>
    <t>Давление на напоре НАБ-4</t>
  </si>
  <si>
    <t>N2-62</t>
  </si>
  <si>
    <t>N2-63</t>
  </si>
  <si>
    <t>N2-64</t>
  </si>
  <si>
    <t>N2-65</t>
  </si>
  <si>
    <t>N2NDE03CP001</t>
  </si>
  <si>
    <t>N2NDE03CP002</t>
  </si>
  <si>
    <t>N2NDE04CP001</t>
  </si>
  <si>
    <t>N2NDE04CP002</t>
  </si>
  <si>
    <t>N2-66</t>
  </si>
  <si>
    <t>N2-67</t>
  </si>
  <si>
    <t>N2-68</t>
  </si>
  <si>
    <t>Температура воды от аккумуляторных баков</t>
  </si>
  <si>
    <t>N2NDE20CT001</t>
  </si>
  <si>
    <t>Температура воздуха в машзале НАБ</t>
  </si>
  <si>
    <t>N2UNC01CT001</t>
  </si>
  <si>
    <t>Температура воздуха в помещении управления НАБ</t>
  </si>
  <si>
    <t>N2UNC02CT001</t>
  </si>
  <si>
    <t>N2CUB01 DO</t>
  </si>
  <si>
    <t>Управляющие сигналы в ШУ НАБ-1, НАБ-2</t>
  </si>
  <si>
    <t>se0034</t>
  </si>
  <si>
    <t>N2-69</t>
  </si>
  <si>
    <t>ШУ насосами аккумулирующих баков НАБ-1, НАБ-2 (N2CUB01)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</si>
  <si>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</si>
  <si>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</si>
  <si>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</si>
  <si>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</si>
  <si>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</si>
  <si>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</si>
  <si>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</si>
  <si>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</si>
  <si>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</si>
  <si>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</si>
  <si>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</si>
  <si>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</si>
  <si>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</si>
  <si>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</si>
  <si>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</si>
  <si>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</si>
  <si>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</si>
  <si>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</si>
  <si>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</si>
  <si>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</si>
  <si>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</si>
  <si>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</si>
  <si>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</si>
  <si>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</si>
  <si>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</si>
  <si>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</si>
  <si>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</si>
  <si>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</si>
  <si>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</si>
  <si>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</si>
  <si>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</si>
  <si>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</si>
  <si>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</si>
  <si>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</si>
  <si>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</si>
  <si>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</si>
  <si>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</si>
  <si>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</si>
  <si>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</si>
  <si>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</si>
  <si>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</si>
  <si>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</si>
  <si>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</si>
  <si>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</si>
  <si>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</si>
  <si>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</si>
  <si>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</si>
  <si>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</si>
  <si>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</si>
  <si>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</si>
  <si>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</si>
  <si>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</si>
  <si>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</si>
  <si>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</si>
  <si>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</si>
  <si>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</si>
  <si>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</si>
  <si>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</si>
  <si>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</si>
  <si>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</si>
  <si>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</si>
  <si>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</si>
  <si>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</si>
  <si>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Пуск насосной группы НАБ-1, НАБ-2</t>
  </si>
  <si>
    <t>Стоп насосной группы НАБ-1, НАБ-2</t>
  </si>
  <si>
    <t>Давление на всасе НАБ-1 норма</t>
  </si>
  <si>
    <t>Давление на напоре НАБ-1 низко</t>
  </si>
  <si>
    <t>Давление на всасе НАБ-2 норма</t>
  </si>
  <si>
    <t>Давление на напоре НАБ-2 низко</t>
  </si>
  <si>
    <t>Шаровый кран 5ПТА-1 на напоре насоса закрыт</t>
  </si>
  <si>
    <t>Шаровый кран 5ПТА-2 на напоре насоса закрыт</t>
  </si>
  <si>
    <t>Технологическая защита НАБ-1 сработала</t>
  </si>
  <si>
    <t>Технологическая защита НАБ-2 сработала</t>
  </si>
  <si>
    <t>Tpp15</t>
  </si>
  <si>
    <t>Tpp16</t>
  </si>
  <si>
    <t>Tpp17</t>
  </si>
  <si>
    <t>Tpp18</t>
  </si>
  <si>
    <t>Tpp19</t>
  </si>
  <si>
    <t>Tpp20</t>
  </si>
  <si>
    <t>N2CUB01 DI</t>
  </si>
  <si>
    <t>Контрольные сигналы в ШУ НАБ-1, НАБ-2</t>
  </si>
  <si>
    <t>se0035</t>
  </si>
  <si>
    <t>N2-70</t>
  </si>
  <si>
    <t>Насос НАБ-1 Включен</t>
  </si>
  <si>
    <t>Насос НАБ-2 Включен</t>
  </si>
  <si>
    <t>Насос НАБ-1 Отключен</t>
  </si>
  <si>
    <t>Насос НАБ-2 Отключен</t>
  </si>
  <si>
    <t>1-21</t>
  </si>
  <si>
    <t>1-22</t>
  </si>
  <si>
    <t>1-23</t>
  </si>
  <si>
    <t>1-24</t>
  </si>
  <si>
    <t>WcpKl8</t>
  </si>
  <si>
    <t>1-25</t>
  </si>
  <si>
    <t>1-26</t>
  </si>
  <si>
    <t>1-27</t>
  </si>
  <si>
    <t>1-28</t>
  </si>
  <si>
    <t>Цифровые сигналы в ШУ НАБ-1, НАБ-2</t>
  </si>
  <si>
    <t>N2CUB01 MB</t>
  </si>
  <si>
    <t>1-A</t>
  </si>
  <si>
    <t>1-B</t>
  </si>
  <si>
    <t>1-G</t>
  </si>
  <si>
    <t>XT6</t>
  </si>
  <si>
    <t>A+</t>
  </si>
  <si>
    <t>B-</t>
  </si>
  <si>
    <t>GND</t>
  </si>
  <si>
    <t>Управляющие сигналы в ШУ НАБ-3, НАБ-4</t>
  </si>
  <si>
    <t>Контрольные сигналы в ШУ НАБ-3, НАБ-4</t>
  </si>
  <si>
    <t>Цифровые сигналы в ШУ НАБ-3, НАБ-4</t>
  </si>
  <si>
    <t>N2CUB02 DO</t>
  </si>
  <si>
    <t>N2CUB02 DI</t>
  </si>
  <si>
    <t>N2CUB02 MB</t>
  </si>
  <si>
    <t>N2-72</t>
  </si>
  <si>
    <t>N2-73</t>
  </si>
  <si>
    <t>N2-74</t>
  </si>
  <si>
    <t>N2-71</t>
  </si>
  <si>
    <t>Насос НАБ-3 Включен</t>
  </si>
  <si>
    <t>Насос НАБ-3 Отключен</t>
  </si>
  <si>
    <t>ШУ насосами аккумулирующих баков НАБ-3, НАБ-4 (N2CUB01)</t>
  </si>
  <si>
    <t>Насос НАБ-4 Включен</t>
  </si>
  <si>
    <t>Насос НАБ-4 Отключен</t>
  </si>
  <si>
    <t>Давление на всасе НАБ-4 норма</t>
  </si>
  <si>
    <t>Давление на напоре НАБ-4 низко</t>
  </si>
  <si>
    <t>Технологическая защита НАБ-4 сработала</t>
  </si>
  <si>
    <t>Пуск насосной группы НАБ-3, НАБ-4</t>
  </si>
  <si>
    <t>Стоп насосной группы НАБ-3, НАБ-4</t>
  </si>
  <si>
    <t>Давление на всасе НАБ-3 норма</t>
  </si>
  <si>
    <t>Давление на напоре НАБ-3 низко</t>
  </si>
  <si>
    <t>Технологическая защита НАБ-3 сработала</t>
  </si>
  <si>
    <t>Уровень в АБ№1</t>
  </si>
  <si>
    <t>N2NDE11CL001</t>
  </si>
  <si>
    <t>N2-75</t>
  </si>
  <si>
    <t>Уровень в АБ№2</t>
  </si>
  <si>
    <t>N2NDE12CL001</t>
  </si>
  <si>
    <t>N2-76</t>
  </si>
  <si>
    <t>Уровень герметизирующей жидкости в резервуаре хранения</t>
  </si>
  <si>
    <t>N2NDV10CL001</t>
  </si>
  <si>
    <t>N2-77</t>
  </si>
  <si>
    <t>ch1</t>
  </si>
  <si>
    <t>chCom</t>
  </si>
  <si>
    <t>ch2</t>
  </si>
  <si>
    <t>Неисправность шкафа ввода Ш-1 сборки задвижек</t>
  </si>
  <si>
    <t>N2CDA01GH001</t>
  </si>
  <si>
    <t>N2-78</t>
  </si>
  <si>
    <t>Сборка задвижек НАБ. Шкаф ввода Ш-1 (N2CDA01GH001)</t>
  </si>
  <si>
    <t>A3.19</t>
  </si>
  <si>
    <t>A3.6</t>
  </si>
  <si>
    <t>A3.10</t>
  </si>
  <si>
    <t>A3.12</t>
  </si>
  <si>
    <t>A3.14</t>
  </si>
  <si>
    <t>A3.43</t>
  </si>
  <si>
    <t>A3.44</t>
  </si>
  <si>
    <t>A3.45</t>
  </si>
  <si>
    <t>A3.26</t>
  </si>
  <si>
    <t>А3.33</t>
  </si>
  <si>
    <t>F0-F1UZ</t>
  </si>
  <si>
    <t>F0-F2UZ</t>
  </si>
  <si>
    <t>F0-F3UZ</t>
  </si>
  <si>
    <t>F0-F4UZ</t>
  </si>
  <si>
    <t>F0-F5UZ</t>
  </si>
  <si>
    <t>F0-F6UZ</t>
  </si>
  <si>
    <t>F0-F7UZ</t>
  </si>
  <si>
    <t>F0-FTM1</t>
  </si>
  <si>
    <t>F0-FTM2</t>
  </si>
  <si>
    <t>F0-K20</t>
  </si>
  <si>
    <t>F0-K26</t>
  </si>
  <si>
    <t>F0-K33</t>
  </si>
  <si>
    <t>F0-K38</t>
  </si>
  <si>
    <t>F0-K41</t>
  </si>
  <si>
    <t>F0-K44</t>
  </si>
  <si>
    <t>F0-RS1</t>
  </si>
  <si>
    <t>K11</t>
  </si>
  <si>
    <t>K12</t>
  </si>
  <si>
    <t>K13</t>
  </si>
  <si>
    <t>K14</t>
  </si>
  <si>
    <t>K20</t>
  </si>
  <si>
    <t>K16</t>
  </si>
  <si>
    <t>K21</t>
  </si>
  <si>
    <t>K18</t>
  </si>
  <si>
    <t>K22</t>
  </si>
  <si>
    <t>K19</t>
  </si>
  <si>
    <t>K23</t>
  </si>
  <si>
    <t>K15</t>
  </si>
  <si>
    <t>K24</t>
  </si>
  <si>
    <t>K17</t>
  </si>
  <si>
    <t>K4</t>
  </si>
  <si>
    <t>K8</t>
  </si>
  <si>
    <t>K10</t>
  </si>
  <si>
    <t>F0-G1</t>
  </si>
  <si>
    <t>F0-G2</t>
  </si>
  <si>
    <t>F1-1</t>
  </si>
  <si>
    <t>F1-2</t>
  </si>
  <si>
    <t>F1-3</t>
  </si>
  <si>
    <t>F1-4</t>
  </si>
  <si>
    <t>F2-3</t>
  </si>
  <si>
    <t>F2-4</t>
  </si>
  <si>
    <t>F3-1</t>
  </si>
  <si>
    <t>F3-2</t>
  </si>
  <si>
    <t>F3-3</t>
  </si>
  <si>
    <t>F3-4</t>
  </si>
  <si>
    <t>F4-1</t>
  </si>
  <si>
    <t>F4-2</t>
  </si>
  <si>
    <t>F4-3</t>
  </si>
  <si>
    <t>F4-4</t>
  </si>
  <si>
    <t>F5-1</t>
  </si>
  <si>
    <t>F5-2</t>
  </si>
  <si>
    <t>F5-3</t>
  </si>
  <si>
    <t>F5-4</t>
  </si>
  <si>
    <t>F6-1</t>
  </si>
  <si>
    <t>F6-2</t>
  </si>
  <si>
    <t>F6-3</t>
  </si>
  <si>
    <t>F6-4</t>
  </si>
  <si>
    <t>F7-1</t>
  </si>
  <si>
    <t>F7-2</t>
  </si>
  <si>
    <t>F7-3</t>
  </si>
  <si>
    <t>F7-4</t>
  </si>
  <si>
    <t>F8-1</t>
  </si>
  <si>
    <t>F8-2</t>
  </si>
  <si>
    <t>F8-3</t>
  </si>
  <si>
    <t>F8-4</t>
  </si>
  <si>
    <t>F1-10</t>
  </si>
  <si>
    <t>F1-11</t>
  </si>
  <si>
    <t>F1-12</t>
  </si>
  <si>
    <t>F2-10</t>
  </si>
  <si>
    <t>F2-11</t>
  </si>
  <si>
    <t>F2-12</t>
  </si>
  <si>
    <t>F3-10</t>
  </si>
  <si>
    <t>F3-11</t>
  </si>
  <si>
    <t>F3-12</t>
  </si>
  <si>
    <t>F4-10</t>
  </si>
  <si>
    <t>F4-11</t>
  </si>
  <si>
    <t>F4-12</t>
  </si>
  <si>
    <t>F5-10</t>
  </si>
  <si>
    <t>F5-11</t>
  </si>
  <si>
    <t>F5-12</t>
  </si>
  <si>
    <t>F6-10</t>
  </si>
  <si>
    <t>F6-11</t>
  </si>
  <si>
    <t>F6-12</t>
  </si>
  <si>
    <t>F7-10</t>
  </si>
  <si>
    <t>F7-11</t>
  </si>
  <si>
    <t>F7-12</t>
  </si>
  <si>
    <t>F8-10</t>
  </si>
  <si>
    <t>F8-11</t>
  </si>
  <si>
    <t>F8-12</t>
  </si>
  <si>
    <t>F0-G8</t>
  </si>
  <si>
    <t>F0-G13</t>
  </si>
  <si>
    <t>F0-G18</t>
  </si>
  <si>
    <t>K9</t>
  </si>
  <si>
    <t>F0-УУГ1</t>
  </si>
  <si>
    <t>XT30</t>
  </si>
  <si>
    <t>XT42</t>
  </si>
  <si>
    <t>se0037</t>
  </si>
  <si>
    <t>?</t>
  </si>
  <si>
    <t>Z0CJU01GH001</t>
  </si>
  <si>
    <t>Z0CJU01GH002</t>
  </si>
  <si>
    <t>Z0CJU01GH003</t>
  </si>
  <si>
    <t>Z0CJU01GH004</t>
  </si>
  <si>
    <t>Z0CJU01GH005</t>
  </si>
  <si>
    <t>Z0CJU01GH009</t>
  </si>
  <si>
    <t>Z0</t>
  </si>
  <si>
    <t>Питание ввода №1 в норме (ВК)</t>
  </si>
  <si>
    <t>Питание ввода №2 в норме (ВК)</t>
  </si>
  <si>
    <t>Ввод 1 включен (ВК)</t>
  </si>
  <si>
    <t>Ввод 2 включен (ВК)</t>
  </si>
  <si>
    <t>Питание ИБП в норме (ВК)</t>
  </si>
  <si>
    <t>Питание датчиков 220В включено (ВК)</t>
  </si>
  <si>
    <t>Дверь шкафа открыта (ВК)</t>
  </si>
  <si>
    <t>Питание ввода №1 в норме (Серв 1)</t>
  </si>
  <si>
    <t>Питание ввода №2 в норме (Серв 1)</t>
  </si>
  <si>
    <t>Ввод 1 включен (Серв 1)</t>
  </si>
  <si>
    <t>Ввод 2 включен (Серв 1)</t>
  </si>
  <si>
    <t>Питание ИБП в норме (Серв 1)</t>
  </si>
  <si>
    <t>Дверь шкафа открыта (Серв 1)</t>
  </si>
  <si>
    <t>Питание ввода №1 в норме (Серв 2)</t>
  </si>
  <si>
    <t>Питание ввода №2 в норме (Серв 2)</t>
  </si>
  <si>
    <t>Ввод 1 включен (Серв 2)</t>
  </si>
  <si>
    <t>Ввод 2 включен (Серв 2)</t>
  </si>
  <si>
    <t>Питание ИБП в норме (Серв 2)</t>
  </si>
  <si>
    <t>Дверь шкафа открыта (Серв 2)</t>
  </si>
  <si>
    <t>Z0CJU02GH001</t>
  </si>
  <si>
    <t>Z0CJU02GH002</t>
  </si>
  <si>
    <t>Z0CJU02GH003</t>
  </si>
  <si>
    <t>Z0CJU02GH004</t>
  </si>
  <si>
    <t>Z0CJU02GH005</t>
  </si>
  <si>
    <t>Z0CJU02GH009</t>
  </si>
  <si>
    <t>N2CJU01GH001</t>
  </si>
  <si>
    <t>N2CJU01GH003</t>
  </si>
  <si>
    <t>N2CJU01GH005</t>
  </si>
  <si>
    <t>N2CJU01GH006</t>
  </si>
  <si>
    <t>N2CJU01GH007</t>
  </si>
  <si>
    <t>N2CJU01GH008</t>
  </si>
  <si>
    <t>N2CJU01GH009</t>
  </si>
  <si>
    <t>Питание ввода №1 в норме (НАБ)</t>
  </si>
  <si>
    <t>Ввод 1 включен (НАБ)</t>
  </si>
  <si>
    <t>Питание ИБП в норме (НАБ)</t>
  </si>
  <si>
    <t>Питание датчиков 220В включено (НАБ)</t>
  </si>
  <si>
    <t>Дверь шкафа открыта (НАБ)</t>
  </si>
  <si>
    <t>Дверь шкафа открыта (Зд)</t>
  </si>
  <si>
    <t>Питание датчиков 220В включено (Зд)</t>
  </si>
  <si>
    <t>Питание ИБП в норме (Зд)</t>
  </si>
  <si>
    <t>Ввод 1 включен (Зд)</t>
  </si>
  <si>
    <t>Питание ввода №1 в норме (Зд)</t>
  </si>
  <si>
    <t>Питание ввода №1 в норме (ГРП-2)</t>
  </si>
  <si>
    <t>Питание ввода №2 в норме (ГРП-2)</t>
  </si>
  <si>
    <t>Ввод 1 включен (ГРП-2)</t>
  </si>
  <si>
    <t>Ввод 2 включен (ГРП-2)</t>
  </si>
  <si>
    <t>Питание ИБП в норме (ГРП-2)</t>
  </si>
  <si>
    <t>Питание датчиков 220В включено (ГРП-2)</t>
  </si>
  <si>
    <t>Дверь шкафа открыта (ГРП-2)</t>
  </si>
  <si>
    <t>Питание ввода №1 в норме (ГРП-1)</t>
  </si>
  <si>
    <t>Питание ввода №2 в норме (ГРП-1)</t>
  </si>
  <si>
    <t>Ввод 1 включен (ГРП-1)</t>
  </si>
  <si>
    <t>Ввод 2 включен (ГРП-1)</t>
  </si>
  <si>
    <t>Питание ИБП в норме (ГРП-1)</t>
  </si>
  <si>
    <t>Дверь шкафа открыта (ГРП-1)</t>
  </si>
  <si>
    <t>E3</t>
  </si>
  <si>
    <t>Силовой трансформатор Т-1</t>
  </si>
  <si>
    <t>se0038</t>
  </si>
  <si>
    <t>E3-1</t>
  </si>
  <si>
    <t>E3-2</t>
  </si>
  <si>
    <t>Силовой трансформатор Т-2</t>
  </si>
  <si>
    <t>Шкаф АСУ ЭТО (E3CJU01)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</si>
  <si>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</si>
  <si>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</si>
  <si>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</si>
  <si>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</si>
  <si>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</si>
  <si>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</si>
  <si>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</si>
  <si>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</si>
  <si>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</si>
  <si>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</si>
  <si>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</si>
  <si>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E3-3</t>
  </si>
  <si>
    <t>se0039</t>
  </si>
  <si>
    <t>se0040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</si>
  <si>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</si>
  <si>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</si>
  <si>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</si>
  <si>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</si>
  <si>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</si>
  <si>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</si>
  <si>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</si>
  <si>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</si>
  <si>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</si>
  <si>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</si>
  <si>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</si>
  <si>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Switch</t>
  </si>
  <si>
    <t>Port</t>
  </si>
  <si>
    <t>SW3</t>
  </si>
  <si>
    <t>eth</t>
  </si>
  <si>
    <t>Сигналы с ячейки 5 (Ввод 1)</t>
  </si>
  <si>
    <t>Сигналы с ячейки 1 (Ввод 1 к ТСН-35 2ТП-1000/6/0,4 кВ аккумулирующей насосной)</t>
  </si>
  <si>
    <t>Сигналы с ячейки 2 (Ввод 1 к РУ-6 кВ здания расположения теплообменников)</t>
  </si>
  <si>
    <t>Сигналы с ячейки 3 (Ввод 1 к Т-1 2ТП-3200/6/0,4 кВ здания РУСН)</t>
  </si>
  <si>
    <t>Сигналы с ячейки 4 (Ввод к ТСН-1 здания РУСН)</t>
  </si>
  <si>
    <t>Сигналы с ячейки 6 (секционный выключатель I с.ш. РУ-6 кВ)</t>
  </si>
  <si>
    <t>Сигналы с ячейки 7 (секционный выключатель II с.ш. РУ-6 кВ)</t>
  </si>
  <si>
    <t>Сигналы с ячейки 9 (Ввод к ТСН-2 здания РУСН)</t>
  </si>
  <si>
    <t>Сигналы с ячейки 10 (Ввод 2 к Т-2 2ТП-3200/6/0,4 кВ здания РУСН)</t>
  </si>
  <si>
    <t>Сигналы с ячейки 11 (Ввод 2 к РУ-6 кВ здания расположения теплообменников)</t>
  </si>
  <si>
    <t>Сигналы с ячейки 12 (Ввод 2 к ТСН-36 2ТП-1000/6/0,4 кВ аккумулирующей насосной)</t>
  </si>
  <si>
    <t>F0AAT01</t>
  </si>
  <si>
    <t>F0AAT02</t>
  </si>
  <si>
    <t>F0CBB05</t>
  </si>
  <si>
    <t>F0CBB08</t>
  </si>
  <si>
    <t>F0CBB01</t>
  </si>
  <si>
    <t>F0CBB02</t>
  </si>
  <si>
    <t>F0CBB03</t>
  </si>
  <si>
    <t>F0CBB04</t>
  </si>
  <si>
    <t>F0CBB06</t>
  </si>
  <si>
    <t>F0CBB07</t>
  </si>
  <si>
    <t>F0CBB09</t>
  </si>
  <si>
    <t>F0CBB10</t>
  </si>
  <si>
    <t>F0CBB11</t>
  </si>
  <si>
    <t>F0CBB12</t>
  </si>
  <si>
    <t>F0AAT01CY001</t>
  </si>
  <si>
    <t>F0AAT01CY002</t>
  </si>
  <si>
    <t>F0AAT01CY003</t>
  </si>
  <si>
    <t>F0AAT01CY004</t>
  </si>
  <si>
    <t>F0AAT01CY005</t>
  </si>
  <si>
    <t>F0AAT01CY006</t>
  </si>
  <si>
    <t>F0AAT01CY007</t>
  </si>
  <si>
    <t>F0AAT01CY008</t>
  </si>
  <si>
    <t>F0AAT01CY009</t>
  </si>
  <si>
    <t>F0AAT01CY010</t>
  </si>
  <si>
    <t>F0AAT01CY011</t>
  </si>
  <si>
    <t>F0AAT02CY001</t>
  </si>
  <si>
    <t>F0AAT02CY002</t>
  </si>
  <si>
    <t>F0AAT02CY003</t>
  </si>
  <si>
    <t>F0AAT02CY004</t>
  </si>
  <si>
    <t>F0AAT02CY005</t>
  </si>
  <si>
    <t>F0AAT02CY006</t>
  </si>
  <si>
    <t>F0AAT02CY007</t>
  </si>
  <si>
    <t>F0AAT02CY008</t>
  </si>
  <si>
    <t>F0AAT02CY009</t>
  </si>
  <si>
    <t>F0AAT02CY010</t>
  </si>
  <si>
    <t>F0AAT02CY011</t>
  </si>
  <si>
    <t>N1AAT01</t>
  </si>
  <si>
    <t>N1AAT02</t>
  </si>
  <si>
    <t>N1CBB05</t>
  </si>
  <si>
    <t>N1CBB08</t>
  </si>
  <si>
    <t>N1CBB01</t>
  </si>
  <si>
    <t>N1CBB02</t>
  </si>
  <si>
    <t>N1CBB03</t>
  </si>
  <si>
    <t>N1CBB04</t>
  </si>
  <si>
    <t>N1CBB06</t>
  </si>
  <si>
    <t>N1CBB07</t>
  </si>
  <si>
    <t>N1CBB09</t>
  </si>
  <si>
    <t>N1CBB10</t>
  </si>
  <si>
    <t>N1CBB11</t>
  </si>
  <si>
    <t>N1CBB12</t>
  </si>
  <si>
    <t>Встроенная трансформаторная подстанция. Силовой трансформатор Т-4</t>
  </si>
  <si>
    <t>Встроенная трансформаторная подстанция. Силовой трансформатор Т-3</t>
  </si>
  <si>
    <t>N1CBB13</t>
  </si>
  <si>
    <t>N1CBB14</t>
  </si>
  <si>
    <t>E3-15</t>
  </si>
  <si>
    <t>E3-16</t>
  </si>
  <si>
    <t>E3-17</t>
  </si>
  <si>
    <t>E3-18</t>
  </si>
  <si>
    <t>E3-19</t>
  </si>
  <si>
    <t>E3-20</t>
  </si>
  <si>
    <t>E3-21</t>
  </si>
  <si>
    <t>E3-22</t>
  </si>
  <si>
    <t>E3-23</t>
  </si>
  <si>
    <t>E3-24</t>
  </si>
  <si>
    <t>E3-25</t>
  </si>
  <si>
    <t>E3-26</t>
  </si>
  <si>
    <t>E3-27</t>
  </si>
  <si>
    <t>E3-28</t>
  </si>
  <si>
    <t>E3-29</t>
  </si>
  <si>
    <t>E3-30</t>
  </si>
  <si>
    <t>I секция РУ-6кВ ячейки №2</t>
  </si>
  <si>
    <t>I секция РУ-6кВ ячейки №3</t>
  </si>
  <si>
    <t>II секция РУ-6кВ ячейки №9</t>
  </si>
  <si>
    <t>II секция РУ-6кВ ячейки №10</t>
  </si>
  <si>
    <t>Сигналы с ячейки 8 (Ввод 2)</t>
  </si>
  <si>
    <t xml:space="preserve">Сигналы с ячейки 1 (Ввод к ТСН-3 здания расположения теплообменников)  </t>
  </si>
  <si>
    <t xml:space="preserve">Сигналы с ячейки 2 (Ввод 1 к Т-3 2ТП-1000/6/0,4 кВ здания расположения теплообменников)  </t>
  </si>
  <si>
    <t xml:space="preserve">Сигналы с ячейки 3 (питание сетевого насоса К3.1)  </t>
  </si>
  <si>
    <t xml:space="preserve">Сигналы с ячейки 4 (питание сетевого насоса К3.2)  </t>
  </si>
  <si>
    <t xml:space="preserve">Сигналы с ячейки 5 (Ввод 1 РУ-6 кВ здания расположения теплообменников)  </t>
  </si>
  <si>
    <t xml:space="preserve">Сигналы с ячейки 6 (Ввод 1 ВЧРП здания расположения теплообменников)  </t>
  </si>
  <si>
    <t xml:space="preserve">Сигналы с ячейки 7 (секционный выключатель I с.ш. РУ-6 кВ)  </t>
  </si>
  <si>
    <t xml:space="preserve">Сигналы с ячейки 8 (секционный выключатель II с.ш. РУ-6 кВ)  </t>
  </si>
  <si>
    <t xml:space="preserve">Сигналы с ячейки 9 (Ввод 2 РУ-6 кВ здания расположения теплообменников)  </t>
  </si>
  <si>
    <t xml:space="preserve">Сигналы с ячейки 10 (Ввод 2 ВЧРП здания расположения теплообменников)  </t>
  </si>
  <si>
    <t xml:space="preserve">Сигналы с ячейки 11 (питание сетевого насоса К3.3)  </t>
  </si>
  <si>
    <t xml:space="preserve">Сигналы с ячейки 12 (питание сетевого насоса К3.4)  </t>
  </si>
  <si>
    <t xml:space="preserve">Сигналы с ячейки 13 (Ввод 2 к Т-4 2ТП-1000/6/0,4 кВ здания расположения теплообменников)  </t>
  </si>
  <si>
    <t xml:space="preserve">Сигналы с ячейки 14 (Ввод к ТСН-4 здания расположения теплообменников)  </t>
  </si>
  <si>
    <t>N1AAT01CY001</t>
  </si>
  <si>
    <t>N1AAT01CY002</t>
  </si>
  <si>
    <t>N1AAT01CY003</t>
  </si>
  <si>
    <t>N1AAT01CY004</t>
  </si>
  <si>
    <t>N1AAT01CY005</t>
  </si>
  <si>
    <t>N1AAT01CY006</t>
  </si>
  <si>
    <t>N1AAT01CY007</t>
  </si>
  <si>
    <t>N1AAT01CY008</t>
  </si>
  <si>
    <t>N1AAT01CY009</t>
  </si>
  <si>
    <t>N1AAT01CY010</t>
  </si>
  <si>
    <t>N1AAT01CY011</t>
  </si>
  <si>
    <t>N1AAT02CY001</t>
  </si>
  <si>
    <t>N1AAT02CY002</t>
  </si>
  <si>
    <t>N1AAT02CY003</t>
  </si>
  <si>
    <t>N1AAT02CY004</t>
  </si>
  <si>
    <t>N1AAT02CY005</t>
  </si>
  <si>
    <t>N1AAT02CY006</t>
  </si>
  <si>
    <t>N1AAT02CY007</t>
  </si>
  <si>
    <t>N1AAT02CY008</t>
  </si>
  <si>
    <t>N1AAT02CY009</t>
  </si>
  <si>
    <t>N1AAT02CY010</t>
  </si>
  <si>
    <t>N1AAT02CY011</t>
  </si>
  <si>
    <t>N2AAT01</t>
  </si>
  <si>
    <t>N2AAT02</t>
  </si>
  <si>
    <t>E3-31</t>
  </si>
  <si>
    <t>E3-32</t>
  </si>
  <si>
    <t>N2AAT01CY001</t>
  </si>
  <si>
    <t>N2AAT01CY002</t>
  </si>
  <si>
    <t>N2AAT01CY003</t>
  </si>
  <si>
    <t>N2AAT01CY004</t>
  </si>
  <si>
    <t>N2AAT01CY005</t>
  </si>
  <si>
    <t>N2AAT01CY006</t>
  </si>
  <si>
    <t>N2AAT01CY007</t>
  </si>
  <si>
    <t>N2AAT01CY008</t>
  </si>
  <si>
    <t>N2AAT01CY009</t>
  </si>
  <si>
    <t>N2AAT01CY010</t>
  </si>
  <si>
    <t>N2AAT01CY011</t>
  </si>
  <si>
    <t>N2AAT02CY001</t>
  </si>
  <si>
    <t>N2AAT02CY002</t>
  </si>
  <si>
    <t>N2AAT02CY003</t>
  </si>
  <si>
    <t>N2AAT02CY004</t>
  </si>
  <si>
    <t>N2AAT02CY005</t>
  </si>
  <si>
    <t>N2AAT02CY006</t>
  </si>
  <si>
    <t>N2AAT02CY007</t>
  </si>
  <si>
    <t>N2AAT02CY008</t>
  </si>
  <si>
    <t>N2AAT02CY009</t>
  </si>
  <si>
    <t>N2AAT02CY010</t>
  </si>
  <si>
    <t>N2AAT02CY011</t>
  </si>
  <si>
    <t>E3CJU01GH001</t>
  </si>
  <si>
    <t>E3CJU01GH002</t>
  </si>
  <si>
    <t>E3CJU01GH003</t>
  </si>
  <si>
    <t>E3CJU01GH004</t>
  </si>
  <si>
    <t>E3CJU01GH005</t>
  </si>
  <si>
    <t>E3CJU01GH006</t>
  </si>
  <si>
    <t>E3CJU01GH007</t>
  </si>
  <si>
    <t>Питание ввода №1 в норме (ЭТО)</t>
  </si>
  <si>
    <t>Питание ввода №2 в норме (ЭТО)</t>
  </si>
  <si>
    <t>Ввод 1 включен (ЭТО)</t>
  </si>
  <si>
    <t>Ввод 2 включен (ЭТО)</t>
  </si>
  <si>
    <t>Питание ИБП в норме (ЭТО)</t>
  </si>
  <si>
    <t>Дверь шкафа открыта (ЭТО)</t>
  </si>
  <si>
    <t>Встроенная трансформаторная подстанция КТП СН НАБ ТЦ. Силовой трансформатор ТСН-35</t>
  </si>
  <si>
    <t>Встроенная трансформаторная подстанция КТП СН НАБ ТЦ. Силовой трансформатор ТСН-36</t>
  </si>
  <si>
    <t>F0AAT01SA001</t>
  </si>
  <si>
    <t>Силовой трансформатор Т-1 не в норме</t>
  </si>
  <si>
    <t>SO1</t>
  </si>
  <si>
    <t>SO2</t>
  </si>
  <si>
    <t>SO3</t>
  </si>
  <si>
    <t>SO4</t>
  </si>
  <si>
    <t>SO5</t>
  </si>
  <si>
    <t>SO6</t>
  </si>
  <si>
    <t>SO7</t>
  </si>
  <si>
    <t>Силовой трансформатор Т-2 не в норме</t>
  </si>
  <si>
    <t>Силовой трансформатор Т-3 не в норме</t>
  </si>
  <si>
    <t>Силовой трансформатор Т-4 не в норме</t>
  </si>
  <si>
    <t>Силовой трансформатор ТСН-35 не в норме</t>
  </si>
  <si>
    <t>Силовой трансформатор ТСН-36 не в норме</t>
  </si>
  <si>
    <t>N1AAT01SA001</t>
  </si>
  <si>
    <t>F0AAT02SA001</t>
  </si>
  <si>
    <t>N1AAT02SA001</t>
  </si>
  <si>
    <t>N2AAT02SA001</t>
  </si>
  <si>
    <t>N2AAT01SA001</t>
  </si>
  <si>
    <t>Звуковая сигнализация</t>
  </si>
  <si>
    <t>E3CJU01YH001</t>
  </si>
  <si>
    <t>E3CJU01XH001</t>
  </si>
  <si>
    <t>Сброс звуковой сигнализации</t>
  </si>
  <si>
    <t>Ko-01</t>
  </si>
  <si>
    <t>Ko-02</t>
  </si>
  <si>
    <t>Ko-03</t>
  </si>
  <si>
    <t>Ko-04</t>
  </si>
  <si>
    <t>Ko-05</t>
  </si>
  <si>
    <t>Ko-06</t>
  </si>
  <si>
    <t>Ko-07</t>
  </si>
  <si>
    <t>HL10</t>
  </si>
  <si>
    <t>HL11</t>
  </si>
  <si>
    <t>HL12</t>
  </si>
  <si>
    <t>HL13</t>
  </si>
  <si>
    <t>HL14</t>
  </si>
  <si>
    <t>HL15</t>
  </si>
  <si>
    <t>HL16</t>
  </si>
  <si>
    <t>SB1</t>
  </si>
  <si>
    <t>РУ-6 кВ ВК</t>
  </si>
  <si>
    <t>РУ-6 кВ Зд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</si>
  <si>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</si>
  <si>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</si>
  <si>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</si>
  <si>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</si>
  <si>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</si>
  <si>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</si>
  <si>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</si>
  <si>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</si>
  <si>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GW01
Port3</t>
  </si>
  <si>
    <t>GW01
Port4</t>
  </si>
  <si>
    <t>GW01
Port5</t>
  </si>
  <si>
    <t>GW01
Port6</t>
  </si>
  <si>
    <t>GW02
Port3</t>
  </si>
  <si>
    <t>GW02
Port4</t>
  </si>
  <si>
    <t>GW02
Port5</t>
  </si>
  <si>
    <t>GW02
Port6</t>
  </si>
  <si>
    <t>GW02
Port7</t>
  </si>
  <si>
    <t>Узел учета газа</t>
  </si>
  <si>
    <t>E1-RS1</t>
  </si>
  <si>
    <t>Узел учёта газа</t>
  </si>
  <si>
    <t>Шкаф АСУ Зд (E3CJU01)</t>
  </si>
  <si>
    <t>Питание датчиков 24в включено (ЭТО)</t>
  </si>
  <si>
    <t>Питание датчиков 24в включено (НАБ)</t>
  </si>
  <si>
    <t>Питание реле 24в включено (НАБ)</t>
  </si>
  <si>
    <t>Питание реле 24в включено (Зд)</t>
  </si>
  <si>
    <t>Питание реле 24в включено (ГРП-2)</t>
  </si>
  <si>
    <t>Питание датчиков 24в включено (ВК)</t>
  </si>
  <si>
    <t>Питание реле 24в включено (ВК)</t>
  </si>
  <si>
    <t>Питание реле 24в включено (ГРП-1)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</si>
</sst>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  <xf numFmtId="0" fontId="1" fillId="0" borderId="5" xfId="0" applyFont="1" applyBorder="1"/>
    <xf numFmtId="0" fontId="0" fillId="0" borderId="5" xfId="0" quotePrefix="1" applyBorder="1"/>
    <xf numFmtId="1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0" xfId="0" applyBorder="1" applyAlignment="1">
      <alignment horizontal="center"/>
    </xf>
    <xf numFmtId="49" fontId="0" fillId="0" borderId="5" xfId="0" applyNumberFormat="1" applyBorder="1"/>
    <xf numFmtId="49" fontId="0" fillId="0" borderId="13" xfId="0" applyNumberFormat="1" applyBorder="1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0" xfId="0" applyNumberFormat="1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31" xfId="0" applyBorder="1"/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0" xfId="0" applyNumberForma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6" fillId="0" borderId="19" xfId="0" applyFont="1" applyBorder="1"/>
    <xf numFmtId="0" fontId="6" fillId="0" borderId="20" xfId="0" applyFont="1" applyBorder="1"/>
    <xf numFmtId="0" fontId="6" fillId="0" borderId="22" xfId="0" applyFont="1" applyBorder="1"/>
    <xf numFmtId="0" fontId="6" fillId="0" borderId="10" xfId="0" applyFont="1" applyBorder="1"/>
    <xf numFmtId="0" fontId="6" fillId="3" borderId="0" xfId="0" applyFont="1" applyFill="1"/>
    <xf numFmtId="0" fontId="6" fillId="4" borderId="0" xfId="0" applyFont="1" applyFill="1"/>
  </cellXfs>
  <cellStyles count="1">
    <cellStyle name="Обычный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19" dT="2025-07-01T11:25:50.76" personId="{1BBA9C37-440F-4406-BC90-B03034B3364F}" id="{F5B4A413-8E9D-4E5D-A7E6-F8CAAC683CB0}">
    <text>4-20 или резистивный?</text>
  </threadedComment>
  <threadedComment ref="B324" dT="2025-07-01T11:25:21.18" personId="{1BBA9C37-440F-4406-BC90-B03034B3364F}" id="{20090E64-8286-40F1-B1DA-DF6DD14D0F7A}">
    <text>Непонятно активный или пассивный</text>
  </threadedComment>
  <threadedComment ref="B326" dT="2025-07-02T09:35:37.96" personId="{1BBA9C37-440F-4406-BC90-B03034B3364F}" id="{3E3B6129-7D3D-43E1-94E9-29EE39694C57}">
    <text>непонятное подключение</text>
  </threadedComment>
  <threadedComment ref="B358" dT="2025-07-03T06:02:52.64" personId="{1BBA9C37-440F-4406-BC90-B03034B3364F}" id="{F37083B4-0267-40B3-943E-8E106B59FD56}">
    <text>Нет принципиальных схем для этих позиций, по схемам внешних соединений не хватает жил для всех сигналов</text>
  </threadedComment>
  <threadedComment ref="B365" dT="2025-07-03T10:31:53.28" personId="{1BBA9C37-440F-4406-BC90-B03034B3364F}" id="{1E085EFA-2D4C-49AF-8DF0-637CB800E501}">
    <text>нужна схема шкафа Ш-1 ГРП 2</text>
  </threadedComment>
  <threadedComment ref="B500" dT="2025-07-03T10:31:53.28" personId="{1BBA9C37-440F-4406-BC90-B03034B3364F}" id="{D3B0118F-DD0F-48F6-9A58-CF2A997A7300}">
    <text>нужна схема шкафа ШУЗ зд</text>
  </threadedComment>
  <threadedComment ref="B563" dT="2025-07-02T09:35:37.96" personId="{1BBA9C37-440F-4406-BC90-B03034B3364F}" id="{16653607-FB67-4DB8-8255-D89C6181BDB1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R601"/>
  <sheetViews>
    <sheetView tabSelected="1" zoomScale="85" zoomScaleNormal="85" workbookViewId="0">
      <pane ySplit="1" topLeftCell="A581" activePane="bottomLeft" state="frozen"/>
      <selection pane="bottomLeft" activeCell="A601" sqref="A601:B601"/>
    </sheetView>
  </sheetViews>
  <sheetFormatPr defaultRowHeight="15" x14ac:dyDescent="0.25"/>
  <cols>
    <col min="1" max="1" width="19.28515625" style="83" bestFit="1" customWidth="1"/>
    <col min="2" max="2" width="90.28515625" style="83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9" bestFit="1" customWidth="1"/>
    <col min="36" max="36" width="8.7109375" style="69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81" t="s">
        <v>0</v>
      </c>
      <c r="B1" s="8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67" t="s">
        <v>1791</v>
      </c>
      <c r="AJ1" s="67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1997</v>
      </c>
      <c r="VH1" s="23" t="s">
        <v>2001</v>
      </c>
      <c r="VI1" s="23" t="s">
        <v>1998</v>
      </c>
      <c r="VJ1" s="23" t="s">
        <v>1999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2044</v>
      </c>
      <c r="VP1" s="20" t="s">
        <v>2045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2171</v>
      </c>
      <c r="WP1" s="19" t="s">
        <v>2172</v>
      </c>
      <c r="WQ1" s="20" t="s">
        <v>2173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2823</v>
      </c>
      <c r="XR1" t="s">
        <v>2822</v>
      </c>
      <c r="XS1" t="s">
        <v>2824</v>
      </c>
      <c r="XT1" t="s">
        <v>2821</v>
      </c>
      <c r="XU1" t="s">
        <v>2825</v>
      </c>
      <c r="XV1" t="s">
        <v>2820</v>
      </c>
      <c r="XW1" t="s">
        <v>2826</v>
      </c>
      <c r="XX1" t="s">
        <v>2819</v>
      </c>
      <c r="XY1" t="s">
        <v>2827</v>
      </c>
      <c r="XZ1" t="s">
        <v>2818</v>
      </c>
      <c r="YA1" t="s">
        <v>2817</v>
      </c>
      <c r="YB1" t="s">
        <v>2816</v>
      </c>
      <c r="YC1" t="s">
        <v>2815</v>
      </c>
      <c r="YD1" t="s">
        <v>2814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2829</v>
      </c>
      <c r="YL1" t="s">
        <v>2828</v>
      </c>
      <c r="YM1" t="s">
        <v>2831</v>
      </c>
      <c r="YN1" t="s">
        <v>2830</v>
      </c>
      <c r="YO1" t="s">
        <v>2833</v>
      </c>
      <c r="YP1" t="s">
        <v>2832</v>
      </c>
      <c r="YQ1" t="s">
        <v>2835</v>
      </c>
      <c r="YR1" t="s">
        <v>2834</v>
      </c>
      <c r="YS1" t="s">
        <v>2837</v>
      </c>
      <c r="YT1" t="s">
        <v>2836</v>
      </c>
      <c r="YU1" t="s">
        <v>2839</v>
      </c>
      <c r="YV1" t="s">
        <v>2838</v>
      </c>
      <c r="YW1" t="s">
        <v>2840</v>
      </c>
      <c r="YX1" t="s">
        <v>2841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2842</v>
      </c>
      <c r="ZI1" t="s">
        <v>2843</v>
      </c>
      <c r="ZJ1" t="s">
        <v>82</v>
      </c>
      <c r="ZK1" t="s">
        <v>2844</v>
      </c>
      <c r="ZL1" t="s">
        <v>83</v>
      </c>
      <c r="ZM1" t="s">
        <v>2845</v>
      </c>
      <c r="ZN1" t="s">
        <v>84</v>
      </c>
      <c r="ZO1" t="s">
        <v>2846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2847</v>
      </c>
      <c r="AAB1" t="s">
        <v>2848</v>
      </c>
      <c r="AAC1" t="s">
        <v>2044</v>
      </c>
      <c r="AAD1" t="s">
        <v>2045</v>
      </c>
      <c r="AAE1" t="s">
        <v>2869</v>
      </c>
      <c r="AAF1" t="s">
        <v>2870</v>
      </c>
      <c r="AAG1" t="s">
        <v>2871</v>
      </c>
      <c r="AAH1" t="s">
        <v>2872</v>
      </c>
      <c r="AAI1" t="s">
        <v>2873</v>
      </c>
      <c r="AAJ1" t="s">
        <v>2874</v>
      </c>
      <c r="AAK1" t="s">
        <v>2875</v>
      </c>
      <c r="AAL1" t="s">
        <v>2876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2887</v>
      </c>
      <c r="ABC1" t="s">
        <v>2888</v>
      </c>
      <c r="ABD1" t="s">
        <v>2889</v>
      </c>
      <c r="ABE1" t="s">
        <v>2890</v>
      </c>
      <c r="ABF1" t="s">
        <v>2891</v>
      </c>
      <c r="ABG1" s="16" t="s">
        <v>2892</v>
      </c>
      <c r="ABH1" s="19" t="s">
        <v>2044</v>
      </c>
      <c r="ABI1" s="20" t="s">
        <v>2045</v>
      </c>
      <c r="ABJ1" s="19" t="s">
        <v>2869</v>
      </c>
      <c r="ABK1" s="19" t="s">
        <v>2870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2905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2951</v>
      </c>
      <c r="ADX1" s="42" t="s">
        <v>2952</v>
      </c>
      <c r="ADY1" s="42" t="s">
        <v>2953</v>
      </c>
      <c r="ADZ1" s="42" t="s">
        <v>924</v>
      </c>
      <c r="AEA1" s="52" t="s">
        <v>925</v>
      </c>
      <c r="AEB1" s="53" t="s">
        <v>3160</v>
      </c>
      <c r="AEC1" s="42" t="s">
        <v>3161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76" t="s">
        <v>859</v>
      </c>
      <c r="AEO1" s="76" t="s">
        <v>858</v>
      </c>
      <c r="AEP1" s="76" t="s">
        <v>404</v>
      </c>
      <c r="AEQ1" s="76" t="s">
        <v>862</v>
      </c>
      <c r="AER1" s="76" t="s">
        <v>863</v>
      </c>
    </row>
    <row r="2" spans="1:824" x14ac:dyDescent="0.25">
      <c r="A2" s="83" t="s">
        <v>271</v>
      </c>
      <c r="B2" s="83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43" t="str">
        <f t="array" ref="AD2">IF(COUNTIFS(AC$2:AC2,AC2)=1,"1",VALUE(SUBSTITUTE(INDEX(AD:AD,_xlfn.XMATCH(AC2,AC$1:AC1,0,-1)),"A",""))+INDEX(AE:AE,_xlfn.XMATCH(AC2,AC$1:AC1,0,-1))+1)</f>
        <v>1</v>
      </c>
      <c r="AE2" s="43">
        <f t="array" ref="AE2">SUM(IF(ISNUMBER(FIND("TmDi",$BE$1:$AAQ$1)),IF(IFERROR(ISNUMBER(VALUE(SUBSTITUTE($BE2:$AAQ2,"B",""))),FALSE),IF(ISNUMBER(VALUE(SUBSTITUTE($BE2:$AAQ2,"B",""))),1,0),0)))</f>
        <v>5</v>
      </c>
      <c r="AF2" s="12" t="s">
        <v>133</v>
      </c>
      <c r="AG2" s="12" t="s">
        <v>134</v>
      </c>
      <c r="AH2" s="12" t="s">
        <v>132</v>
      </c>
      <c r="AI2" s="68" t="str">
        <f t="array" ref="AI2">IF(COUNTIFS(AH$2:AH2,AH2)=1,"1",VALUE(SUBSTITUTE(INDEX(AI:AI,_xlfn.XMATCH(AH2,AH$1:AH1,0,-1)),"A",""))+INDEX(AJ:AJ,_xlfn.XMATCH(AH2,AH$1:AH1,0,-1))+1)</f>
        <v>1</v>
      </c>
      <c r="AJ2" s="68">
        <f t="array" ref="AJ2">SUM(IF(ISNUMBER(FIND("TmDo",$BE$1:$AAQ$1)),IF(IFERROR(ISNUMBER(VALUE(SUBSTITUTE($BE2:$AAQ2,"B",""))),FALSE),IF(ISNUMBER(VALUE(SUBSTITUTE($BE2:$AAQ2,"B",""))),1,0),0)))</f>
        <v>2</v>
      </c>
      <c r="AK2" s="12" t="str">
        <f t="shared" ref="AK2:AK55" si="0">CONCATENATE($AI2,"A")</f>
        <v>1A</v>
      </c>
      <c r="AL2" s="12" t="str">
        <f t="shared" ref="AL2:AL55" si="1">CONCATENATE($AI2,"B")</f>
        <v>1B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2">CONCATENATE("XT",U2)</f>
        <v>XT1</v>
      </c>
      <c r="BF2" s="12" t="str">
        <f t="shared" ref="BF2:BF33" si="3">CONCATENATE("C",REPLACE(AF2,1,1,"")+1)</f>
        <v>C2</v>
      </c>
      <c r="BG2" s="12" t="str">
        <f t="shared" ref="BG2:BG33" si="4">CONCATENATE("B",REPLACE(AG2,1,1,"")+1)</f>
        <v>B2</v>
      </c>
      <c r="BH2" s="12" t="str">
        <f t="shared" ref="BH2:BH33" si="5">CONCATENATE("C",REPLACE(BF2,1,1,"")+1)</f>
        <v>C3</v>
      </c>
      <c r="BI2" s="12" t="str">
        <f t="shared" ref="BI2:BI33" si="6">CONCATENATE("B",REPLACE(BG2,1,1,"")+1)</f>
        <v>B3</v>
      </c>
      <c r="BJ2" s="12" t="str">
        <f t="shared" ref="BJ2:BJ33" si="7">CONCATENATE("C",REPLACE(BH2,1,1,"")+1)</f>
        <v>C4</v>
      </c>
      <c r="BK2" s="12" t="str">
        <f t="shared" ref="BK2:BK33" si="8">CONCATENATE("B",REPLACE(BI2,1,1,"")+1)</f>
        <v>B4</v>
      </c>
      <c r="BL2" s="12" t="str">
        <f t="shared" ref="BL2:BL32" si="9">CONCATENATE("C",REPLACE(BJ2,1,1,"")+1)</f>
        <v>C5</v>
      </c>
      <c r="BM2" s="12" t="str">
        <f t="shared" ref="BM2:BM32" si="10">CONCATENATE("B",REPLACE(BK2,1,1,"")+1)</f>
        <v>B5</v>
      </c>
      <c r="BN2" s="12" t="str">
        <f t="shared" ref="BN2:BN32" si="11">CONCATENATE("C",REPLACE(BL2,1,1,"")+1)</f>
        <v>C6</v>
      </c>
      <c r="BO2" s="12" t="str">
        <f t="shared" ref="BO2:BO32" si="12">CONCATENATE("B",REPLACE(BM2,1,1,"")+1)</f>
        <v>B6</v>
      </c>
      <c r="BP2" s="12" t="str">
        <f t="shared" ref="BP2:BP33" si="13">CONCATENATE(REPLACE(AK2,LEN(AK2),1,"")+1,"A")</f>
        <v>2A</v>
      </c>
      <c r="BQ2" s="12" t="str">
        <f t="shared" ref="BQ2:BQ33" si="14">CONCATENATE(REPLACE(AL2,LEN(AL2),1,"")+1,"B")</f>
        <v>2B</v>
      </c>
      <c r="BR2" s="12" t="str">
        <f t="shared" ref="BR2:BR33" si="15">CONCATENATE(REPLACE(BP2,LEN(BP2),1,"")+1,"A")</f>
        <v>3A</v>
      </c>
      <c r="BS2" s="12" t="str">
        <f t="shared" ref="BS2:BS33" si="16">CONCATENATE(REPLACE(BQ2,LEN(BQ2),1,"")+1,"B")</f>
        <v>3B</v>
      </c>
      <c r="BT2" s="12" t="str">
        <f t="shared" ref="BT2:BT33" si="17">CONCATENATE("DI",REPLACE($AC2,1,3,""),"-",AF2)</f>
        <v>DI1-C1</v>
      </c>
      <c r="BU2" s="12" t="str">
        <f t="shared" ref="BU2:BU33" si="18">CONCATENATE("DI",REPLACE($AC2,1,3,""),"-",AG2)</f>
        <v>DI1-B1</v>
      </c>
      <c r="BV2" s="12" t="str">
        <f t="shared" ref="BV2:CE17" si="19">CONCATENATE("DI",REPLACE($AC2,1,3,""),"-",BF2)</f>
        <v>DI1-C2</v>
      </c>
      <c r="BW2" s="12" t="str">
        <f t="shared" si="19"/>
        <v>DI1-B2</v>
      </c>
      <c r="BX2" s="12" t="str">
        <f t="shared" si="19"/>
        <v>DI1-C3</v>
      </c>
      <c r="BY2" s="12" t="str">
        <f t="shared" si="19"/>
        <v>DI1-B3</v>
      </c>
      <c r="BZ2" s="12" t="str">
        <f t="shared" si="19"/>
        <v>DI1-C4</v>
      </c>
      <c r="CA2" s="12" t="str">
        <f t="shared" si="19"/>
        <v>DI1-B4</v>
      </c>
      <c r="CB2" s="12" t="str">
        <f t="shared" si="19"/>
        <v>DI1-C5</v>
      </c>
      <c r="CC2" s="12" t="str">
        <f t="shared" si="19"/>
        <v>DI1-B5</v>
      </c>
      <c r="CD2" s="12" t="str">
        <f t="shared" si="19"/>
        <v>DI1-C6</v>
      </c>
      <c r="CE2" s="12" t="str">
        <f t="shared" si="19"/>
        <v>DI1-B6</v>
      </c>
      <c r="CF2" s="12" t="str">
        <f t="shared" ref="CF2:CF33" si="20">CONCATENATE("DO",REPLACE($AH2,1,3,""),"-",AK2)</f>
        <v>DO1-1A</v>
      </c>
      <c r="CG2" s="12" t="str">
        <f t="shared" ref="CG2:CG33" si="21">CONCATENATE("DO",REPLACE($AH2,1,3,""),"-",AL2)</f>
        <v>DO1-1B</v>
      </c>
      <c r="CH2" s="12" t="str">
        <f t="shared" ref="CH2:CH33" si="22">CONCATENATE("DO",REPLACE($AH2,1,3,""),"-",BP2)</f>
        <v>DO1-2A</v>
      </c>
      <c r="CI2" s="12" t="str">
        <f t="shared" ref="CI2:CI33" si="23">CONCATENATE("DO",REPLACE($AH2,1,3,""),"-",BQ2)</f>
        <v>DO1-2B</v>
      </c>
      <c r="CJ2" s="12" t="str">
        <f t="shared" ref="CJ2:CJ33" si="24">CONCATENATE("DO",REPLACE($AH2,1,3,""),"-",BR2)</f>
        <v>DO1-3A</v>
      </c>
      <c r="CK2" s="12" t="str">
        <f t="shared" ref="CK2:CK33" si="25">CONCATENATE("DO",REPLACE($AH2,1,3,""),"-",BS2)</f>
        <v>DO1-3B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26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824" x14ac:dyDescent="0.25">
      <c r="A3" s="83" t="s">
        <v>146</v>
      </c>
      <c r="B3" s="8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s="46">
        <f t="array" ref="AD3">IF(COUNTIFS(AC$2:AC3,AC3)=1,"1",VALUE(SUBSTITUTE(INDEX(AD:AD,_xlfn.XMATCH(AC3,AC$1:AC2,0,-1)),"A",""))+INDEX(AE:AE,_xlfn.XMATCH(AC3,AC$1:AC2,0,-1))+1)</f>
        <v>7</v>
      </c>
      <c r="AE3" s="46">
        <f t="array" ref="AE3">SUM(IF(ISNUMBER(FIND("TmDi",$BE$1:$AAQ$1)),IF(IFERROR(ISNUMBER(VALUE(SUBSTITUTE($BE3:$AAQ3,"B",""))),FALSE),IF(ISNUMBER(VALUE(SUBSTITUTE($BE3:$AAQ3,"B",""))),1,0),0)))</f>
        <v>5</v>
      </c>
      <c r="AF3" t="s">
        <v>148</v>
      </c>
      <c r="AG3" t="s">
        <v>149</v>
      </c>
      <c r="AH3" t="s">
        <v>132</v>
      </c>
      <c r="AI3" s="69">
        <f t="array" ref="AI3">IF(COUNTIFS(AH$2:AH3,AH3)=1,"1",VALUE(SUBSTITUTE(INDEX(AI:AI,_xlfn.XMATCH(AH3,AH$1:AH2,0,-1)),"A",""))+INDEX(AJ:AJ,_xlfn.XMATCH(AH3,AH$1:AH2,0,-1))+1)</f>
        <v>4</v>
      </c>
      <c r="AJ3" s="69">
        <f t="array" ref="AJ3">SUM(IF(ISNUMBER(FIND("TmDo",$BE$1:$AAQ$1)),IF(IFERROR(ISNUMBER(VALUE(SUBSTITUTE($BE3:$AAQ3,"B",""))),FALSE),IF(ISNUMBER(VALUE(SUBSTITUTE($BE3:$AAQ3,"B",""))),1,0),0)))</f>
        <v>2</v>
      </c>
      <c r="AK3" t="str">
        <f t="shared" si="0"/>
        <v>4A</v>
      </c>
      <c r="AL3" t="str">
        <f t="shared" si="1"/>
        <v>4B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2"/>
        <v>XT2</v>
      </c>
      <c r="BF3" t="str">
        <f t="shared" si="3"/>
        <v>C8</v>
      </c>
      <c r="BG3" t="str">
        <f t="shared" si="4"/>
        <v>B8</v>
      </c>
      <c r="BH3" t="str">
        <f t="shared" si="5"/>
        <v>C9</v>
      </c>
      <c r="BI3" t="str">
        <f t="shared" si="6"/>
        <v>B9</v>
      </c>
      <c r="BJ3" t="str">
        <f t="shared" si="7"/>
        <v>C10</v>
      </c>
      <c r="BK3" t="str">
        <f t="shared" si="8"/>
        <v>B10</v>
      </c>
      <c r="BL3" t="str">
        <f t="shared" si="9"/>
        <v>C11</v>
      </c>
      <c r="BM3" t="str">
        <f t="shared" si="10"/>
        <v>B11</v>
      </c>
      <c r="BN3" t="str">
        <f t="shared" si="11"/>
        <v>C12</v>
      </c>
      <c r="BO3" t="str">
        <f t="shared" si="12"/>
        <v>B12</v>
      </c>
      <c r="BP3" t="str">
        <f t="shared" si="13"/>
        <v>5A</v>
      </c>
      <c r="BQ3" t="str">
        <f t="shared" si="14"/>
        <v>5B</v>
      </c>
      <c r="BR3" t="str">
        <f t="shared" si="15"/>
        <v>6A</v>
      </c>
      <c r="BS3" t="str">
        <f t="shared" si="16"/>
        <v>6B</v>
      </c>
      <c r="BT3" t="str">
        <f t="shared" si="17"/>
        <v>DI1-C7</v>
      </c>
      <c r="BU3" t="str">
        <f t="shared" si="18"/>
        <v>DI1-B7</v>
      </c>
      <c r="BV3" t="str">
        <f t="shared" si="19"/>
        <v>DI1-C8</v>
      </c>
      <c r="BW3" t="str">
        <f t="shared" si="19"/>
        <v>DI1-B8</v>
      </c>
      <c r="BX3" t="str">
        <f t="shared" si="19"/>
        <v>DI1-C9</v>
      </c>
      <c r="BY3" t="str">
        <f t="shared" si="19"/>
        <v>DI1-B9</v>
      </c>
      <c r="BZ3" t="str">
        <f t="shared" si="19"/>
        <v>DI1-C10</v>
      </c>
      <c r="CA3" t="str">
        <f t="shared" si="19"/>
        <v>DI1-B10</v>
      </c>
      <c r="CB3" t="str">
        <f t="shared" si="19"/>
        <v>DI1-C11</v>
      </c>
      <c r="CC3" t="str">
        <f t="shared" si="19"/>
        <v>DI1-B11</v>
      </c>
      <c r="CD3" t="str">
        <f t="shared" si="19"/>
        <v>DI1-C12</v>
      </c>
      <c r="CE3" t="str">
        <f t="shared" si="19"/>
        <v>DI1-B12</v>
      </c>
      <c r="CF3" t="str">
        <f t="shared" si="20"/>
        <v>DO1-4A</v>
      </c>
      <c r="CG3" t="str">
        <f t="shared" si="21"/>
        <v>DO1-4B</v>
      </c>
      <c r="CH3" t="str">
        <f t="shared" si="22"/>
        <v>DO1-5A</v>
      </c>
      <c r="CI3" t="str">
        <f t="shared" si="23"/>
        <v>DO1-5B</v>
      </c>
      <c r="CJ3" t="str">
        <f t="shared" si="24"/>
        <v>DO1-6A</v>
      </c>
      <c r="CK3" t="str">
        <f t="shared" si="25"/>
        <v>DO1-6B</v>
      </c>
      <c r="CL3" t="str">
        <f t="shared" ref="CL3:CL33" si="27">CONCATENATE("K",$U3,"-10")</f>
        <v>K2-10</v>
      </c>
      <c r="CM3" t="str">
        <f t="shared" ref="CM3:CM33" si="28">CONCATENATE("K",$U3,"-03")</f>
        <v>K2-03</v>
      </c>
      <c r="CN3" t="str">
        <f t="shared" ref="CN3:CN33" si="29">CONCATENATE("K",$U3,"-04")</f>
        <v>K2-04</v>
      </c>
      <c r="CO3" t="str">
        <f t="shared" ref="CO3:CO33" si="30">CONCATENATE("K",$U3,"-01")</f>
        <v>K2-01</v>
      </c>
      <c r="CP3" t="str">
        <f t="shared" ref="CP3:CP33" si="31">CONCATENATE("K",$U3,"-08")</f>
        <v>K2-08</v>
      </c>
      <c r="CQ3" t="str">
        <f t="shared" ref="CQ3:CQ33" si="32">CONCATENATE("K",$U3,"-02")</f>
        <v>K2-02</v>
      </c>
      <c r="CR3" t="str">
        <f t="shared" ref="CR3:CR33" si="33">CONCATENATE("K",$U3,"-09")</f>
        <v>K2-09</v>
      </c>
      <c r="CS3" t="str">
        <f t="shared" ref="CS3:CS33" si="34">CONCATENATE("K",$U3,"-05")</f>
        <v>K2-05</v>
      </c>
      <c r="CT3" t="str">
        <f t="shared" ref="CT3:CT33" si="35">CONCATENATE("K",$U3,"-11")</f>
        <v>K2-11</v>
      </c>
      <c r="CU3" t="str">
        <f t="shared" ref="CU3:CU33" si="36">CONCATENATE($T3,"-M",$U3,"-A9")</f>
        <v>F0-M2-A9</v>
      </c>
      <c r="CV3" t="str">
        <f t="shared" ref="CV3:CV33" si="37">CONCATENATE($T3,"-M",$U3,"-A7")</f>
        <v>F0-M2-A7</v>
      </c>
      <c r="CW3" t="str">
        <f t="shared" ref="CW3:CW33" si="38">CONCATENATE($T3,"-M",$U3,"-A8")</f>
        <v>F0-M2-A8</v>
      </c>
      <c r="CX3" t="str">
        <f t="shared" ref="CX3:CX33" si="39">CONCATENATE($T3,"-M",$U3,"-A6")</f>
        <v>F0-M2-A6</v>
      </c>
      <c r="CY3" t="str">
        <f t="shared" ref="CY3:CY33" si="40">CONCATENATE($T3,"-M",$U3,"-A30")</f>
        <v>F0-M2-A30</v>
      </c>
      <c r="CZ3" t="str">
        <f t="shared" ref="CZ3:CZ33" si="41">CONCATENATE($T3,"-M",$U3,"-N")</f>
        <v>F0-M2-N</v>
      </c>
      <c r="DA3" t="str">
        <f t="shared" si="26"/>
        <v>F0-A220-M2</v>
      </c>
      <c r="DB3" t="str">
        <f t="shared" ref="DB3:DB33" si="42">CONCATENATE($T3,"-M",$U3,"-XM01")</f>
        <v>F0-M2-XM01</v>
      </c>
      <c r="DC3" t="str">
        <f t="shared" ref="DC3:DC33" si="43">CONCATENATE($T3,"-M",$U3,"-A1")</f>
        <v>F0-M2-A1</v>
      </c>
      <c r="DD3" t="str">
        <f t="shared" ref="DD3:DD33" si="44">CONCATENATE($T3,"-M",$U3,"-A5")</f>
        <v>F0-M2-A5</v>
      </c>
      <c r="DE3" t="str">
        <f t="shared" ref="DE3:DE33" si="45">CONCATENATE($T3,"-M",$U3,"-A11")</f>
        <v>F0-M2-A11</v>
      </c>
      <c r="DF3" t="str">
        <f t="shared" ref="DF3:DF33" si="46">CONCATENATE($T3,"-M",$U3,"-A12")</f>
        <v>F0-M2-A12</v>
      </c>
      <c r="DG3" t="str">
        <f t="shared" ref="DG3:DG33" si="47">CONCATENATE($T3,"-M",$U3,"-A19")</f>
        <v>F0-M2-A19</v>
      </c>
      <c r="DH3" t="str">
        <f t="shared" ref="DH3:DH33" si="48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824" x14ac:dyDescent="0.25">
      <c r="A4" s="83" t="s">
        <v>151</v>
      </c>
      <c r="B4" s="83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s="46">
        <f t="array" ref="AD4">IF(COUNTIFS(AC$2:AC4,AC4)=1,"1",VALUE(SUBSTITUTE(INDEX(AD:AD,_xlfn.XMATCH(AC4,AC$1:AC3,0,-1)),"A",""))+INDEX(AE:AE,_xlfn.XMATCH(AC4,AC$1:AC3,0,-1))+1)</f>
        <v>13</v>
      </c>
      <c r="AE4" s="46">
        <f t="array" ref="AE4">SUM(IF(ISNUMBER(FIND("TmDi",$BE$1:$AAQ$1)),IF(IFERROR(ISNUMBER(VALUE(SUBSTITUTE($BE4:$AAQ4,"B",""))),FALSE),IF(ISNUMBER(VALUE(SUBSTITUTE($BE4:$AAQ4,"B",""))),1,0),0)))</f>
        <v>5</v>
      </c>
      <c r="AF4" t="s">
        <v>153</v>
      </c>
      <c r="AG4" t="s">
        <v>154</v>
      </c>
      <c r="AH4" t="s">
        <v>132</v>
      </c>
      <c r="AI4" s="69">
        <f t="array" ref="AI4">IF(COUNTIFS(AH$2:AH4,AH4)=1,"1",VALUE(SUBSTITUTE(INDEX(AI:AI,_xlfn.XMATCH(AH4,AH$1:AH3,0,-1)),"A",""))+INDEX(AJ:AJ,_xlfn.XMATCH(AH4,AH$1:AH3,0,-1))+1)</f>
        <v>7</v>
      </c>
      <c r="AJ4" s="69">
        <f t="array" ref="AJ4">SUM(IF(ISNUMBER(FIND("TmDo",$BE$1:$AAQ$1)),IF(IFERROR(ISNUMBER(VALUE(SUBSTITUTE($BE4:$AAQ4,"B",""))),FALSE),IF(ISNUMBER(VALUE(SUBSTITUTE($BE4:$AAQ4,"B",""))),1,0),0)))</f>
        <v>2</v>
      </c>
      <c r="AK4" t="str">
        <f t="shared" si="0"/>
        <v>7A</v>
      </c>
      <c r="AL4" t="str">
        <f t="shared" si="1"/>
        <v>7B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2"/>
        <v>XT3</v>
      </c>
      <c r="BF4" t="str">
        <f t="shared" si="3"/>
        <v>C14</v>
      </c>
      <c r="BG4" t="str">
        <f t="shared" si="4"/>
        <v>B14</v>
      </c>
      <c r="BH4" t="str">
        <f t="shared" si="5"/>
        <v>C15</v>
      </c>
      <c r="BI4" t="str">
        <f t="shared" si="6"/>
        <v>B15</v>
      </c>
      <c r="BJ4" t="str">
        <f t="shared" si="7"/>
        <v>C16</v>
      </c>
      <c r="BK4" t="str">
        <f t="shared" si="8"/>
        <v>B16</v>
      </c>
      <c r="BL4" t="str">
        <f t="shared" si="9"/>
        <v>C17</v>
      </c>
      <c r="BM4" t="str">
        <f t="shared" si="10"/>
        <v>B17</v>
      </c>
      <c r="BN4" t="str">
        <f t="shared" si="11"/>
        <v>C18</v>
      </c>
      <c r="BO4" t="str">
        <f t="shared" si="12"/>
        <v>B18</v>
      </c>
      <c r="BP4" t="str">
        <f t="shared" si="13"/>
        <v>8A</v>
      </c>
      <c r="BQ4" t="str">
        <f t="shared" si="14"/>
        <v>8B</v>
      </c>
      <c r="BR4" t="str">
        <f t="shared" si="15"/>
        <v>9A</v>
      </c>
      <c r="BS4" t="str">
        <f t="shared" si="16"/>
        <v>9B</v>
      </c>
      <c r="BT4" t="str">
        <f t="shared" si="17"/>
        <v>DI1-C13</v>
      </c>
      <c r="BU4" t="str">
        <f t="shared" si="18"/>
        <v>DI1-B13</v>
      </c>
      <c r="BV4" t="str">
        <f t="shared" si="19"/>
        <v>DI1-C14</v>
      </c>
      <c r="BW4" t="str">
        <f t="shared" si="19"/>
        <v>DI1-B14</v>
      </c>
      <c r="BX4" t="str">
        <f t="shared" si="19"/>
        <v>DI1-C15</v>
      </c>
      <c r="BY4" t="str">
        <f t="shared" si="19"/>
        <v>DI1-B15</v>
      </c>
      <c r="BZ4" t="str">
        <f t="shared" si="19"/>
        <v>DI1-C16</v>
      </c>
      <c r="CA4" t="str">
        <f t="shared" si="19"/>
        <v>DI1-B16</v>
      </c>
      <c r="CB4" t="str">
        <f t="shared" si="19"/>
        <v>DI1-C17</v>
      </c>
      <c r="CC4" t="str">
        <f t="shared" si="19"/>
        <v>DI1-B17</v>
      </c>
      <c r="CD4" t="str">
        <f t="shared" si="19"/>
        <v>DI1-C18</v>
      </c>
      <c r="CE4" t="str">
        <f t="shared" si="19"/>
        <v>DI1-B18</v>
      </c>
      <c r="CF4" t="str">
        <f t="shared" si="20"/>
        <v>DO1-7A</v>
      </c>
      <c r="CG4" t="str">
        <f t="shared" si="21"/>
        <v>DO1-7B</v>
      </c>
      <c r="CH4" t="str">
        <f t="shared" si="22"/>
        <v>DO1-8A</v>
      </c>
      <c r="CI4" t="str">
        <f t="shared" si="23"/>
        <v>DO1-8B</v>
      </c>
      <c r="CJ4" t="str">
        <f t="shared" si="24"/>
        <v>DO1-9A</v>
      </c>
      <c r="CK4" t="str">
        <f t="shared" si="25"/>
        <v>DO1-9B</v>
      </c>
      <c r="CL4" t="str">
        <f t="shared" si="27"/>
        <v>K3-10</v>
      </c>
      <c r="CM4" t="str">
        <f t="shared" si="28"/>
        <v>K3-03</v>
      </c>
      <c r="CN4" t="str">
        <f t="shared" si="29"/>
        <v>K3-04</v>
      </c>
      <c r="CO4" t="str">
        <f t="shared" si="30"/>
        <v>K3-01</v>
      </c>
      <c r="CP4" t="str">
        <f t="shared" si="31"/>
        <v>K3-08</v>
      </c>
      <c r="CQ4" t="str">
        <f t="shared" si="32"/>
        <v>K3-02</v>
      </c>
      <c r="CR4" t="str">
        <f t="shared" si="33"/>
        <v>K3-09</v>
      </c>
      <c r="CS4" t="str">
        <f t="shared" si="34"/>
        <v>K3-05</v>
      </c>
      <c r="CT4" t="str">
        <f t="shared" si="35"/>
        <v>K3-11</v>
      </c>
      <c r="CU4" t="str">
        <f t="shared" si="36"/>
        <v>F0-M3-A9</v>
      </c>
      <c r="CV4" t="str">
        <f t="shared" si="37"/>
        <v>F0-M3-A7</v>
      </c>
      <c r="CW4" t="str">
        <f t="shared" si="38"/>
        <v>F0-M3-A8</v>
      </c>
      <c r="CX4" t="str">
        <f t="shared" si="39"/>
        <v>F0-M3-A6</v>
      </c>
      <c r="CY4" t="str">
        <f t="shared" si="40"/>
        <v>F0-M3-A30</v>
      </c>
      <c r="CZ4" t="str">
        <f t="shared" si="41"/>
        <v>F0-M3-N</v>
      </c>
      <c r="DA4" t="str">
        <f t="shared" si="26"/>
        <v>F0-A220-M3</v>
      </c>
      <c r="DB4" t="str">
        <f t="shared" si="42"/>
        <v>F0-M3-XM01</v>
      </c>
      <c r="DC4" t="str">
        <f t="shared" si="43"/>
        <v>F0-M3-A1</v>
      </c>
      <c r="DD4" t="str">
        <f t="shared" si="44"/>
        <v>F0-M3-A5</v>
      </c>
      <c r="DE4" t="str">
        <f t="shared" si="45"/>
        <v>F0-M3-A11</v>
      </c>
      <c r="DF4" t="str">
        <f t="shared" si="46"/>
        <v>F0-M3-A12</v>
      </c>
      <c r="DG4" t="str">
        <f t="shared" si="47"/>
        <v>F0-M3-A19</v>
      </c>
      <c r="DH4" t="str">
        <f t="shared" si="48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824" x14ac:dyDescent="0.25">
      <c r="A5" s="83" t="s">
        <v>156</v>
      </c>
      <c r="B5" s="83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s="46">
        <f t="array" ref="AD5">IF(COUNTIFS(AC$2:AC5,AC5)=1,"1",VALUE(SUBSTITUTE(INDEX(AD:AD,_xlfn.XMATCH(AC5,AC$1:AC4,0,-1)),"A",""))+INDEX(AE:AE,_xlfn.XMATCH(AC5,AC$1:AC4,0,-1))+1)</f>
        <v>19</v>
      </c>
      <c r="AE5" s="46">
        <f t="array" ref="AE5">SUM(IF(ISNUMBER(FIND("TmDi",$BE$1:$AAQ$1)),IF(IFERROR(ISNUMBER(VALUE(SUBSTITUTE($BE5:$AAQ5,"B",""))),FALSE),IF(ISNUMBER(VALUE(SUBSTITUTE($BE5:$AAQ5,"B",""))),1,0),0)))</f>
        <v>5</v>
      </c>
      <c r="AF5" t="s">
        <v>239</v>
      </c>
      <c r="AG5" t="s">
        <v>241</v>
      </c>
      <c r="AH5" t="s">
        <v>132</v>
      </c>
      <c r="AI5" s="69">
        <f t="array" ref="AI5">IF(COUNTIFS(AH$2:AH5,AH5)=1,"1",VALUE(SUBSTITUTE(INDEX(AI:AI,_xlfn.XMATCH(AH5,AH$1:AH4,0,-1)),"A",""))+INDEX(AJ:AJ,_xlfn.XMATCH(AH5,AH$1:AH4,0,-1))+1)</f>
        <v>10</v>
      </c>
      <c r="AJ5" s="69">
        <f t="array" ref="AJ5">SUM(IF(ISNUMBER(FIND("TmDo",$BE$1:$AAQ$1)),IF(IFERROR(ISNUMBER(VALUE(SUBSTITUTE($BE5:$AAQ5,"B",""))),FALSE),IF(ISNUMBER(VALUE(SUBSTITUTE($BE5:$AAQ5,"B",""))),1,0),0)))</f>
        <v>2</v>
      </c>
      <c r="AK5" t="str">
        <f t="shared" si="0"/>
        <v>10A</v>
      </c>
      <c r="AL5" t="str">
        <f t="shared" si="1"/>
        <v>10B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2"/>
        <v>XT4</v>
      </c>
      <c r="BF5" t="str">
        <f t="shared" si="3"/>
        <v>C20</v>
      </c>
      <c r="BG5" t="str">
        <f t="shared" si="4"/>
        <v>B20</v>
      </c>
      <c r="BH5" t="str">
        <f t="shared" si="5"/>
        <v>C21</v>
      </c>
      <c r="BI5" t="str">
        <f t="shared" si="6"/>
        <v>B21</v>
      </c>
      <c r="BJ5" t="str">
        <f t="shared" si="7"/>
        <v>C22</v>
      </c>
      <c r="BK5" t="str">
        <f t="shared" si="8"/>
        <v>B22</v>
      </c>
      <c r="BL5" t="str">
        <f t="shared" si="9"/>
        <v>C23</v>
      </c>
      <c r="BM5" t="str">
        <f t="shared" si="10"/>
        <v>B23</v>
      </c>
      <c r="BN5" t="str">
        <f t="shared" si="11"/>
        <v>C24</v>
      </c>
      <c r="BO5" t="str">
        <f t="shared" si="12"/>
        <v>B24</v>
      </c>
      <c r="BP5" t="str">
        <f t="shared" si="13"/>
        <v>11A</v>
      </c>
      <c r="BQ5" t="str">
        <f t="shared" si="14"/>
        <v>11B</v>
      </c>
      <c r="BR5" t="str">
        <f t="shared" si="15"/>
        <v>12A</v>
      </c>
      <c r="BS5" t="str">
        <f t="shared" si="16"/>
        <v>12B</v>
      </c>
      <c r="BT5" t="str">
        <f t="shared" si="17"/>
        <v>DI1-C19</v>
      </c>
      <c r="BU5" t="str">
        <f t="shared" si="18"/>
        <v>DI1-B19</v>
      </c>
      <c r="BV5" t="str">
        <f t="shared" si="19"/>
        <v>DI1-C20</v>
      </c>
      <c r="BW5" t="str">
        <f t="shared" si="19"/>
        <v>DI1-B20</v>
      </c>
      <c r="BX5" t="str">
        <f t="shared" si="19"/>
        <v>DI1-C21</v>
      </c>
      <c r="BY5" t="str">
        <f t="shared" si="19"/>
        <v>DI1-B21</v>
      </c>
      <c r="BZ5" t="str">
        <f t="shared" si="19"/>
        <v>DI1-C22</v>
      </c>
      <c r="CA5" t="str">
        <f t="shared" si="19"/>
        <v>DI1-B22</v>
      </c>
      <c r="CB5" t="str">
        <f t="shared" si="19"/>
        <v>DI1-C23</v>
      </c>
      <c r="CC5" t="str">
        <f t="shared" si="19"/>
        <v>DI1-B23</v>
      </c>
      <c r="CD5" t="str">
        <f t="shared" si="19"/>
        <v>DI1-C24</v>
      </c>
      <c r="CE5" t="str">
        <f t="shared" si="19"/>
        <v>DI1-B24</v>
      </c>
      <c r="CF5" t="str">
        <f t="shared" si="20"/>
        <v>DO1-10A</v>
      </c>
      <c r="CG5" t="str">
        <f t="shared" si="21"/>
        <v>DO1-10B</v>
      </c>
      <c r="CH5" t="str">
        <f t="shared" si="22"/>
        <v>DO1-11A</v>
      </c>
      <c r="CI5" t="str">
        <f t="shared" si="23"/>
        <v>DO1-11B</v>
      </c>
      <c r="CJ5" t="str">
        <f t="shared" si="24"/>
        <v>DO1-12A</v>
      </c>
      <c r="CK5" t="str">
        <f t="shared" si="25"/>
        <v>DO1-12B</v>
      </c>
      <c r="CL5" t="str">
        <f t="shared" si="27"/>
        <v>K4-10</v>
      </c>
      <c r="CM5" t="str">
        <f t="shared" si="28"/>
        <v>K4-03</v>
      </c>
      <c r="CN5" t="str">
        <f t="shared" si="29"/>
        <v>K4-04</v>
      </c>
      <c r="CO5" t="str">
        <f t="shared" si="30"/>
        <v>K4-01</v>
      </c>
      <c r="CP5" t="str">
        <f t="shared" si="31"/>
        <v>K4-08</v>
      </c>
      <c r="CQ5" t="str">
        <f t="shared" si="32"/>
        <v>K4-02</v>
      </c>
      <c r="CR5" t="str">
        <f t="shared" si="33"/>
        <v>K4-09</v>
      </c>
      <c r="CS5" t="str">
        <f t="shared" si="34"/>
        <v>K4-05</v>
      </c>
      <c r="CT5" t="str">
        <f t="shared" si="35"/>
        <v>K4-11</v>
      </c>
      <c r="CU5" t="str">
        <f t="shared" si="36"/>
        <v>F0-M4-A9</v>
      </c>
      <c r="CV5" t="str">
        <f t="shared" si="37"/>
        <v>F0-M4-A7</v>
      </c>
      <c r="CW5" t="str">
        <f t="shared" si="38"/>
        <v>F0-M4-A8</v>
      </c>
      <c r="CX5" t="str">
        <f t="shared" si="39"/>
        <v>F0-M4-A6</v>
      </c>
      <c r="CY5" t="str">
        <f t="shared" si="40"/>
        <v>F0-M4-A30</v>
      </c>
      <c r="CZ5" t="str">
        <f t="shared" si="41"/>
        <v>F0-M4-N</v>
      </c>
      <c r="DA5" t="str">
        <f t="shared" si="26"/>
        <v>F0-A220-M4</v>
      </c>
      <c r="DB5" t="str">
        <f t="shared" si="42"/>
        <v>F0-M4-XM01</v>
      </c>
      <c r="DC5" t="str">
        <f t="shared" si="43"/>
        <v>F0-M4-A1</v>
      </c>
      <c r="DD5" t="str">
        <f t="shared" si="44"/>
        <v>F0-M4-A5</v>
      </c>
      <c r="DE5" t="str">
        <f t="shared" si="45"/>
        <v>F0-M4-A11</v>
      </c>
      <c r="DF5" t="str">
        <f t="shared" si="46"/>
        <v>F0-M4-A12</v>
      </c>
      <c r="DG5" t="str">
        <f t="shared" si="47"/>
        <v>F0-M4-A19</v>
      </c>
      <c r="DH5" t="str">
        <f t="shared" si="48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824" x14ac:dyDescent="0.25">
      <c r="A6" s="83" t="s">
        <v>159</v>
      </c>
      <c r="B6" s="83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s="46">
        <f t="array" ref="AD6">IF(COUNTIFS(AC$2:AC6,AC6)=1,"1",VALUE(SUBSTITUTE(INDEX(AD:AD,_xlfn.XMATCH(AC6,AC$1:AC5,0,-1)),"A",""))+INDEX(AE:AE,_xlfn.XMATCH(AC6,AC$1:AC5,0,-1))+1)</f>
        <v>25</v>
      </c>
      <c r="AE6" s="46">
        <f t="array" ref="AE6">SUM(IF(ISNUMBER(FIND("TmDi",$BE$1:$AAQ$1)),IF(IFERROR(ISNUMBER(VALUE(SUBSTITUTE($BE6:$AAQ6,"B",""))),FALSE),IF(ISNUMBER(VALUE(SUBSTITUTE($BE6:$AAQ6,"B",""))),1,0),0)))</f>
        <v>5</v>
      </c>
      <c r="AF6" t="s">
        <v>240</v>
      </c>
      <c r="AG6" t="s">
        <v>242</v>
      </c>
      <c r="AH6" t="s">
        <v>132</v>
      </c>
      <c r="AI6" s="69">
        <f t="array" ref="AI6">IF(COUNTIFS(AH$2:AH6,AH6)=1,"1",VALUE(SUBSTITUTE(INDEX(AI:AI,_xlfn.XMATCH(AH6,AH$1:AH5,0,-1)),"A",""))+INDEX(AJ:AJ,_xlfn.XMATCH(AH6,AH$1:AH5,0,-1))+1)</f>
        <v>13</v>
      </c>
      <c r="AJ6" s="69">
        <f t="array" ref="AJ6">SUM(IF(ISNUMBER(FIND("TmDo",$BE$1:$AAQ$1)),IF(IFERROR(ISNUMBER(VALUE(SUBSTITUTE($BE6:$AAQ6,"B",""))),FALSE),IF(ISNUMBER(VALUE(SUBSTITUTE($BE6:$AAQ6,"B",""))),1,0),0)))</f>
        <v>2</v>
      </c>
      <c r="AK6" t="str">
        <f t="shared" si="0"/>
        <v>13A</v>
      </c>
      <c r="AL6" t="str">
        <f t="shared" si="1"/>
        <v>13B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2"/>
        <v>XT5</v>
      </c>
      <c r="BF6" t="str">
        <f t="shared" si="3"/>
        <v>C26</v>
      </c>
      <c r="BG6" t="str">
        <f t="shared" si="4"/>
        <v>B26</v>
      </c>
      <c r="BH6" t="str">
        <f t="shared" si="5"/>
        <v>C27</v>
      </c>
      <c r="BI6" t="str">
        <f t="shared" si="6"/>
        <v>B27</v>
      </c>
      <c r="BJ6" t="str">
        <f t="shared" si="7"/>
        <v>C28</v>
      </c>
      <c r="BK6" t="str">
        <f t="shared" si="8"/>
        <v>B28</v>
      </c>
      <c r="BL6" t="str">
        <f t="shared" si="9"/>
        <v>C29</v>
      </c>
      <c r="BM6" t="str">
        <f t="shared" si="10"/>
        <v>B29</v>
      </c>
      <c r="BN6" t="str">
        <f t="shared" si="11"/>
        <v>C30</v>
      </c>
      <c r="BO6" t="str">
        <f t="shared" si="12"/>
        <v>B30</v>
      </c>
      <c r="BP6" t="str">
        <f t="shared" si="13"/>
        <v>14A</v>
      </c>
      <c r="BQ6" t="str">
        <f t="shared" si="14"/>
        <v>14B</v>
      </c>
      <c r="BR6" t="str">
        <f t="shared" si="15"/>
        <v>15A</v>
      </c>
      <c r="BS6" t="str">
        <f t="shared" si="16"/>
        <v>15B</v>
      </c>
      <c r="BT6" t="str">
        <f t="shared" si="17"/>
        <v>DI1-C25</v>
      </c>
      <c r="BU6" t="str">
        <f t="shared" si="18"/>
        <v>DI1-B25</v>
      </c>
      <c r="BV6" t="str">
        <f t="shared" si="19"/>
        <v>DI1-C26</v>
      </c>
      <c r="BW6" t="str">
        <f t="shared" si="19"/>
        <v>DI1-B26</v>
      </c>
      <c r="BX6" t="str">
        <f t="shared" si="19"/>
        <v>DI1-C27</v>
      </c>
      <c r="BY6" t="str">
        <f t="shared" si="19"/>
        <v>DI1-B27</v>
      </c>
      <c r="BZ6" t="str">
        <f t="shared" si="19"/>
        <v>DI1-C28</v>
      </c>
      <c r="CA6" t="str">
        <f t="shared" si="19"/>
        <v>DI1-B28</v>
      </c>
      <c r="CB6" t="str">
        <f t="shared" si="19"/>
        <v>DI1-C29</v>
      </c>
      <c r="CC6" t="str">
        <f t="shared" si="19"/>
        <v>DI1-B29</v>
      </c>
      <c r="CD6" t="str">
        <f t="shared" si="19"/>
        <v>DI1-C30</v>
      </c>
      <c r="CE6" t="str">
        <f t="shared" si="19"/>
        <v>DI1-B30</v>
      </c>
      <c r="CF6" t="str">
        <f t="shared" si="20"/>
        <v>DO1-13A</v>
      </c>
      <c r="CG6" t="str">
        <f t="shared" si="21"/>
        <v>DO1-13B</v>
      </c>
      <c r="CH6" t="str">
        <f t="shared" si="22"/>
        <v>DO1-14A</v>
      </c>
      <c r="CI6" t="str">
        <f t="shared" si="23"/>
        <v>DO1-14B</v>
      </c>
      <c r="CJ6" t="str">
        <f t="shared" si="24"/>
        <v>DO1-15A</v>
      </c>
      <c r="CK6" t="str">
        <f t="shared" si="25"/>
        <v>DO1-15B</v>
      </c>
      <c r="CL6" t="str">
        <f t="shared" si="27"/>
        <v>K5-10</v>
      </c>
      <c r="CM6" t="str">
        <f t="shared" si="28"/>
        <v>K5-03</v>
      </c>
      <c r="CN6" t="str">
        <f t="shared" si="29"/>
        <v>K5-04</v>
      </c>
      <c r="CO6" t="str">
        <f t="shared" si="30"/>
        <v>K5-01</v>
      </c>
      <c r="CP6" t="str">
        <f t="shared" si="31"/>
        <v>K5-08</v>
      </c>
      <c r="CQ6" t="str">
        <f t="shared" si="32"/>
        <v>K5-02</v>
      </c>
      <c r="CR6" t="str">
        <f t="shared" si="33"/>
        <v>K5-09</v>
      </c>
      <c r="CS6" t="str">
        <f t="shared" si="34"/>
        <v>K5-05</v>
      </c>
      <c r="CT6" t="str">
        <f t="shared" si="35"/>
        <v>K5-11</v>
      </c>
      <c r="CU6" t="str">
        <f t="shared" si="36"/>
        <v>F0-M5-A9</v>
      </c>
      <c r="CV6" t="str">
        <f t="shared" si="37"/>
        <v>F0-M5-A7</v>
      </c>
      <c r="CW6" t="str">
        <f t="shared" si="38"/>
        <v>F0-M5-A8</v>
      </c>
      <c r="CX6" t="str">
        <f t="shared" si="39"/>
        <v>F0-M5-A6</v>
      </c>
      <c r="CY6" t="str">
        <f t="shared" si="40"/>
        <v>F0-M5-A30</v>
      </c>
      <c r="CZ6" t="str">
        <f t="shared" si="41"/>
        <v>F0-M5-N</v>
      </c>
      <c r="DA6" t="str">
        <f t="shared" si="26"/>
        <v>F0-A220-M5</v>
      </c>
      <c r="DB6" t="str">
        <f t="shared" si="42"/>
        <v>F0-M5-XM01</v>
      </c>
      <c r="DC6" t="str">
        <f t="shared" si="43"/>
        <v>F0-M5-A1</v>
      </c>
      <c r="DD6" t="str">
        <f t="shared" si="44"/>
        <v>F0-M5-A5</v>
      </c>
      <c r="DE6" t="str">
        <f t="shared" si="45"/>
        <v>F0-M5-A11</v>
      </c>
      <c r="DF6" t="str">
        <f t="shared" si="46"/>
        <v>F0-M5-A12</v>
      </c>
      <c r="DG6" t="str">
        <f t="shared" si="47"/>
        <v>F0-M5-A19</v>
      </c>
      <c r="DH6" t="str">
        <f t="shared" si="48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824" x14ac:dyDescent="0.25">
      <c r="A7" s="83" t="s">
        <v>162</v>
      </c>
      <c r="B7" s="83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s="46" t="str">
        <f t="array" ref="AD7">IF(COUNTIFS(AC$2:AC7,AC7)=1,"1",VALUE(SUBSTITUTE(INDEX(AD:AD,_xlfn.XMATCH(AC7,AC$1:AC6,0,-1)),"A",""))+INDEX(AE:AE,_xlfn.XMATCH(AC7,AC$1:AC6,0,-1))+1)</f>
        <v>1</v>
      </c>
      <c r="AE7" s="46">
        <f t="array" ref="AE7">SUM(IF(ISNUMBER(FIND("TmDi",$BE$1:$AAQ$1)),IF(IFERROR(ISNUMBER(VALUE(SUBSTITUTE($BE7:$AAQ7,"B",""))),FALSE),IF(ISNUMBER(VALUE(SUBSTITUTE($BE7:$AAQ7,"B",""))),1,0),0)))</f>
        <v>5</v>
      </c>
      <c r="AF7" t="s">
        <v>133</v>
      </c>
      <c r="AG7" t="s">
        <v>134</v>
      </c>
      <c r="AH7" t="s">
        <v>132</v>
      </c>
      <c r="AI7" s="69">
        <f t="array" ref="AI7">IF(COUNTIFS(AH$2:AH7,AH7)=1,"1",VALUE(SUBSTITUTE(INDEX(AI:AI,_xlfn.XMATCH(AH7,AH$1:AH6,0,-1)),"A",""))+INDEX(AJ:AJ,_xlfn.XMATCH(AH7,AH$1:AH6,0,-1))+1)</f>
        <v>16</v>
      </c>
      <c r="AJ7" s="69">
        <f t="array" ref="AJ7">SUM(IF(ISNUMBER(FIND("TmDo",$BE$1:$AAQ$1)),IF(IFERROR(ISNUMBER(VALUE(SUBSTITUTE($BE7:$AAQ7,"B",""))),FALSE),IF(ISNUMBER(VALUE(SUBSTITUTE($BE7:$AAQ7,"B",""))),1,0),0)))</f>
        <v>2</v>
      </c>
      <c r="AK7" t="str">
        <f t="shared" si="0"/>
        <v>16A</v>
      </c>
      <c r="AL7" t="str">
        <f t="shared" si="1"/>
        <v>16B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2"/>
        <v>XT6</v>
      </c>
      <c r="BF7" t="str">
        <f t="shared" si="3"/>
        <v>C2</v>
      </c>
      <c r="BG7" t="str">
        <f t="shared" si="4"/>
        <v>B2</v>
      </c>
      <c r="BH7" t="str">
        <f t="shared" si="5"/>
        <v>C3</v>
      </c>
      <c r="BI7" t="str">
        <f t="shared" si="6"/>
        <v>B3</v>
      </c>
      <c r="BJ7" t="str">
        <f t="shared" si="7"/>
        <v>C4</v>
      </c>
      <c r="BK7" t="str">
        <f t="shared" si="8"/>
        <v>B4</v>
      </c>
      <c r="BL7" t="str">
        <f t="shared" si="9"/>
        <v>C5</v>
      </c>
      <c r="BM7" t="str">
        <f t="shared" si="10"/>
        <v>B5</v>
      </c>
      <c r="BN7" t="str">
        <f t="shared" si="11"/>
        <v>C6</v>
      </c>
      <c r="BO7" t="str">
        <f t="shared" si="12"/>
        <v>B6</v>
      </c>
      <c r="BP7" t="str">
        <f t="shared" si="13"/>
        <v>17A</v>
      </c>
      <c r="BQ7" t="str">
        <f t="shared" si="14"/>
        <v>17B</v>
      </c>
      <c r="BR7" t="str">
        <f t="shared" si="15"/>
        <v>18A</v>
      </c>
      <c r="BS7" t="str">
        <f t="shared" si="16"/>
        <v>18B</v>
      </c>
      <c r="BT7" t="str">
        <f t="shared" si="17"/>
        <v>DI2-C1</v>
      </c>
      <c r="BU7" t="str">
        <f t="shared" si="18"/>
        <v>DI2-B1</v>
      </c>
      <c r="BV7" t="str">
        <f t="shared" si="19"/>
        <v>DI2-C2</v>
      </c>
      <c r="BW7" t="str">
        <f t="shared" si="19"/>
        <v>DI2-B2</v>
      </c>
      <c r="BX7" t="str">
        <f t="shared" si="19"/>
        <v>DI2-C3</v>
      </c>
      <c r="BY7" t="str">
        <f t="shared" si="19"/>
        <v>DI2-B3</v>
      </c>
      <c r="BZ7" t="str">
        <f t="shared" si="19"/>
        <v>DI2-C4</v>
      </c>
      <c r="CA7" t="str">
        <f t="shared" si="19"/>
        <v>DI2-B4</v>
      </c>
      <c r="CB7" t="str">
        <f t="shared" si="19"/>
        <v>DI2-C5</v>
      </c>
      <c r="CC7" t="str">
        <f t="shared" si="19"/>
        <v>DI2-B5</v>
      </c>
      <c r="CD7" t="str">
        <f t="shared" si="19"/>
        <v>DI2-C6</v>
      </c>
      <c r="CE7" t="str">
        <f t="shared" si="19"/>
        <v>DI2-B6</v>
      </c>
      <c r="CF7" t="str">
        <f t="shared" si="20"/>
        <v>DO1-16A</v>
      </c>
      <c r="CG7" t="str">
        <f t="shared" si="21"/>
        <v>DO1-16B</v>
      </c>
      <c r="CH7" t="str">
        <f t="shared" si="22"/>
        <v>DO1-17A</v>
      </c>
      <c r="CI7" t="str">
        <f t="shared" si="23"/>
        <v>DO1-17B</v>
      </c>
      <c r="CJ7" t="str">
        <f t="shared" si="24"/>
        <v>DO1-18A</v>
      </c>
      <c r="CK7" t="str">
        <f t="shared" si="25"/>
        <v>DO1-18B</v>
      </c>
      <c r="CL7" t="str">
        <f t="shared" si="27"/>
        <v>K6-10</v>
      </c>
      <c r="CM7" t="str">
        <f t="shared" si="28"/>
        <v>K6-03</v>
      </c>
      <c r="CN7" t="str">
        <f t="shared" si="29"/>
        <v>K6-04</v>
      </c>
      <c r="CO7" t="str">
        <f t="shared" si="30"/>
        <v>K6-01</v>
      </c>
      <c r="CP7" t="str">
        <f t="shared" si="31"/>
        <v>K6-08</v>
      </c>
      <c r="CQ7" t="str">
        <f t="shared" si="32"/>
        <v>K6-02</v>
      </c>
      <c r="CR7" t="str">
        <f t="shared" si="33"/>
        <v>K6-09</v>
      </c>
      <c r="CS7" t="str">
        <f t="shared" si="34"/>
        <v>K6-05</v>
      </c>
      <c r="CT7" t="str">
        <f t="shared" si="35"/>
        <v>K6-11</v>
      </c>
      <c r="CU7" t="str">
        <f t="shared" si="36"/>
        <v>F0-M6-A9</v>
      </c>
      <c r="CV7" t="str">
        <f t="shared" si="37"/>
        <v>F0-M6-A7</v>
      </c>
      <c r="CW7" t="str">
        <f t="shared" si="38"/>
        <v>F0-M6-A8</v>
      </c>
      <c r="CX7" t="str">
        <f t="shared" si="39"/>
        <v>F0-M6-A6</v>
      </c>
      <c r="CY7" t="str">
        <f t="shared" si="40"/>
        <v>F0-M6-A30</v>
      </c>
      <c r="CZ7" t="str">
        <f t="shared" si="41"/>
        <v>F0-M6-N</v>
      </c>
      <c r="DA7" t="str">
        <f t="shared" si="26"/>
        <v>F0-A220-M6</v>
      </c>
      <c r="DB7" t="str">
        <f t="shared" si="42"/>
        <v>F0-M6-XM01</v>
      </c>
      <c r="DC7" t="str">
        <f t="shared" si="43"/>
        <v>F0-M6-A1</v>
      </c>
      <c r="DD7" t="str">
        <f t="shared" si="44"/>
        <v>F0-M6-A5</v>
      </c>
      <c r="DE7" t="str">
        <f t="shared" si="45"/>
        <v>F0-M6-A11</v>
      </c>
      <c r="DF7" t="str">
        <f t="shared" si="46"/>
        <v>F0-M6-A12</v>
      </c>
      <c r="DG7" t="str">
        <f t="shared" si="47"/>
        <v>F0-M6-A19</v>
      </c>
      <c r="DH7" t="str">
        <f t="shared" si="48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824" x14ac:dyDescent="0.25">
      <c r="A8" s="83" t="s">
        <v>164</v>
      </c>
      <c r="B8" s="83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s="46">
        <f t="array" ref="AD8">IF(COUNTIFS(AC$2:AC8,AC8)=1,"1",VALUE(SUBSTITUTE(INDEX(AD:AD,_xlfn.XMATCH(AC8,AC$1:AC7,0,-1)),"A",""))+INDEX(AE:AE,_xlfn.XMATCH(AC8,AC$1:AC7,0,-1))+1)</f>
        <v>7</v>
      </c>
      <c r="AE8" s="46">
        <f t="array" ref="AE8">SUM(IF(ISNUMBER(FIND("TmDi",$BE$1:$AAQ$1)),IF(IFERROR(ISNUMBER(VALUE(SUBSTITUTE($BE8:$AAQ8,"B",""))),FALSE),IF(ISNUMBER(VALUE(SUBSTITUTE($BE8:$AAQ8,"B",""))),1,0),0)))</f>
        <v>5</v>
      </c>
      <c r="AF8" t="s">
        <v>148</v>
      </c>
      <c r="AG8" t="s">
        <v>149</v>
      </c>
      <c r="AH8" t="s">
        <v>132</v>
      </c>
      <c r="AI8" s="69">
        <f t="array" ref="AI8">IF(COUNTIFS(AH$2:AH8,AH8)=1,"1",VALUE(SUBSTITUTE(INDEX(AI:AI,_xlfn.XMATCH(AH8,AH$1:AH7,0,-1)),"A",""))+INDEX(AJ:AJ,_xlfn.XMATCH(AH8,AH$1:AH7,0,-1))+1)</f>
        <v>19</v>
      </c>
      <c r="AJ8" s="69">
        <f t="array" ref="AJ8">SUM(IF(ISNUMBER(FIND("TmDo",$BE$1:$AAQ$1)),IF(IFERROR(ISNUMBER(VALUE(SUBSTITUTE($BE8:$AAQ8,"B",""))),FALSE),IF(ISNUMBER(VALUE(SUBSTITUTE($BE8:$AAQ8,"B",""))),1,0),0)))</f>
        <v>2</v>
      </c>
      <c r="AK8" t="str">
        <f t="shared" si="0"/>
        <v>19A</v>
      </c>
      <c r="AL8" t="str">
        <f t="shared" si="1"/>
        <v>19B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2"/>
        <v>XT7</v>
      </c>
      <c r="BF8" t="str">
        <f t="shared" si="3"/>
        <v>C8</v>
      </c>
      <c r="BG8" t="str">
        <f t="shared" si="4"/>
        <v>B8</v>
      </c>
      <c r="BH8" t="str">
        <f t="shared" si="5"/>
        <v>C9</v>
      </c>
      <c r="BI8" t="str">
        <f t="shared" si="6"/>
        <v>B9</v>
      </c>
      <c r="BJ8" t="str">
        <f t="shared" si="7"/>
        <v>C10</v>
      </c>
      <c r="BK8" t="str">
        <f t="shared" si="8"/>
        <v>B10</v>
      </c>
      <c r="BL8" t="str">
        <f t="shared" si="9"/>
        <v>C11</v>
      </c>
      <c r="BM8" t="str">
        <f t="shared" si="10"/>
        <v>B11</v>
      </c>
      <c r="BN8" t="str">
        <f t="shared" si="11"/>
        <v>C12</v>
      </c>
      <c r="BO8" t="str">
        <f t="shared" si="12"/>
        <v>B12</v>
      </c>
      <c r="BP8" t="str">
        <f t="shared" si="13"/>
        <v>20A</v>
      </c>
      <c r="BQ8" t="str">
        <f t="shared" si="14"/>
        <v>20B</v>
      </c>
      <c r="BR8" t="str">
        <f t="shared" si="15"/>
        <v>21A</v>
      </c>
      <c r="BS8" t="str">
        <f t="shared" si="16"/>
        <v>21B</v>
      </c>
      <c r="BT8" t="str">
        <f t="shared" si="17"/>
        <v>DI2-C7</v>
      </c>
      <c r="BU8" t="str">
        <f t="shared" si="18"/>
        <v>DI2-B7</v>
      </c>
      <c r="BV8" t="str">
        <f t="shared" si="19"/>
        <v>DI2-C8</v>
      </c>
      <c r="BW8" t="str">
        <f t="shared" si="19"/>
        <v>DI2-B8</v>
      </c>
      <c r="BX8" t="str">
        <f t="shared" si="19"/>
        <v>DI2-C9</v>
      </c>
      <c r="BY8" t="str">
        <f t="shared" si="19"/>
        <v>DI2-B9</v>
      </c>
      <c r="BZ8" t="str">
        <f t="shared" si="19"/>
        <v>DI2-C10</v>
      </c>
      <c r="CA8" t="str">
        <f t="shared" si="19"/>
        <v>DI2-B10</v>
      </c>
      <c r="CB8" t="str">
        <f t="shared" si="19"/>
        <v>DI2-C11</v>
      </c>
      <c r="CC8" t="str">
        <f t="shared" si="19"/>
        <v>DI2-B11</v>
      </c>
      <c r="CD8" t="str">
        <f t="shared" si="19"/>
        <v>DI2-C12</v>
      </c>
      <c r="CE8" t="str">
        <f t="shared" si="19"/>
        <v>DI2-B12</v>
      </c>
      <c r="CF8" t="str">
        <f t="shared" si="20"/>
        <v>DO1-19A</v>
      </c>
      <c r="CG8" t="str">
        <f t="shared" si="21"/>
        <v>DO1-19B</v>
      </c>
      <c r="CH8" t="str">
        <f t="shared" si="22"/>
        <v>DO1-20A</v>
      </c>
      <c r="CI8" t="str">
        <f t="shared" si="23"/>
        <v>DO1-20B</v>
      </c>
      <c r="CJ8" t="str">
        <f t="shared" si="24"/>
        <v>DO1-21A</v>
      </c>
      <c r="CK8" t="str">
        <f t="shared" si="25"/>
        <v>DO1-21B</v>
      </c>
      <c r="CL8" t="str">
        <f t="shared" si="27"/>
        <v>K7-10</v>
      </c>
      <c r="CM8" t="str">
        <f t="shared" si="28"/>
        <v>K7-03</v>
      </c>
      <c r="CN8" t="str">
        <f t="shared" si="29"/>
        <v>K7-04</v>
      </c>
      <c r="CO8" t="str">
        <f t="shared" si="30"/>
        <v>K7-01</v>
      </c>
      <c r="CP8" t="str">
        <f t="shared" si="31"/>
        <v>K7-08</v>
      </c>
      <c r="CQ8" t="str">
        <f t="shared" si="32"/>
        <v>K7-02</v>
      </c>
      <c r="CR8" t="str">
        <f t="shared" si="33"/>
        <v>K7-09</v>
      </c>
      <c r="CS8" t="str">
        <f t="shared" si="34"/>
        <v>K7-05</v>
      </c>
      <c r="CT8" t="str">
        <f t="shared" si="35"/>
        <v>K7-11</v>
      </c>
      <c r="CU8" t="str">
        <f t="shared" si="36"/>
        <v>F0-M7-A9</v>
      </c>
      <c r="CV8" t="str">
        <f t="shared" si="37"/>
        <v>F0-M7-A7</v>
      </c>
      <c r="CW8" t="str">
        <f t="shared" si="38"/>
        <v>F0-M7-A8</v>
      </c>
      <c r="CX8" t="str">
        <f t="shared" si="39"/>
        <v>F0-M7-A6</v>
      </c>
      <c r="CY8" t="str">
        <f t="shared" si="40"/>
        <v>F0-M7-A30</v>
      </c>
      <c r="CZ8" t="str">
        <f t="shared" si="41"/>
        <v>F0-M7-N</v>
      </c>
      <c r="DA8" t="str">
        <f t="shared" si="26"/>
        <v>F0-A220-M7</v>
      </c>
      <c r="DB8" t="str">
        <f t="shared" si="42"/>
        <v>F0-M7-XM01</v>
      </c>
      <c r="DC8" t="str">
        <f t="shared" si="43"/>
        <v>F0-M7-A1</v>
      </c>
      <c r="DD8" t="str">
        <f t="shared" si="44"/>
        <v>F0-M7-A5</v>
      </c>
      <c r="DE8" t="str">
        <f t="shared" si="45"/>
        <v>F0-M7-A11</v>
      </c>
      <c r="DF8" t="str">
        <f t="shared" si="46"/>
        <v>F0-M7-A12</v>
      </c>
      <c r="DG8" t="str">
        <f t="shared" si="47"/>
        <v>F0-M7-A19</v>
      </c>
      <c r="DH8" t="str">
        <f t="shared" si="48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824" x14ac:dyDescent="0.25">
      <c r="A9" s="83" t="s">
        <v>167</v>
      </c>
      <c r="B9" s="83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s="46">
        <f t="array" ref="AD9">IF(COUNTIFS(AC$2:AC9,AC9)=1,"1",VALUE(SUBSTITUTE(INDEX(AD:AD,_xlfn.XMATCH(AC9,AC$1:AC8,0,-1)),"A",""))+INDEX(AE:AE,_xlfn.XMATCH(AC9,AC$1:AC8,0,-1))+1)</f>
        <v>13</v>
      </c>
      <c r="AE9" s="46">
        <f t="array" ref="AE9">SUM(IF(ISNUMBER(FIND("TmDi",$BE$1:$AAQ$1)),IF(IFERROR(ISNUMBER(VALUE(SUBSTITUTE($BE9:$AAQ9,"B",""))),FALSE),IF(ISNUMBER(VALUE(SUBSTITUTE($BE9:$AAQ9,"B",""))),1,0),0)))</f>
        <v>5</v>
      </c>
      <c r="AF9" t="s">
        <v>153</v>
      </c>
      <c r="AG9" t="s">
        <v>154</v>
      </c>
      <c r="AH9" t="s">
        <v>132</v>
      </c>
      <c r="AI9" s="69">
        <f t="array" ref="AI9">IF(COUNTIFS(AH$2:AH9,AH9)=1,"1",VALUE(SUBSTITUTE(INDEX(AI:AI,_xlfn.XMATCH(AH9,AH$1:AH8,0,-1)),"A",""))+INDEX(AJ:AJ,_xlfn.XMATCH(AH9,AH$1:AH8,0,-1))+1)</f>
        <v>22</v>
      </c>
      <c r="AJ9" s="69">
        <f t="array" ref="AJ9">SUM(IF(ISNUMBER(FIND("TmDo",$BE$1:$AAQ$1)),IF(IFERROR(ISNUMBER(VALUE(SUBSTITUTE($BE9:$AAQ9,"B",""))),FALSE),IF(ISNUMBER(VALUE(SUBSTITUTE($BE9:$AAQ9,"B",""))),1,0),0)))</f>
        <v>2</v>
      </c>
      <c r="AK9" t="str">
        <f t="shared" si="0"/>
        <v>22A</v>
      </c>
      <c r="AL9" t="str">
        <f t="shared" si="1"/>
        <v>22B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2"/>
        <v>XT8</v>
      </c>
      <c r="BF9" t="str">
        <f t="shared" si="3"/>
        <v>C14</v>
      </c>
      <c r="BG9" t="str">
        <f t="shared" si="4"/>
        <v>B14</v>
      </c>
      <c r="BH9" t="str">
        <f t="shared" si="5"/>
        <v>C15</v>
      </c>
      <c r="BI9" t="str">
        <f t="shared" si="6"/>
        <v>B15</v>
      </c>
      <c r="BJ9" t="str">
        <f t="shared" si="7"/>
        <v>C16</v>
      </c>
      <c r="BK9" t="str">
        <f t="shared" si="8"/>
        <v>B16</v>
      </c>
      <c r="BL9" t="str">
        <f t="shared" si="9"/>
        <v>C17</v>
      </c>
      <c r="BM9" t="str">
        <f t="shared" si="10"/>
        <v>B17</v>
      </c>
      <c r="BN9" t="str">
        <f t="shared" si="11"/>
        <v>C18</v>
      </c>
      <c r="BO9" t="str">
        <f t="shared" si="12"/>
        <v>B18</v>
      </c>
      <c r="BP9" t="str">
        <f t="shared" si="13"/>
        <v>23A</v>
      </c>
      <c r="BQ9" t="str">
        <f t="shared" si="14"/>
        <v>23B</v>
      </c>
      <c r="BR9" t="str">
        <f t="shared" si="15"/>
        <v>24A</v>
      </c>
      <c r="BS9" t="str">
        <f t="shared" si="16"/>
        <v>24B</v>
      </c>
      <c r="BT9" t="str">
        <f t="shared" si="17"/>
        <v>DI2-C13</v>
      </c>
      <c r="BU9" t="str">
        <f t="shared" si="18"/>
        <v>DI2-B13</v>
      </c>
      <c r="BV9" t="str">
        <f t="shared" si="19"/>
        <v>DI2-C14</v>
      </c>
      <c r="BW9" t="str">
        <f t="shared" si="19"/>
        <v>DI2-B14</v>
      </c>
      <c r="BX9" t="str">
        <f t="shared" si="19"/>
        <v>DI2-C15</v>
      </c>
      <c r="BY9" t="str">
        <f t="shared" si="19"/>
        <v>DI2-B15</v>
      </c>
      <c r="BZ9" t="str">
        <f t="shared" si="19"/>
        <v>DI2-C16</v>
      </c>
      <c r="CA9" t="str">
        <f t="shared" si="19"/>
        <v>DI2-B16</v>
      </c>
      <c r="CB9" t="str">
        <f t="shared" si="19"/>
        <v>DI2-C17</v>
      </c>
      <c r="CC9" t="str">
        <f t="shared" si="19"/>
        <v>DI2-B17</v>
      </c>
      <c r="CD9" t="str">
        <f t="shared" si="19"/>
        <v>DI2-C18</v>
      </c>
      <c r="CE9" t="str">
        <f t="shared" si="19"/>
        <v>DI2-B18</v>
      </c>
      <c r="CF9" t="str">
        <f t="shared" si="20"/>
        <v>DO1-22A</v>
      </c>
      <c r="CG9" t="str">
        <f t="shared" si="21"/>
        <v>DO1-22B</v>
      </c>
      <c r="CH9" t="str">
        <f t="shared" si="22"/>
        <v>DO1-23A</v>
      </c>
      <c r="CI9" t="str">
        <f t="shared" si="23"/>
        <v>DO1-23B</v>
      </c>
      <c r="CJ9" t="str">
        <f t="shared" si="24"/>
        <v>DO1-24A</v>
      </c>
      <c r="CK9" t="str">
        <f t="shared" si="25"/>
        <v>DO1-24B</v>
      </c>
      <c r="CL9" t="str">
        <f t="shared" si="27"/>
        <v>K8-10</v>
      </c>
      <c r="CM9" t="str">
        <f t="shared" si="28"/>
        <v>K8-03</v>
      </c>
      <c r="CN9" t="str">
        <f t="shared" si="29"/>
        <v>K8-04</v>
      </c>
      <c r="CO9" t="str">
        <f t="shared" si="30"/>
        <v>K8-01</v>
      </c>
      <c r="CP9" t="str">
        <f t="shared" si="31"/>
        <v>K8-08</v>
      </c>
      <c r="CQ9" t="str">
        <f t="shared" si="32"/>
        <v>K8-02</v>
      </c>
      <c r="CR9" t="str">
        <f t="shared" si="33"/>
        <v>K8-09</v>
      </c>
      <c r="CS9" t="str">
        <f t="shared" si="34"/>
        <v>K8-05</v>
      </c>
      <c r="CT9" t="str">
        <f t="shared" si="35"/>
        <v>K8-11</v>
      </c>
      <c r="CU9" t="str">
        <f t="shared" si="36"/>
        <v>F0-M8-A9</v>
      </c>
      <c r="CV9" t="str">
        <f t="shared" si="37"/>
        <v>F0-M8-A7</v>
      </c>
      <c r="CW9" t="str">
        <f t="shared" si="38"/>
        <v>F0-M8-A8</v>
      </c>
      <c r="CX9" t="str">
        <f t="shared" si="39"/>
        <v>F0-M8-A6</v>
      </c>
      <c r="CY9" t="str">
        <f t="shared" si="40"/>
        <v>F0-M8-A30</v>
      </c>
      <c r="CZ9" t="str">
        <f t="shared" si="41"/>
        <v>F0-M8-N</v>
      </c>
      <c r="DA9" t="str">
        <f t="shared" si="26"/>
        <v>F0-A220-M8</v>
      </c>
      <c r="DB9" t="str">
        <f t="shared" si="42"/>
        <v>F0-M8-XM01</v>
      </c>
      <c r="DC9" t="str">
        <f t="shared" si="43"/>
        <v>F0-M8-A1</v>
      </c>
      <c r="DD9" t="str">
        <f t="shared" si="44"/>
        <v>F0-M8-A5</v>
      </c>
      <c r="DE9" t="str">
        <f t="shared" si="45"/>
        <v>F0-M8-A11</v>
      </c>
      <c r="DF9" t="str">
        <f t="shared" si="46"/>
        <v>F0-M8-A12</v>
      </c>
      <c r="DG9" t="str">
        <f t="shared" si="47"/>
        <v>F0-M8-A19</v>
      </c>
      <c r="DH9" t="str">
        <f t="shared" si="48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824" x14ac:dyDescent="0.25">
      <c r="A10" s="83" t="s">
        <v>170</v>
      </c>
      <c r="B10" s="83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s="46">
        <f t="array" ref="AD10">IF(COUNTIFS(AC$2:AC10,AC10)=1,"1",VALUE(SUBSTITUTE(INDEX(AD:AD,_xlfn.XMATCH(AC10,AC$1:AC9,0,-1)),"A",""))+INDEX(AE:AE,_xlfn.XMATCH(AC10,AC$1:AC9,0,-1))+1)</f>
        <v>19</v>
      </c>
      <c r="AE10" s="46">
        <f t="array" ref="AE10">SUM(IF(ISNUMBER(FIND("TmDi",$BE$1:$AAQ$1)),IF(IFERROR(ISNUMBER(VALUE(SUBSTITUTE($BE10:$AAQ10,"B",""))),FALSE),IF(ISNUMBER(VALUE(SUBSTITUTE($BE10:$AAQ10,"B",""))),1,0),0)))</f>
        <v>5</v>
      </c>
      <c r="AF10" t="s">
        <v>239</v>
      </c>
      <c r="AG10" t="s">
        <v>241</v>
      </c>
      <c r="AH10" t="s">
        <v>132</v>
      </c>
      <c r="AI10" s="69">
        <f t="array" ref="AI10">IF(COUNTIFS(AH$2:AH10,AH10)=1,"1",VALUE(SUBSTITUTE(INDEX(AI:AI,_xlfn.XMATCH(AH10,AH$1:AH9,0,-1)),"A",""))+INDEX(AJ:AJ,_xlfn.XMATCH(AH10,AH$1:AH9,0,-1))+1)</f>
        <v>25</v>
      </c>
      <c r="AJ10" s="69">
        <f t="array" ref="AJ10">SUM(IF(ISNUMBER(FIND("TmDo",$BE$1:$AAQ$1)),IF(IFERROR(ISNUMBER(VALUE(SUBSTITUTE($BE10:$AAQ10,"B",""))),FALSE),IF(ISNUMBER(VALUE(SUBSTITUTE($BE10:$AAQ10,"B",""))),1,0),0)))</f>
        <v>2</v>
      </c>
      <c r="AK10" t="str">
        <f t="shared" si="0"/>
        <v>25A</v>
      </c>
      <c r="AL10" t="str">
        <f t="shared" si="1"/>
        <v>25B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2"/>
        <v>XT9</v>
      </c>
      <c r="BF10" t="str">
        <f t="shared" si="3"/>
        <v>C20</v>
      </c>
      <c r="BG10" t="str">
        <f t="shared" si="4"/>
        <v>B20</v>
      </c>
      <c r="BH10" t="str">
        <f t="shared" si="5"/>
        <v>C21</v>
      </c>
      <c r="BI10" t="str">
        <f t="shared" si="6"/>
        <v>B21</v>
      </c>
      <c r="BJ10" t="str">
        <f t="shared" si="7"/>
        <v>C22</v>
      </c>
      <c r="BK10" t="str">
        <f t="shared" si="8"/>
        <v>B22</v>
      </c>
      <c r="BL10" t="str">
        <f t="shared" si="9"/>
        <v>C23</v>
      </c>
      <c r="BM10" t="str">
        <f t="shared" si="10"/>
        <v>B23</v>
      </c>
      <c r="BN10" t="str">
        <f t="shared" si="11"/>
        <v>C24</v>
      </c>
      <c r="BO10" t="str">
        <f t="shared" si="12"/>
        <v>B24</v>
      </c>
      <c r="BP10" t="str">
        <f t="shared" si="13"/>
        <v>26A</v>
      </c>
      <c r="BQ10" t="str">
        <f t="shared" si="14"/>
        <v>26B</v>
      </c>
      <c r="BR10" t="str">
        <f t="shared" si="15"/>
        <v>27A</v>
      </c>
      <c r="BS10" t="str">
        <f t="shared" si="16"/>
        <v>27B</v>
      </c>
      <c r="BT10" t="str">
        <f t="shared" si="17"/>
        <v>DI2-C19</v>
      </c>
      <c r="BU10" t="str">
        <f t="shared" si="18"/>
        <v>DI2-B19</v>
      </c>
      <c r="BV10" t="str">
        <f t="shared" si="19"/>
        <v>DI2-C20</v>
      </c>
      <c r="BW10" t="str">
        <f t="shared" si="19"/>
        <v>DI2-B20</v>
      </c>
      <c r="BX10" t="str">
        <f t="shared" si="19"/>
        <v>DI2-C21</v>
      </c>
      <c r="BY10" t="str">
        <f t="shared" si="19"/>
        <v>DI2-B21</v>
      </c>
      <c r="BZ10" t="str">
        <f t="shared" si="19"/>
        <v>DI2-C22</v>
      </c>
      <c r="CA10" t="str">
        <f t="shared" si="19"/>
        <v>DI2-B22</v>
      </c>
      <c r="CB10" t="str">
        <f t="shared" si="19"/>
        <v>DI2-C23</v>
      </c>
      <c r="CC10" t="str">
        <f t="shared" si="19"/>
        <v>DI2-B23</v>
      </c>
      <c r="CD10" t="str">
        <f t="shared" si="19"/>
        <v>DI2-C24</v>
      </c>
      <c r="CE10" t="str">
        <f t="shared" si="19"/>
        <v>DI2-B24</v>
      </c>
      <c r="CF10" t="str">
        <f t="shared" si="20"/>
        <v>DO1-25A</v>
      </c>
      <c r="CG10" t="str">
        <f t="shared" si="21"/>
        <v>DO1-25B</v>
      </c>
      <c r="CH10" t="str">
        <f t="shared" si="22"/>
        <v>DO1-26A</v>
      </c>
      <c r="CI10" t="str">
        <f t="shared" si="23"/>
        <v>DO1-26B</v>
      </c>
      <c r="CJ10" t="str">
        <f t="shared" si="24"/>
        <v>DO1-27A</v>
      </c>
      <c r="CK10" t="str">
        <f t="shared" si="25"/>
        <v>DO1-27B</v>
      </c>
      <c r="CL10" t="str">
        <f t="shared" si="27"/>
        <v>K9-10</v>
      </c>
      <c r="CM10" t="str">
        <f t="shared" si="28"/>
        <v>K9-03</v>
      </c>
      <c r="CN10" t="str">
        <f t="shared" si="29"/>
        <v>K9-04</v>
      </c>
      <c r="CO10" t="str">
        <f t="shared" si="30"/>
        <v>K9-01</v>
      </c>
      <c r="CP10" t="str">
        <f t="shared" si="31"/>
        <v>K9-08</v>
      </c>
      <c r="CQ10" t="str">
        <f t="shared" si="32"/>
        <v>K9-02</v>
      </c>
      <c r="CR10" t="str">
        <f t="shared" si="33"/>
        <v>K9-09</v>
      </c>
      <c r="CS10" t="str">
        <f t="shared" si="34"/>
        <v>K9-05</v>
      </c>
      <c r="CT10" t="str">
        <f t="shared" si="35"/>
        <v>K9-11</v>
      </c>
      <c r="CU10" t="str">
        <f t="shared" si="36"/>
        <v>F0-M9-A9</v>
      </c>
      <c r="CV10" t="str">
        <f t="shared" si="37"/>
        <v>F0-M9-A7</v>
      </c>
      <c r="CW10" t="str">
        <f t="shared" si="38"/>
        <v>F0-M9-A8</v>
      </c>
      <c r="CX10" t="str">
        <f t="shared" si="39"/>
        <v>F0-M9-A6</v>
      </c>
      <c r="CY10" t="str">
        <f t="shared" si="40"/>
        <v>F0-M9-A30</v>
      </c>
      <c r="CZ10" t="str">
        <f t="shared" si="41"/>
        <v>F0-M9-N</v>
      </c>
      <c r="DA10" t="str">
        <f t="shared" si="26"/>
        <v>F0-A220-M9</v>
      </c>
      <c r="DB10" t="str">
        <f t="shared" si="42"/>
        <v>F0-M9-XM01</v>
      </c>
      <c r="DC10" t="str">
        <f t="shared" si="43"/>
        <v>F0-M9-A1</v>
      </c>
      <c r="DD10" t="str">
        <f t="shared" si="44"/>
        <v>F0-M9-A5</v>
      </c>
      <c r="DE10" t="str">
        <f t="shared" si="45"/>
        <v>F0-M9-A11</v>
      </c>
      <c r="DF10" t="str">
        <f t="shared" si="46"/>
        <v>F0-M9-A12</v>
      </c>
      <c r="DG10" t="str">
        <f t="shared" si="47"/>
        <v>F0-M9-A19</v>
      </c>
      <c r="DH10" t="str">
        <f t="shared" si="48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824" x14ac:dyDescent="0.25">
      <c r="A11" s="83" t="s">
        <v>173</v>
      </c>
      <c r="B11" s="83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s="46">
        <f t="array" ref="AD11">IF(COUNTIFS(AC$2:AC11,AC11)=1,"1",VALUE(SUBSTITUTE(INDEX(AD:AD,_xlfn.XMATCH(AC11,AC$1:AC10,0,-1)),"A",""))+INDEX(AE:AE,_xlfn.XMATCH(AC11,AC$1:AC10,0,-1))+1)</f>
        <v>25</v>
      </c>
      <c r="AE11" s="46">
        <f t="array" ref="AE11">SUM(IF(ISNUMBER(FIND("TmDi",$BE$1:$AAQ$1)),IF(IFERROR(ISNUMBER(VALUE(SUBSTITUTE($BE11:$AAQ11,"B",""))),FALSE),IF(ISNUMBER(VALUE(SUBSTITUTE($BE11:$AAQ11,"B",""))),1,0),0)))</f>
        <v>5</v>
      </c>
      <c r="AF11" t="s">
        <v>240</v>
      </c>
      <c r="AG11" t="s">
        <v>242</v>
      </c>
      <c r="AH11" t="s">
        <v>132</v>
      </c>
      <c r="AI11" s="69">
        <f t="array" ref="AI11">IF(COUNTIFS(AH$2:AH11,AH11)=1,"1",VALUE(SUBSTITUTE(INDEX(AI:AI,_xlfn.XMATCH(AH11,AH$1:AH10,0,-1)),"A",""))+INDEX(AJ:AJ,_xlfn.XMATCH(AH11,AH$1:AH10,0,-1))+1)</f>
        <v>28</v>
      </c>
      <c r="AJ11" s="69">
        <f t="array" ref="AJ11">SUM(IF(ISNUMBER(FIND("TmDo",$BE$1:$AAQ$1)),IF(IFERROR(ISNUMBER(VALUE(SUBSTITUTE($BE11:$AAQ11,"B",""))),FALSE),IF(ISNUMBER(VALUE(SUBSTITUTE($BE11:$AAQ11,"B",""))),1,0),0)))</f>
        <v>2</v>
      </c>
      <c r="AK11" t="str">
        <f t="shared" si="0"/>
        <v>28A</v>
      </c>
      <c r="AL11" t="str">
        <f t="shared" si="1"/>
        <v>28B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2"/>
        <v>XT10</v>
      </c>
      <c r="BF11" t="str">
        <f t="shared" si="3"/>
        <v>C26</v>
      </c>
      <c r="BG11" t="str">
        <f t="shared" si="4"/>
        <v>B26</v>
      </c>
      <c r="BH11" t="str">
        <f t="shared" si="5"/>
        <v>C27</v>
      </c>
      <c r="BI11" t="str">
        <f t="shared" si="6"/>
        <v>B27</v>
      </c>
      <c r="BJ11" t="str">
        <f t="shared" si="7"/>
        <v>C28</v>
      </c>
      <c r="BK11" t="str">
        <f t="shared" si="8"/>
        <v>B28</v>
      </c>
      <c r="BL11" t="str">
        <f t="shared" si="9"/>
        <v>C29</v>
      </c>
      <c r="BM11" t="str">
        <f t="shared" si="10"/>
        <v>B29</v>
      </c>
      <c r="BN11" t="str">
        <f t="shared" si="11"/>
        <v>C30</v>
      </c>
      <c r="BO11" t="str">
        <f t="shared" si="12"/>
        <v>B30</v>
      </c>
      <c r="BP11" t="str">
        <f t="shared" si="13"/>
        <v>29A</v>
      </c>
      <c r="BQ11" t="str">
        <f t="shared" si="14"/>
        <v>29B</v>
      </c>
      <c r="BR11" t="str">
        <f t="shared" si="15"/>
        <v>30A</v>
      </c>
      <c r="BS11" t="str">
        <f t="shared" si="16"/>
        <v>30B</v>
      </c>
      <c r="BT11" t="str">
        <f t="shared" si="17"/>
        <v>DI2-C25</v>
      </c>
      <c r="BU11" t="str">
        <f t="shared" si="18"/>
        <v>DI2-B25</v>
      </c>
      <c r="BV11" t="str">
        <f t="shared" si="19"/>
        <v>DI2-C26</v>
      </c>
      <c r="BW11" t="str">
        <f t="shared" si="19"/>
        <v>DI2-B26</v>
      </c>
      <c r="BX11" t="str">
        <f t="shared" si="19"/>
        <v>DI2-C27</v>
      </c>
      <c r="BY11" t="str">
        <f t="shared" si="19"/>
        <v>DI2-B27</v>
      </c>
      <c r="BZ11" t="str">
        <f t="shared" si="19"/>
        <v>DI2-C28</v>
      </c>
      <c r="CA11" t="str">
        <f t="shared" si="19"/>
        <v>DI2-B28</v>
      </c>
      <c r="CB11" t="str">
        <f t="shared" si="19"/>
        <v>DI2-C29</v>
      </c>
      <c r="CC11" t="str">
        <f t="shared" si="19"/>
        <v>DI2-B29</v>
      </c>
      <c r="CD11" t="str">
        <f t="shared" si="19"/>
        <v>DI2-C30</v>
      </c>
      <c r="CE11" t="str">
        <f t="shared" si="19"/>
        <v>DI2-B30</v>
      </c>
      <c r="CF11" t="str">
        <f t="shared" si="20"/>
        <v>DO1-28A</v>
      </c>
      <c r="CG11" t="str">
        <f t="shared" si="21"/>
        <v>DO1-28B</v>
      </c>
      <c r="CH11" t="str">
        <f t="shared" si="22"/>
        <v>DO1-29A</v>
      </c>
      <c r="CI11" t="str">
        <f t="shared" si="23"/>
        <v>DO1-29B</v>
      </c>
      <c r="CJ11" t="str">
        <f t="shared" si="24"/>
        <v>DO1-30A</v>
      </c>
      <c r="CK11" t="str">
        <f t="shared" si="25"/>
        <v>DO1-30B</v>
      </c>
      <c r="CL11" t="str">
        <f t="shared" si="27"/>
        <v>K10-10</v>
      </c>
      <c r="CM11" t="str">
        <f t="shared" si="28"/>
        <v>K10-03</v>
      </c>
      <c r="CN11" t="str">
        <f t="shared" si="29"/>
        <v>K10-04</v>
      </c>
      <c r="CO11" t="str">
        <f t="shared" si="30"/>
        <v>K10-01</v>
      </c>
      <c r="CP11" t="str">
        <f t="shared" si="31"/>
        <v>K10-08</v>
      </c>
      <c r="CQ11" t="str">
        <f t="shared" si="32"/>
        <v>K10-02</v>
      </c>
      <c r="CR11" t="str">
        <f t="shared" si="33"/>
        <v>K10-09</v>
      </c>
      <c r="CS11" t="str">
        <f t="shared" si="34"/>
        <v>K10-05</v>
      </c>
      <c r="CT11" t="str">
        <f t="shared" si="35"/>
        <v>K10-11</v>
      </c>
      <c r="CU11" t="str">
        <f t="shared" si="36"/>
        <v>F0-M10-A9</v>
      </c>
      <c r="CV11" t="str">
        <f t="shared" si="37"/>
        <v>F0-M10-A7</v>
      </c>
      <c r="CW11" t="str">
        <f t="shared" si="38"/>
        <v>F0-M10-A8</v>
      </c>
      <c r="CX11" t="str">
        <f t="shared" si="39"/>
        <v>F0-M10-A6</v>
      </c>
      <c r="CY11" t="str">
        <f t="shared" si="40"/>
        <v>F0-M10-A30</v>
      </c>
      <c r="CZ11" t="str">
        <f t="shared" si="41"/>
        <v>F0-M10-N</v>
      </c>
      <c r="DA11" t="str">
        <f t="shared" si="26"/>
        <v>F0-A220-M10</v>
      </c>
      <c r="DB11" t="str">
        <f t="shared" si="42"/>
        <v>F0-M10-XM01</v>
      </c>
      <c r="DC11" t="str">
        <f t="shared" si="43"/>
        <v>F0-M10-A1</v>
      </c>
      <c r="DD11" t="str">
        <f t="shared" si="44"/>
        <v>F0-M10-A5</v>
      </c>
      <c r="DE11" t="str">
        <f t="shared" si="45"/>
        <v>F0-M10-A11</v>
      </c>
      <c r="DF11" t="str">
        <f t="shared" si="46"/>
        <v>F0-M10-A12</v>
      </c>
      <c r="DG11" t="str">
        <f t="shared" si="47"/>
        <v>F0-M10-A19</v>
      </c>
      <c r="DH11" t="str">
        <f t="shared" si="48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824" x14ac:dyDescent="0.25">
      <c r="A12" s="83" t="s">
        <v>176</v>
      </c>
      <c r="B12" s="83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s="46" t="str">
        <f t="array" ref="AD12">IF(COUNTIFS(AC$2:AC12,AC12)=1,"1",VALUE(SUBSTITUTE(INDEX(AD:AD,_xlfn.XMATCH(AC12,AC$1:AC11,0,-1)),"A",""))+INDEX(AE:AE,_xlfn.XMATCH(AC12,AC$1:AC11,0,-1))+1)</f>
        <v>1</v>
      </c>
      <c r="AE12" s="46">
        <f t="array" ref="AE12">SUM(IF(ISNUMBER(FIND("TmDi",$BE$1:$AAQ$1)),IF(IFERROR(ISNUMBER(VALUE(SUBSTITUTE($BE12:$AAQ12,"B",""))),FALSE),IF(ISNUMBER(VALUE(SUBSTITUTE($BE12:$AAQ12,"B",""))),1,0),0)))</f>
        <v>5</v>
      </c>
      <c r="AF12" t="s">
        <v>133</v>
      </c>
      <c r="AG12" t="s">
        <v>134</v>
      </c>
      <c r="AH12" t="s">
        <v>267</v>
      </c>
      <c r="AI12" s="69" t="str">
        <f t="array" ref="AI12">IF(COUNTIFS(AH$2:AH12,AH12)=1,"1",VALUE(SUBSTITUTE(INDEX(AI:AI,_xlfn.XMATCH(AH12,AH$1:AH11,0,-1)),"A",""))+INDEX(AJ:AJ,_xlfn.XMATCH(AH12,AH$1:AH11,0,-1))+1)</f>
        <v>1</v>
      </c>
      <c r="AJ12" s="69">
        <f t="array" ref="AJ12">SUM(IF(ISNUMBER(FIND("TmDo",$BE$1:$AAQ$1)),IF(IFERROR(ISNUMBER(VALUE(SUBSTITUTE($BE12:$AAQ12,"B",""))),FALSE),IF(ISNUMBER(VALUE(SUBSTITUTE($BE12:$AAQ12,"B",""))),1,0),0)))</f>
        <v>2</v>
      </c>
      <c r="AK12" t="str">
        <f t="shared" si="0"/>
        <v>1A</v>
      </c>
      <c r="AL12" t="str">
        <f t="shared" si="1"/>
        <v>1B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2"/>
        <v>XT11</v>
      </c>
      <c r="BF12" t="str">
        <f t="shared" si="3"/>
        <v>C2</v>
      </c>
      <c r="BG12" t="str">
        <f t="shared" si="4"/>
        <v>B2</v>
      </c>
      <c r="BH12" t="str">
        <f t="shared" si="5"/>
        <v>C3</v>
      </c>
      <c r="BI12" t="str">
        <f t="shared" si="6"/>
        <v>B3</v>
      </c>
      <c r="BJ12" t="str">
        <f t="shared" si="7"/>
        <v>C4</v>
      </c>
      <c r="BK12" t="str">
        <f t="shared" si="8"/>
        <v>B4</v>
      </c>
      <c r="BL12" t="str">
        <f t="shared" si="9"/>
        <v>C5</v>
      </c>
      <c r="BM12" t="str">
        <f t="shared" si="10"/>
        <v>B5</v>
      </c>
      <c r="BN12" t="str">
        <f t="shared" si="11"/>
        <v>C6</v>
      </c>
      <c r="BO12" t="str">
        <f t="shared" si="12"/>
        <v>B6</v>
      </c>
      <c r="BP12" t="str">
        <f t="shared" si="13"/>
        <v>2A</v>
      </c>
      <c r="BQ12" t="str">
        <f t="shared" si="14"/>
        <v>2B</v>
      </c>
      <c r="BR12" t="str">
        <f t="shared" si="15"/>
        <v>3A</v>
      </c>
      <c r="BS12" t="str">
        <f t="shared" si="16"/>
        <v>3B</v>
      </c>
      <c r="BT12" t="str">
        <f t="shared" si="17"/>
        <v>DI3-C1</v>
      </c>
      <c r="BU12" t="str">
        <f t="shared" si="18"/>
        <v>DI3-B1</v>
      </c>
      <c r="BV12" t="str">
        <f t="shared" si="19"/>
        <v>DI3-C2</v>
      </c>
      <c r="BW12" t="str">
        <f t="shared" si="19"/>
        <v>DI3-B2</v>
      </c>
      <c r="BX12" t="str">
        <f t="shared" si="19"/>
        <v>DI3-C3</v>
      </c>
      <c r="BY12" t="str">
        <f t="shared" si="19"/>
        <v>DI3-B3</v>
      </c>
      <c r="BZ12" t="str">
        <f t="shared" si="19"/>
        <v>DI3-C4</v>
      </c>
      <c r="CA12" t="str">
        <f t="shared" si="19"/>
        <v>DI3-B4</v>
      </c>
      <c r="CB12" t="str">
        <f t="shared" si="19"/>
        <v>DI3-C5</v>
      </c>
      <c r="CC12" t="str">
        <f t="shared" si="19"/>
        <v>DI3-B5</v>
      </c>
      <c r="CD12" t="str">
        <f t="shared" si="19"/>
        <v>DI3-C6</v>
      </c>
      <c r="CE12" t="str">
        <f t="shared" si="19"/>
        <v>DI3-B6</v>
      </c>
      <c r="CF12" t="str">
        <f t="shared" si="20"/>
        <v>DO2-1A</v>
      </c>
      <c r="CG12" t="str">
        <f t="shared" si="21"/>
        <v>DO2-1B</v>
      </c>
      <c r="CH12" t="str">
        <f t="shared" si="22"/>
        <v>DO2-2A</v>
      </c>
      <c r="CI12" t="str">
        <f t="shared" si="23"/>
        <v>DO2-2B</v>
      </c>
      <c r="CJ12" t="str">
        <f t="shared" si="24"/>
        <v>DO2-3A</v>
      </c>
      <c r="CK12" t="str">
        <f t="shared" si="25"/>
        <v>DO2-3B</v>
      </c>
      <c r="CL12" t="str">
        <f t="shared" si="27"/>
        <v>K11-10</v>
      </c>
      <c r="CM12" t="str">
        <f t="shared" si="28"/>
        <v>K11-03</v>
      </c>
      <c r="CN12" t="str">
        <f t="shared" si="29"/>
        <v>K11-04</v>
      </c>
      <c r="CO12" t="str">
        <f t="shared" si="30"/>
        <v>K11-01</v>
      </c>
      <c r="CP12" t="str">
        <f t="shared" si="31"/>
        <v>K11-08</v>
      </c>
      <c r="CQ12" t="str">
        <f t="shared" si="32"/>
        <v>K11-02</v>
      </c>
      <c r="CR12" t="str">
        <f t="shared" si="33"/>
        <v>K11-09</v>
      </c>
      <c r="CS12" t="str">
        <f t="shared" si="34"/>
        <v>K11-05</v>
      </c>
      <c r="CT12" t="str">
        <f t="shared" si="35"/>
        <v>K11-11</v>
      </c>
      <c r="CU12" t="str">
        <f t="shared" si="36"/>
        <v>F0-M11-A9</v>
      </c>
      <c r="CV12" t="str">
        <f t="shared" si="37"/>
        <v>F0-M11-A7</v>
      </c>
      <c r="CW12" t="str">
        <f t="shared" si="38"/>
        <v>F0-M11-A8</v>
      </c>
      <c r="CX12" t="str">
        <f t="shared" si="39"/>
        <v>F0-M11-A6</v>
      </c>
      <c r="CY12" t="str">
        <f t="shared" si="40"/>
        <v>F0-M11-A30</v>
      </c>
      <c r="CZ12" t="str">
        <f t="shared" si="41"/>
        <v>F0-M11-N</v>
      </c>
      <c r="DA12" t="str">
        <f t="shared" si="26"/>
        <v>F0-A220-M11</v>
      </c>
      <c r="DB12" t="str">
        <f t="shared" si="42"/>
        <v>F0-M11-XM01</v>
      </c>
      <c r="DC12" t="str">
        <f t="shared" si="43"/>
        <v>F0-M11-A1</v>
      </c>
      <c r="DD12" t="str">
        <f t="shared" si="44"/>
        <v>F0-M11-A5</v>
      </c>
      <c r="DE12" t="str">
        <f t="shared" si="45"/>
        <v>F0-M11-A11</v>
      </c>
      <c r="DF12" t="str">
        <f t="shared" si="46"/>
        <v>F0-M11-A12</v>
      </c>
      <c r="DG12" t="str">
        <f t="shared" si="47"/>
        <v>F0-M11-A19</v>
      </c>
      <c r="DH12" t="str">
        <f t="shared" si="48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824" x14ac:dyDescent="0.25">
      <c r="A13" s="83" t="s">
        <v>179</v>
      </c>
      <c r="B13" s="8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s="46">
        <f t="array" ref="AD13">IF(COUNTIFS(AC$2:AC13,AC13)=1,"1",VALUE(SUBSTITUTE(INDEX(AD:AD,_xlfn.XMATCH(AC13,AC$1:AC12,0,-1)),"A",""))+INDEX(AE:AE,_xlfn.XMATCH(AC13,AC$1:AC12,0,-1))+1)</f>
        <v>7</v>
      </c>
      <c r="AE13" s="46">
        <f t="array" ref="AE13">SUM(IF(ISNUMBER(FIND("TmDi",$BE$1:$AAQ$1)),IF(IFERROR(ISNUMBER(VALUE(SUBSTITUTE($BE13:$AAQ13,"B",""))),FALSE),IF(ISNUMBER(VALUE(SUBSTITUTE($BE13:$AAQ13,"B",""))),1,0),0)))</f>
        <v>5</v>
      </c>
      <c r="AF13" t="s">
        <v>148</v>
      </c>
      <c r="AG13" t="s">
        <v>149</v>
      </c>
      <c r="AH13" t="s">
        <v>267</v>
      </c>
      <c r="AI13" s="69">
        <f t="array" ref="AI13">IF(COUNTIFS(AH$2:AH13,AH13)=1,"1",VALUE(SUBSTITUTE(INDEX(AI:AI,_xlfn.XMATCH(AH13,AH$1:AH12,0,-1)),"A",""))+INDEX(AJ:AJ,_xlfn.XMATCH(AH13,AH$1:AH12,0,-1))+1)</f>
        <v>4</v>
      </c>
      <c r="AJ13" s="69">
        <f t="array" ref="AJ13">SUM(IF(ISNUMBER(FIND("TmDo",$BE$1:$AAQ$1)),IF(IFERROR(ISNUMBER(VALUE(SUBSTITUTE($BE13:$AAQ13,"B",""))),FALSE),IF(ISNUMBER(VALUE(SUBSTITUTE($BE13:$AAQ13,"B",""))),1,0),0)))</f>
        <v>2</v>
      </c>
      <c r="AK13" t="str">
        <f t="shared" si="0"/>
        <v>4A</v>
      </c>
      <c r="AL13" t="str">
        <f t="shared" si="1"/>
        <v>4B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2"/>
        <v>XT12</v>
      </c>
      <c r="BF13" t="str">
        <f t="shared" si="3"/>
        <v>C8</v>
      </c>
      <c r="BG13" t="str">
        <f t="shared" si="4"/>
        <v>B8</v>
      </c>
      <c r="BH13" t="str">
        <f t="shared" si="5"/>
        <v>C9</v>
      </c>
      <c r="BI13" t="str">
        <f t="shared" si="6"/>
        <v>B9</v>
      </c>
      <c r="BJ13" t="str">
        <f t="shared" si="7"/>
        <v>C10</v>
      </c>
      <c r="BK13" t="str">
        <f t="shared" si="8"/>
        <v>B10</v>
      </c>
      <c r="BL13" t="str">
        <f t="shared" si="9"/>
        <v>C11</v>
      </c>
      <c r="BM13" t="str">
        <f t="shared" si="10"/>
        <v>B11</v>
      </c>
      <c r="BN13" t="str">
        <f t="shared" si="11"/>
        <v>C12</v>
      </c>
      <c r="BO13" t="str">
        <f t="shared" si="12"/>
        <v>B12</v>
      </c>
      <c r="BP13" t="str">
        <f t="shared" si="13"/>
        <v>5A</v>
      </c>
      <c r="BQ13" t="str">
        <f t="shared" si="14"/>
        <v>5B</v>
      </c>
      <c r="BR13" t="str">
        <f t="shared" si="15"/>
        <v>6A</v>
      </c>
      <c r="BS13" t="str">
        <f t="shared" si="16"/>
        <v>6B</v>
      </c>
      <c r="BT13" t="str">
        <f t="shared" si="17"/>
        <v>DI3-C7</v>
      </c>
      <c r="BU13" t="str">
        <f t="shared" si="18"/>
        <v>DI3-B7</v>
      </c>
      <c r="BV13" t="str">
        <f t="shared" si="19"/>
        <v>DI3-C8</v>
      </c>
      <c r="BW13" t="str">
        <f t="shared" si="19"/>
        <v>DI3-B8</v>
      </c>
      <c r="BX13" t="str">
        <f t="shared" si="19"/>
        <v>DI3-C9</v>
      </c>
      <c r="BY13" t="str">
        <f t="shared" si="19"/>
        <v>DI3-B9</v>
      </c>
      <c r="BZ13" t="str">
        <f t="shared" si="19"/>
        <v>DI3-C10</v>
      </c>
      <c r="CA13" t="str">
        <f t="shared" si="19"/>
        <v>DI3-B10</v>
      </c>
      <c r="CB13" t="str">
        <f t="shared" si="19"/>
        <v>DI3-C11</v>
      </c>
      <c r="CC13" t="str">
        <f t="shared" si="19"/>
        <v>DI3-B11</v>
      </c>
      <c r="CD13" t="str">
        <f t="shared" si="19"/>
        <v>DI3-C12</v>
      </c>
      <c r="CE13" t="str">
        <f t="shared" si="19"/>
        <v>DI3-B12</v>
      </c>
      <c r="CF13" t="str">
        <f t="shared" si="20"/>
        <v>DO2-4A</v>
      </c>
      <c r="CG13" t="str">
        <f t="shared" si="21"/>
        <v>DO2-4B</v>
      </c>
      <c r="CH13" t="str">
        <f t="shared" si="22"/>
        <v>DO2-5A</v>
      </c>
      <c r="CI13" t="str">
        <f t="shared" si="23"/>
        <v>DO2-5B</v>
      </c>
      <c r="CJ13" t="str">
        <f t="shared" si="24"/>
        <v>DO2-6A</v>
      </c>
      <c r="CK13" t="str">
        <f t="shared" si="25"/>
        <v>DO2-6B</v>
      </c>
      <c r="CL13" t="str">
        <f t="shared" si="27"/>
        <v>K12-10</v>
      </c>
      <c r="CM13" t="str">
        <f t="shared" si="28"/>
        <v>K12-03</v>
      </c>
      <c r="CN13" t="str">
        <f t="shared" si="29"/>
        <v>K12-04</v>
      </c>
      <c r="CO13" t="str">
        <f t="shared" si="30"/>
        <v>K12-01</v>
      </c>
      <c r="CP13" t="str">
        <f t="shared" si="31"/>
        <v>K12-08</v>
      </c>
      <c r="CQ13" t="str">
        <f t="shared" si="32"/>
        <v>K12-02</v>
      </c>
      <c r="CR13" t="str">
        <f t="shared" si="33"/>
        <v>K12-09</v>
      </c>
      <c r="CS13" t="str">
        <f t="shared" si="34"/>
        <v>K12-05</v>
      </c>
      <c r="CT13" t="str">
        <f t="shared" si="35"/>
        <v>K12-11</v>
      </c>
      <c r="CU13" t="str">
        <f t="shared" si="36"/>
        <v>F0-M12-A9</v>
      </c>
      <c r="CV13" t="str">
        <f t="shared" si="37"/>
        <v>F0-M12-A7</v>
      </c>
      <c r="CW13" t="str">
        <f t="shared" si="38"/>
        <v>F0-M12-A8</v>
      </c>
      <c r="CX13" t="str">
        <f t="shared" si="39"/>
        <v>F0-M12-A6</v>
      </c>
      <c r="CY13" t="str">
        <f t="shared" si="40"/>
        <v>F0-M12-A30</v>
      </c>
      <c r="CZ13" t="str">
        <f t="shared" si="41"/>
        <v>F0-M12-N</v>
      </c>
      <c r="DA13" t="str">
        <f t="shared" si="26"/>
        <v>F0-A220-M12</v>
      </c>
      <c r="DB13" t="str">
        <f t="shared" si="42"/>
        <v>F0-M12-XM01</v>
      </c>
      <c r="DC13" t="str">
        <f t="shared" si="43"/>
        <v>F0-M12-A1</v>
      </c>
      <c r="DD13" t="str">
        <f t="shared" si="44"/>
        <v>F0-M12-A5</v>
      </c>
      <c r="DE13" t="str">
        <f t="shared" si="45"/>
        <v>F0-M12-A11</v>
      </c>
      <c r="DF13" t="str">
        <f t="shared" si="46"/>
        <v>F0-M12-A12</v>
      </c>
      <c r="DG13" t="str">
        <f t="shared" si="47"/>
        <v>F0-M12-A19</v>
      </c>
      <c r="DH13" t="str">
        <f t="shared" si="48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824" x14ac:dyDescent="0.25">
      <c r="A14" s="83" t="s">
        <v>182</v>
      </c>
      <c r="B14" s="83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s="46">
        <f t="array" ref="AD14">IF(COUNTIFS(AC$2:AC14,AC14)=1,"1",VALUE(SUBSTITUTE(INDEX(AD:AD,_xlfn.XMATCH(AC14,AC$1:AC13,0,-1)),"A",""))+INDEX(AE:AE,_xlfn.XMATCH(AC14,AC$1:AC13,0,-1))+1)</f>
        <v>13</v>
      </c>
      <c r="AE14" s="46">
        <f t="array" ref="AE14">SUM(IF(ISNUMBER(FIND("TmDi",$BE$1:$AAQ$1)),IF(IFERROR(ISNUMBER(VALUE(SUBSTITUTE($BE14:$AAQ14,"B",""))),FALSE),IF(ISNUMBER(VALUE(SUBSTITUTE($BE14:$AAQ14,"B",""))),1,0),0)))</f>
        <v>5</v>
      </c>
      <c r="AF14" t="s">
        <v>153</v>
      </c>
      <c r="AG14" t="s">
        <v>154</v>
      </c>
      <c r="AH14" t="s">
        <v>267</v>
      </c>
      <c r="AI14" s="69">
        <f t="array" ref="AI14">IF(COUNTIFS(AH$2:AH14,AH14)=1,"1",VALUE(SUBSTITUTE(INDEX(AI:AI,_xlfn.XMATCH(AH14,AH$1:AH13,0,-1)),"A",""))+INDEX(AJ:AJ,_xlfn.XMATCH(AH14,AH$1:AH13,0,-1))+1)</f>
        <v>7</v>
      </c>
      <c r="AJ14" s="69">
        <f t="array" ref="AJ14">SUM(IF(ISNUMBER(FIND("TmDo",$BE$1:$AAQ$1)),IF(IFERROR(ISNUMBER(VALUE(SUBSTITUTE($BE14:$AAQ14,"B",""))),FALSE),IF(ISNUMBER(VALUE(SUBSTITUTE($BE14:$AAQ14,"B",""))),1,0),0)))</f>
        <v>2</v>
      </c>
      <c r="AK14" t="str">
        <f t="shared" si="0"/>
        <v>7A</v>
      </c>
      <c r="AL14" t="str">
        <f t="shared" si="1"/>
        <v>7B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2"/>
        <v>XT13</v>
      </c>
      <c r="BF14" t="str">
        <f t="shared" si="3"/>
        <v>C14</v>
      </c>
      <c r="BG14" t="str">
        <f t="shared" si="4"/>
        <v>B14</v>
      </c>
      <c r="BH14" t="str">
        <f t="shared" si="5"/>
        <v>C15</v>
      </c>
      <c r="BI14" t="str">
        <f t="shared" si="6"/>
        <v>B15</v>
      </c>
      <c r="BJ14" t="str">
        <f t="shared" si="7"/>
        <v>C16</v>
      </c>
      <c r="BK14" t="str">
        <f t="shared" si="8"/>
        <v>B16</v>
      </c>
      <c r="BL14" t="str">
        <f t="shared" si="9"/>
        <v>C17</v>
      </c>
      <c r="BM14" t="str">
        <f t="shared" si="10"/>
        <v>B17</v>
      </c>
      <c r="BN14" t="str">
        <f t="shared" si="11"/>
        <v>C18</v>
      </c>
      <c r="BO14" t="str">
        <f t="shared" si="12"/>
        <v>B18</v>
      </c>
      <c r="BP14" t="str">
        <f t="shared" si="13"/>
        <v>8A</v>
      </c>
      <c r="BQ14" t="str">
        <f t="shared" si="14"/>
        <v>8B</v>
      </c>
      <c r="BR14" t="str">
        <f t="shared" si="15"/>
        <v>9A</v>
      </c>
      <c r="BS14" t="str">
        <f t="shared" si="16"/>
        <v>9B</v>
      </c>
      <c r="BT14" t="str">
        <f t="shared" si="17"/>
        <v>DI3-C13</v>
      </c>
      <c r="BU14" t="str">
        <f t="shared" si="18"/>
        <v>DI3-B13</v>
      </c>
      <c r="BV14" t="str">
        <f t="shared" si="19"/>
        <v>DI3-C14</v>
      </c>
      <c r="BW14" t="str">
        <f t="shared" si="19"/>
        <v>DI3-B14</v>
      </c>
      <c r="BX14" t="str">
        <f t="shared" si="19"/>
        <v>DI3-C15</v>
      </c>
      <c r="BY14" t="str">
        <f t="shared" si="19"/>
        <v>DI3-B15</v>
      </c>
      <c r="BZ14" t="str">
        <f t="shared" si="19"/>
        <v>DI3-C16</v>
      </c>
      <c r="CA14" t="str">
        <f t="shared" si="19"/>
        <v>DI3-B16</v>
      </c>
      <c r="CB14" t="str">
        <f t="shared" si="19"/>
        <v>DI3-C17</v>
      </c>
      <c r="CC14" t="str">
        <f t="shared" si="19"/>
        <v>DI3-B17</v>
      </c>
      <c r="CD14" t="str">
        <f t="shared" si="19"/>
        <v>DI3-C18</v>
      </c>
      <c r="CE14" t="str">
        <f t="shared" si="19"/>
        <v>DI3-B18</v>
      </c>
      <c r="CF14" t="str">
        <f t="shared" si="20"/>
        <v>DO2-7A</v>
      </c>
      <c r="CG14" t="str">
        <f t="shared" si="21"/>
        <v>DO2-7B</v>
      </c>
      <c r="CH14" t="str">
        <f t="shared" si="22"/>
        <v>DO2-8A</v>
      </c>
      <c r="CI14" t="str">
        <f t="shared" si="23"/>
        <v>DO2-8B</v>
      </c>
      <c r="CJ14" t="str">
        <f t="shared" si="24"/>
        <v>DO2-9A</v>
      </c>
      <c r="CK14" t="str">
        <f t="shared" si="25"/>
        <v>DO2-9B</v>
      </c>
      <c r="CL14" t="str">
        <f t="shared" si="27"/>
        <v>K13-10</v>
      </c>
      <c r="CM14" t="str">
        <f t="shared" si="28"/>
        <v>K13-03</v>
      </c>
      <c r="CN14" t="str">
        <f t="shared" si="29"/>
        <v>K13-04</v>
      </c>
      <c r="CO14" t="str">
        <f t="shared" si="30"/>
        <v>K13-01</v>
      </c>
      <c r="CP14" t="str">
        <f t="shared" si="31"/>
        <v>K13-08</v>
      </c>
      <c r="CQ14" t="str">
        <f t="shared" si="32"/>
        <v>K13-02</v>
      </c>
      <c r="CR14" t="str">
        <f t="shared" si="33"/>
        <v>K13-09</v>
      </c>
      <c r="CS14" t="str">
        <f t="shared" si="34"/>
        <v>K13-05</v>
      </c>
      <c r="CT14" t="str">
        <f t="shared" si="35"/>
        <v>K13-11</v>
      </c>
      <c r="CU14" t="str">
        <f t="shared" si="36"/>
        <v>F0-M13-A9</v>
      </c>
      <c r="CV14" t="str">
        <f t="shared" si="37"/>
        <v>F0-M13-A7</v>
      </c>
      <c r="CW14" t="str">
        <f t="shared" si="38"/>
        <v>F0-M13-A8</v>
      </c>
      <c r="CX14" t="str">
        <f t="shared" si="39"/>
        <v>F0-M13-A6</v>
      </c>
      <c r="CY14" t="str">
        <f t="shared" si="40"/>
        <v>F0-M13-A30</v>
      </c>
      <c r="CZ14" t="str">
        <f t="shared" si="41"/>
        <v>F0-M13-N</v>
      </c>
      <c r="DA14" t="str">
        <f t="shared" si="26"/>
        <v>F0-A220-M13</v>
      </c>
      <c r="DB14" t="str">
        <f t="shared" si="42"/>
        <v>F0-M13-XM01</v>
      </c>
      <c r="DC14" t="str">
        <f t="shared" si="43"/>
        <v>F0-M13-A1</v>
      </c>
      <c r="DD14" t="str">
        <f t="shared" si="44"/>
        <v>F0-M13-A5</v>
      </c>
      <c r="DE14" t="str">
        <f t="shared" si="45"/>
        <v>F0-M13-A11</v>
      </c>
      <c r="DF14" t="str">
        <f t="shared" si="46"/>
        <v>F0-M13-A12</v>
      </c>
      <c r="DG14" t="str">
        <f t="shared" si="47"/>
        <v>F0-M13-A19</v>
      </c>
      <c r="DH14" t="str">
        <f t="shared" si="48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824" x14ac:dyDescent="0.25">
      <c r="A15" s="83" t="s">
        <v>185</v>
      </c>
      <c r="B15" s="83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s="46">
        <f t="array" ref="AD15">IF(COUNTIFS(AC$2:AC15,AC15)=1,"1",VALUE(SUBSTITUTE(INDEX(AD:AD,_xlfn.XMATCH(AC15,AC$1:AC14,0,-1)),"A",""))+INDEX(AE:AE,_xlfn.XMATCH(AC15,AC$1:AC14,0,-1))+1)</f>
        <v>19</v>
      </c>
      <c r="AE15" s="46">
        <f t="array" ref="AE15">SUM(IF(ISNUMBER(FIND("TmDi",$BE$1:$AAQ$1)),IF(IFERROR(ISNUMBER(VALUE(SUBSTITUTE($BE15:$AAQ15,"B",""))),FALSE),IF(ISNUMBER(VALUE(SUBSTITUTE($BE15:$AAQ15,"B",""))),1,0),0)))</f>
        <v>5</v>
      </c>
      <c r="AF15" t="s">
        <v>239</v>
      </c>
      <c r="AG15" t="s">
        <v>241</v>
      </c>
      <c r="AH15" t="s">
        <v>267</v>
      </c>
      <c r="AI15" s="69">
        <f t="array" ref="AI15">IF(COUNTIFS(AH$2:AH15,AH15)=1,"1",VALUE(SUBSTITUTE(INDEX(AI:AI,_xlfn.XMATCH(AH15,AH$1:AH14,0,-1)),"A",""))+INDEX(AJ:AJ,_xlfn.XMATCH(AH15,AH$1:AH14,0,-1))+1)</f>
        <v>10</v>
      </c>
      <c r="AJ15" s="69">
        <f t="array" ref="AJ15">SUM(IF(ISNUMBER(FIND("TmDo",$BE$1:$AAQ$1)),IF(IFERROR(ISNUMBER(VALUE(SUBSTITUTE($BE15:$AAQ15,"B",""))),FALSE),IF(ISNUMBER(VALUE(SUBSTITUTE($BE15:$AAQ15,"B",""))),1,0),0)))</f>
        <v>2</v>
      </c>
      <c r="AK15" t="str">
        <f t="shared" si="0"/>
        <v>10A</v>
      </c>
      <c r="AL15" t="str">
        <f t="shared" si="1"/>
        <v>10B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2"/>
        <v>XT14</v>
      </c>
      <c r="BF15" t="str">
        <f t="shared" si="3"/>
        <v>C20</v>
      </c>
      <c r="BG15" t="str">
        <f t="shared" si="4"/>
        <v>B20</v>
      </c>
      <c r="BH15" t="str">
        <f t="shared" si="5"/>
        <v>C21</v>
      </c>
      <c r="BI15" t="str">
        <f t="shared" si="6"/>
        <v>B21</v>
      </c>
      <c r="BJ15" t="str">
        <f t="shared" si="7"/>
        <v>C22</v>
      </c>
      <c r="BK15" t="str">
        <f t="shared" si="8"/>
        <v>B22</v>
      </c>
      <c r="BL15" t="str">
        <f t="shared" si="9"/>
        <v>C23</v>
      </c>
      <c r="BM15" t="str">
        <f t="shared" si="10"/>
        <v>B23</v>
      </c>
      <c r="BN15" t="str">
        <f t="shared" si="11"/>
        <v>C24</v>
      </c>
      <c r="BO15" t="str">
        <f t="shared" si="12"/>
        <v>B24</v>
      </c>
      <c r="BP15" t="str">
        <f t="shared" si="13"/>
        <v>11A</v>
      </c>
      <c r="BQ15" t="str">
        <f t="shared" si="14"/>
        <v>11B</v>
      </c>
      <c r="BR15" t="str">
        <f t="shared" si="15"/>
        <v>12A</v>
      </c>
      <c r="BS15" t="str">
        <f t="shared" si="16"/>
        <v>12B</v>
      </c>
      <c r="BT15" t="str">
        <f t="shared" si="17"/>
        <v>DI3-C19</v>
      </c>
      <c r="BU15" t="str">
        <f t="shared" si="18"/>
        <v>DI3-B19</v>
      </c>
      <c r="BV15" t="str">
        <f t="shared" si="19"/>
        <v>DI3-C20</v>
      </c>
      <c r="BW15" t="str">
        <f t="shared" si="19"/>
        <v>DI3-B20</v>
      </c>
      <c r="BX15" t="str">
        <f t="shared" si="19"/>
        <v>DI3-C21</v>
      </c>
      <c r="BY15" t="str">
        <f t="shared" si="19"/>
        <v>DI3-B21</v>
      </c>
      <c r="BZ15" t="str">
        <f t="shared" si="19"/>
        <v>DI3-C22</v>
      </c>
      <c r="CA15" t="str">
        <f t="shared" si="19"/>
        <v>DI3-B22</v>
      </c>
      <c r="CB15" t="str">
        <f t="shared" si="19"/>
        <v>DI3-C23</v>
      </c>
      <c r="CC15" t="str">
        <f t="shared" si="19"/>
        <v>DI3-B23</v>
      </c>
      <c r="CD15" t="str">
        <f t="shared" si="19"/>
        <v>DI3-C24</v>
      </c>
      <c r="CE15" t="str">
        <f t="shared" si="19"/>
        <v>DI3-B24</v>
      </c>
      <c r="CF15" t="str">
        <f t="shared" si="20"/>
        <v>DO2-10A</v>
      </c>
      <c r="CG15" t="str">
        <f t="shared" si="21"/>
        <v>DO2-10B</v>
      </c>
      <c r="CH15" t="str">
        <f t="shared" si="22"/>
        <v>DO2-11A</v>
      </c>
      <c r="CI15" t="str">
        <f t="shared" si="23"/>
        <v>DO2-11B</v>
      </c>
      <c r="CJ15" t="str">
        <f t="shared" si="24"/>
        <v>DO2-12A</v>
      </c>
      <c r="CK15" t="str">
        <f t="shared" si="25"/>
        <v>DO2-12B</v>
      </c>
      <c r="CL15" t="str">
        <f t="shared" si="27"/>
        <v>K14-10</v>
      </c>
      <c r="CM15" t="str">
        <f t="shared" si="28"/>
        <v>K14-03</v>
      </c>
      <c r="CN15" t="str">
        <f t="shared" si="29"/>
        <v>K14-04</v>
      </c>
      <c r="CO15" t="str">
        <f t="shared" si="30"/>
        <v>K14-01</v>
      </c>
      <c r="CP15" t="str">
        <f t="shared" si="31"/>
        <v>K14-08</v>
      </c>
      <c r="CQ15" t="str">
        <f t="shared" si="32"/>
        <v>K14-02</v>
      </c>
      <c r="CR15" t="str">
        <f t="shared" si="33"/>
        <v>K14-09</v>
      </c>
      <c r="CS15" t="str">
        <f t="shared" si="34"/>
        <v>K14-05</v>
      </c>
      <c r="CT15" t="str">
        <f t="shared" si="35"/>
        <v>K14-11</v>
      </c>
      <c r="CU15" t="str">
        <f t="shared" si="36"/>
        <v>F0-M14-A9</v>
      </c>
      <c r="CV15" t="str">
        <f t="shared" si="37"/>
        <v>F0-M14-A7</v>
      </c>
      <c r="CW15" t="str">
        <f t="shared" si="38"/>
        <v>F0-M14-A8</v>
      </c>
      <c r="CX15" t="str">
        <f t="shared" si="39"/>
        <v>F0-M14-A6</v>
      </c>
      <c r="CY15" t="str">
        <f t="shared" si="40"/>
        <v>F0-M14-A30</v>
      </c>
      <c r="CZ15" t="str">
        <f t="shared" si="41"/>
        <v>F0-M14-N</v>
      </c>
      <c r="DA15" t="str">
        <f t="shared" si="26"/>
        <v>F0-A220-M14</v>
      </c>
      <c r="DB15" t="str">
        <f t="shared" si="42"/>
        <v>F0-M14-XM01</v>
      </c>
      <c r="DC15" t="str">
        <f t="shared" si="43"/>
        <v>F0-M14-A1</v>
      </c>
      <c r="DD15" t="str">
        <f t="shared" si="44"/>
        <v>F0-M14-A5</v>
      </c>
      <c r="DE15" t="str">
        <f t="shared" si="45"/>
        <v>F0-M14-A11</v>
      </c>
      <c r="DF15" t="str">
        <f t="shared" si="46"/>
        <v>F0-M14-A12</v>
      </c>
      <c r="DG15" t="str">
        <f t="shared" si="47"/>
        <v>F0-M14-A19</v>
      </c>
      <c r="DH15" t="str">
        <f t="shared" si="48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824" x14ac:dyDescent="0.25">
      <c r="A16" s="83" t="s">
        <v>188</v>
      </c>
      <c r="B16" s="83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s="46">
        <f t="array" ref="AD16">IF(COUNTIFS(AC$2:AC16,AC16)=1,"1",VALUE(SUBSTITUTE(INDEX(AD:AD,_xlfn.XMATCH(AC16,AC$1:AC15,0,-1)),"A",""))+INDEX(AE:AE,_xlfn.XMATCH(AC16,AC$1:AC15,0,-1))+1)</f>
        <v>25</v>
      </c>
      <c r="AE16" s="46">
        <f t="array" ref="AE16">SUM(IF(ISNUMBER(FIND("TmDi",$BE$1:$AAQ$1)),IF(IFERROR(ISNUMBER(VALUE(SUBSTITUTE($BE16:$AAQ16,"B",""))),FALSE),IF(ISNUMBER(VALUE(SUBSTITUTE($BE16:$AAQ16,"B",""))),1,0),0)))</f>
        <v>5</v>
      </c>
      <c r="AF16" t="s">
        <v>240</v>
      </c>
      <c r="AG16" t="s">
        <v>242</v>
      </c>
      <c r="AH16" t="s">
        <v>267</v>
      </c>
      <c r="AI16" s="69">
        <f t="array" ref="AI16">IF(COUNTIFS(AH$2:AH16,AH16)=1,"1",VALUE(SUBSTITUTE(INDEX(AI:AI,_xlfn.XMATCH(AH16,AH$1:AH15,0,-1)),"A",""))+INDEX(AJ:AJ,_xlfn.XMATCH(AH16,AH$1:AH15,0,-1))+1)</f>
        <v>13</v>
      </c>
      <c r="AJ16" s="69">
        <f t="array" ref="AJ16">SUM(IF(ISNUMBER(FIND("TmDo",$BE$1:$AAQ$1)),IF(IFERROR(ISNUMBER(VALUE(SUBSTITUTE($BE16:$AAQ16,"B",""))),FALSE),IF(ISNUMBER(VALUE(SUBSTITUTE($BE16:$AAQ16,"B",""))),1,0),0)))</f>
        <v>2</v>
      </c>
      <c r="AK16" t="str">
        <f t="shared" si="0"/>
        <v>13A</v>
      </c>
      <c r="AL16" t="str">
        <f t="shared" si="1"/>
        <v>13B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2"/>
        <v>XT15</v>
      </c>
      <c r="BF16" t="str">
        <f t="shared" si="3"/>
        <v>C26</v>
      </c>
      <c r="BG16" t="str">
        <f t="shared" si="4"/>
        <v>B26</v>
      </c>
      <c r="BH16" t="str">
        <f t="shared" si="5"/>
        <v>C27</v>
      </c>
      <c r="BI16" t="str">
        <f t="shared" si="6"/>
        <v>B27</v>
      </c>
      <c r="BJ16" t="str">
        <f t="shared" si="7"/>
        <v>C28</v>
      </c>
      <c r="BK16" t="str">
        <f t="shared" si="8"/>
        <v>B28</v>
      </c>
      <c r="BL16" t="str">
        <f t="shared" si="9"/>
        <v>C29</v>
      </c>
      <c r="BM16" t="str">
        <f t="shared" si="10"/>
        <v>B29</v>
      </c>
      <c r="BN16" t="str">
        <f t="shared" si="11"/>
        <v>C30</v>
      </c>
      <c r="BO16" t="str">
        <f t="shared" si="12"/>
        <v>B30</v>
      </c>
      <c r="BP16" t="str">
        <f t="shared" si="13"/>
        <v>14A</v>
      </c>
      <c r="BQ16" t="str">
        <f t="shared" si="14"/>
        <v>14B</v>
      </c>
      <c r="BR16" t="str">
        <f t="shared" si="15"/>
        <v>15A</v>
      </c>
      <c r="BS16" t="str">
        <f t="shared" si="16"/>
        <v>15B</v>
      </c>
      <c r="BT16" t="str">
        <f t="shared" si="17"/>
        <v>DI3-C25</v>
      </c>
      <c r="BU16" t="str">
        <f t="shared" si="18"/>
        <v>DI3-B25</v>
      </c>
      <c r="BV16" t="str">
        <f t="shared" si="19"/>
        <v>DI3-C26</v>
      </c>
      <c r="BW16" t="str">
        <f t="shared" si="19"/>
        <v>DI3-B26</v>
      </c>
      <c r="BX16" t="str">
        <f t="shared" si="19"/>
        <v>DI3-C27</v>
      </c>
      <c r="BY16" t="str">
        <f t="shared" si="19"/>
        <v>DI3-B27</v>
      </c>
      <c r="BZ16" t="str">
        <f t="shared" si="19"/>
        <v>DI3-C28</v>
      </c>
      <c r="CA16" t="str">
        <f t="shared" si="19"/>
        <v>DI3-B28</v>
      </c>
      <c r="CB16" t="str">
        <f t="shared" si="19"/>
        <v>DI3-C29</v>
      </c>
      <c r="CC16" t="str">
        <f t="shared" si="19"/>
        <v>DI3-B29</v>
      </c>
      <c r="CD16" t="str">
        <f t="shared" si="19"/>
        <v>DI3-C30</v>
      </c>
      <c r="CE16" t="str">
        <f t="shared" si="19"/>
        <v>DI3-B30</v>
      </c>
      <c r="CF16" t="str">
        <f t="shared" si="20"/>
        <v>DO2-13A</v>
      </c>
      <c r="CG16" t="str">
        <f t="shared" si="21"/>
        <v>DO2-13B</v>
      </c>
      <c r="CH16" t="str">
        <f t="shared" si="22"/>
        <v>DO2-14A</v>
      </c>
      <c r="CI16" t="str">
        <f t="shared" si="23"/>
        <v>DO2-14B</v>
      </c>
      <c r="CJ16" t="str">
        <f t="shared" si="24"/>
        <v>DO2-15A</v>
      </c>
      <c r="CK16" t="str">
        <f t="shared" si="25"/>
        <v>DO2-15B</v>
      </c>
      <c r="CL16" t="str">
        <f t="shared" si="27"/>
        <v>K15-10</v>
      </c>
      <c r="CM16" t="str">
        <f t="shared" si="28"/>
        <v>K15-03</v>
      </c>
      <c r="CN16" t="str">
        <f t="shared" si="29"/>
        <v>K15-04</v>
      </c>
      <c r="CO16" t="str">
        <f t="shared" si="30"/>
        <v>K15-01</v>
      </c>
      <c r="CP16" t="str">
        <f t="shared" si="31"/>
        <v>K15-08</v>
      </c>
      <c r="CQ16" t="str">
        <f t="shared" si="32"/>
        <v>K15-02</v>
      </c>
      <c r="CR16" t="str">
        <f t="shared" si="33"/>
        <v>K15-09</v>
      </c>
      <c r="CS16" t="str">
        <f t="shared" si="34"/>
        <v>K15-05</v>
      </c>
      <c r="CT16" t="str">
        <f t="shared" si="35"/>
        <v>K15-11</v>
      </c>
      <c r="CU16" t="str">
        <f t="shared" si="36"/>
        <v>F0-M15-A9</v>
      </c>
      <c r="CV16" t="str">
        <f t="shared" si="37"/>
        <v>F0-M15-A7</v>
      </c>
      <c r="CW16" t="str">
        <f t="shared" si="38"/>
        <v>F0-M15-A8</v>
      </c>
      <c r="CX16" t="str">
        <f t="shared" si="39"/>
        <v>F0-M15-A6</v>
      </c>
      <c r="CY16" t="str">
        <f t="shared" si="40"/>
        <v>F0-M15-A30</v>
      </c>
      <c r="CZ16" t="str">
        <f t="shared" si="41"/>
        <v>F0-M15-N</v>
      </c>
      <c r="DA16" t="str">
        <f t="shared" si="26"/>
        <v>F0-A220-M15</v>
      </c>
      <c r="DB16" t="str">
        <f t="shared" si="42"/>
        <v>F0-M15-XM01</v>
      </c>
      <c r="DC16" t="str">
        <f t="shared" si="43"/>
        <v>F0-M15-A1</v>
      </c>
      <c r="DD16" t="str">
        <f t="shared" si="44"/>
        <v>F0-M15-A5</v>
      </c>
      <c r="DE16" t="str">
        <f t="shared" si="45"/>
        <v>F0-M15-A11</v>
      </c>
      <c r="DF16" t="str">
        <f t="shared" si="46"/>
        <v>F0-M15-A12</v>
      </c>
      <c r="DG16" t="str">
        <f t="shared" si="47"/>
        <v>F0-M15-A19</v>
      </c>
      <c r="DH16" t="str">
        <f t="shared" si="48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s="83" t="s">
        <v>191</v>
      </c>
      <c r="B17" s="83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s="46" t="str">
        <f t="array" ref="AD17">IF(COUNTIFS(AC$2:AC17,AC17)=1,"1",VALUE(SUBSTITUTE(INDEX(AD:AD,_xlfn.XMATCH(AC17,AC$1:AC16,0,-1)),"A",""))+INDEX(AE:AE,_xlfn.XMATCH(AC17,AC$1:AC16,0,-1))+1)</f>
        <v>1</v>
      </c>
      <c r="AE17" s="46">
        <f t="array" ref="AE17">SUM(IF(ISNUMBER(FIND("TmDi",$BE$1:$AAQ$1)),IF(IFERROR(ISNUMBER(VALUE(SUBSTITUTE($BE17:$AAQ17,"B",""))),FALSE),IF(ISNUMBER(VALUE(SUBSTITUTE($BE17:$AAQ17,"B",""))),1,0),0)))</f>
        <v>5</v>
      </c>
      <c r="AF17" t="s">
        <v>133</v>
      </c>
      <c r="AG17" t="s">
        <v>134</v>
      </c>
      <c r="AH17" t="s">
        <v>267</v>
      </c>
      <c r="AI17" s="69">
        <f t="array" ref="AI17">IF(COUNTIFS(AH$2:AH17,AH17)=1,"1",VALUE(SUBSTITUTE(INDEX(AI:AI,_xlfn.XMATCH(AH17,AH$1:AH16,0,-1)),"A",""))+INDEX(AJ:AJ,_xlfn.XMATCH(AH17,AH$1:AH16,0,-1))+1)</f>
        <v>16</v>
      </c>
      <c r="AJ17" s="69">
        <f t="array" ref="AJ17">SUM(IF(ISNUMBER(FIND("TmDo",$BE$1:$AAQ$1)),IF(IFERROR(ISNUMBER(VALUE(SUBSTITUTE($BE17:$AAQ17,"B",""))),FALSE),IF(ISNUMBER(VALUE(SUBSTITUTE($BE17:$AAQ17,"B",""))),1,0),0)))</f>
        <v>2</v>
      </c>
      <c r="AK17" t="str">
        <f t="shared" si="0"/>
        <v>16A</v>
      </c>
      <c r="AL17" t="str">
        <f t="shared" si="1"/>
        <v>16B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2"/>
        <v>XT16</v>
      </c>
      <c r="BF17" t="str">
        <f t="shared" si="3"/>
        <v>C2</v>
      </c>
      <c r="BG17" t="str">
        <f t="shared" si="4"/>
        <v>B2</v>
      </c>
      <c r="BH17" t="str">
        <f t="shared" si="5"/>
        <v>C3</v>
      </c>
      <c r="BI17" t="str">
        <f t="shared" si="6"/>
        <v>B3</v>
      </c>
      <c r="BJ17" t="str">
        <f t="shared" si="7"/>
        <v>C4</v>
      </c>
      <c r="BK17" t="str">
        <f t="shared" si="8"/>
        <v>B4</v>
      </c>
      <c r="BL17" t="str">
        <f t="shared" si="9"/>
        <v>C5</v>
      </c>
      <c r="BM17" t="str">
        <f t="shared" si="10"/>
        <v>B5</v>
      </c>
      <c r="BN17" t="str">
        <f t="shared" si="11"/>
        <v>C6</v>
      </c>
      <c r="BO17" t="str">
        <f t="shared" si="12"/>
        <v>B6</v>
      </c>
      <c r="BP17" t="str">
        <f t="shared" si="13"/>
        <v>17A</v>
      </c>
      <c r="BQ17" t="str">
        <f t="shared" si="14"/>
        <v>17B</v>
      </c>
      <c r="BR17" t="str">
        <f t="shared" si="15"/>
        <v>18A</v>
      </c>
      <c r="BS17" t="str">
        <f t="shared" si="16"/>
        <v>18B</v>
      </c>
      <c r="BT17" t="str">
        <f t="shared" si="17"/>
        <v>DI4-C1</v>
      </c>
      <c r="BU17" t="str">
        <f t="shared" si="18"/>
        <v>DI4-B1</v>
      </c>
      <c r="BV17" t="str">
        <f t="shared" si="19"/>
        <v>DI4-C2</v>
      </c>
      <c r="BW17" t="str">
        <f t="shared" si="19"/>
        <v>DI4-B2</v>
      </c>
      <c r="BX17" t="str">
        <f t="shared" si="19"/>
        <v>DI4-C3</v>
      </c>
      <c r="BY17" t="str">
        <f t="shared" si="19"/>
        <v>DI4-B3</v>
      </c>
      <c r="BZ17" t="str">
        <f t="shared" si="19"/>
        <v>DI4-C4</v>
      </c>
      <c r="CA17" t="str">
        <f t="shared" si="19"/>
        <v>DI4-B4</v>
      </c>
      <c r="CB17" t="str">
        <f t="shared" si="19"/>
        <v>DI4-C5</v>
      </c>
      <c r="CC17" t="str">
        <f t="shared" si="19"/>
        <v>DI4-B5</v>
      </c>
      <c r="CD17" t="str">
        <f t="shared" si="19"/>
        <v>DI4-C6</v>
      </c>
      <c r="CE17" t="str">
        <f t="shared" si="19"/>
        <v>DI4-B6</v>
      </c>
      <c r="CF17" t="str">
        <f t="shared" si="20"/>
        <v>DO2-16A</v>
      </c>
      <c r="CG17" t="str">
        <f t="shared" si="21"/>
        <v>DO2-16B</v>
      </c>
      <c r="CH17" t="str">
        <f t="shared" si="22"/>
        <v>DO2-17A</v>
      </c>
      <c r="CI17" t="str">
        <f t="shared" si="23"/>
        <v>DO2-17B</v>
      </c>
      <c r="CJ17" t="str">
        <f t="shared" si="24"/>
        <v>DO2-18A</v>
      </c>
      <c r="CK17" t="str">
        <f t="shared" si="25"/>
        <v>DO2-18B</v>
      </c>
      <c r="CL17" t="str">
        <f t="shared" si="27"/>
        <v>K16-10</v>
      </c>
      <c r="CM17" t="str">
        <f t="shared" si="28"/>
        <v>K16-03</v>
      </c>
      <c r="CN17" t="str">
        <f t="shared" si="29"/>
        <v>K16-04</v>
      </c>
      <c r="CO17" t="str">
        <f t="shared" si="30"/>
        <v>K16-01</v>
      </c>
      <c r="CP17" t="str">
        <f t="shared" si="31"/>
        <v>K16-08</v>
      </c>
      <c r="CQ17" t="str">
        <f t="shared" si="32"/>
        <v>K16-02</v>
      </c>
      <c r="CR17" t="str">
        <f t="shared" si="33"/>
        <v>K16-09</v>
      </c>
      <c r="CS17" t="str">
        <f t="shared" si="34"/>
        <v>K16-05</v>
      </c>
      <c r="CT17" t="str">
        <f t="shared" si="35"/>
        <v>K16-11</v>
      </c>
      <c r="CU17" t="str">
        <f t="shared" si="36"/>
        <v>F0-M16-A9</v>
      </c>
      <c r="CV17" t="str">
        <f t="shared" si="37"/>
        <v>F0-M16-A7</v>
      </c>
      <c r="CW17" t="str">
        <f t="shared" si="38"/>
        <v>F0-M16-A8</v>
      </c>
      <c r="CX17" t="str">
        <f t="shared" si="39"/>
        <v>F0-M16-A6</v>
      </c>
      <c r="CY17" t="str">
        <f t="shared" si="40"/>
        <v>F0-M16-A30</v>
      </c>
      <c r="CZ17" t="str">
        <f t="shared" si="41"/>
        <v>F0-M16-N</v>
      </c>
      <c r="DA17" t="str">
        <f t="shared" si="26"/>
        <v>F0-A220-M16</v>
      </c>
      <c r="DB17" t="str">
        <f t="shared" si="42"/>
        <v>F0-M16-XM01</v>
      </c>
      <c r="DC17" t="str">
        <f t="shared" si="43"/>
        <v>F0-M16-A1</v>
      </c>
      <c r="DD17" t="str">
        <f t="shared" si="44"/>
        <v>F0-M16-A5</v>
      </c>
      <c r="DE17" t="str">
        <f t="shared" si="45"/>
        <v>F0-M16-A11</v>
      </c>
      <c r="DF17" t="str">
        <f t="shared" si="46"/>
        <v>F0-M16-A12</v>
      </c>
      <c r="DG17" t="str">
        <f t="shared" si="47"/>
        <v>F0-M16-A19</v>
      </c>
      <c r="DH17" t="str">
        <f t="shared" si="48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s="83" t="s">
        <v>194</v>
      </c>
      <c r="B18" s="83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s="46">
        <f t="array" ref="AD18">IF(COUNTIFS(AC$2:AC18,AC18)=1,"1",VALUE(SUBSTITUTE(INDEX(AD:AD,_xlfn.XMATCH(AC18,AC$1:AC17,0,-1)),"A",""))+INDEX(AE:AE,_xlfn.XMATCH(AC18,AC$1:AC17,0,-1))+1)</f>
        <v>7</v>
      </c>
      <c r="AE18" s="46">
        <f t="array" ref="AE18">SUM(IF(ISNUMBER(FIND("TmDi",$BE$1:$AAQ$1)),IF(IFERROR(ISNUMBER(VALUE(SUBSTITUTE($BE18:$AAQ18,"B",""))),FALSE),IF(ISNUMBER(VALUE(SUBSTITUTE($BE18:$AAQ18,"B",""))),1,0),0)))</f>
        <v>5</v>
      </c>
      <c r="AF18" t="s">
        <v>148</v>
      </c>
      <c r="AG18" t="s">
        <v>149</v>
      </c>
      <c r="AH18" t="s">
        <v>267</v>
      </c>
      <c r="AI18" s="69">
        <f t="array" ref="AI18">IF(COUNTIFS(AH$2:AH18,AH18)=1,"1",VALUE(SUBSTITUTE(INDEX(AI:AI,_xlfn.XMATCH(AH18,AH$1:AH17,0,-1)),"A",""))+INDEX(AJ:AJ,_xlfn.XMATCH(AH18,AH$1:AH17,0,-1))+1)</f>
        <v>19</v>
      </c>
      <c r="AJ18" s="69">
        <f t="array" ref="AJ18">SUM(IF(ISNUMBER(FIND("TmDo",$BE$1:$AAQ$1)),IF(IFERROR(ISNUMBER(VALUE(SUBSTITUTE($BE18:$AAQ18,"B",""))),FALSE),IF(ISNUMBER(VALUE(SUBSTITUTE($BE18:$AAQ18,"B",""))),1,0),0)))</f>
        <v>2</v>
      </c>
      <c r="AK18" t="str">
        <f t="shared" si="0"/>
        <v>19A</v>
      </c>
      <c r="AL18" t="str">
        <f t="shared" si="1"/>
        <v>19B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2"/>
        <v>XT17</v>
      </c>
      <c r="BF18" t="str">
        <f t="shared" si="3"/>
        <v>C8</v>
      </c>
      <c r="BG18" t="str">
        <f t="shared" si="4"/>
        <v>B8</v>
      </c>
      <c r="BH18" t="str">
        <f t="shared" si="5"/>
        <v>C9</v>
      </c>
      <c r="BI18" t="str">
        <f t="shared" si="6"/>
        <v>B9</v>
      </c>
      <c r="BJ18" t="str">
        <f t="shared" si="7"/>
        <v>C10</v>
      </c>
      <c r="BK18" t="str">
        <f t="shared" si="8"/>
        <v>B10</v>
      </c>
      <c r="BL18" t="str">
        <f t="shared" si="9"/>
        <v>C11</v>
      </c>
      <c r="BM18" t="str">
        <f t="shared" si="10"/>
        <v>B11</v>
      </c>
      <c r="BN18" t="str">
        <f t="shared" si="11"/>
        <v>C12</v>
      </c>
      <c r="BO18" t="str">
        <f t="shared" si="12"/>
        <v>B12</v>
      </c>
      <c r="BP18" t="str">
        <f t="shared" si="13"/>
        <v>20A</v>
      </c>
      <c r="BQ18" t="str">
        <f t="shared" si="14"/>
        <v>20B</v>
      </c>
      <c r="BR18" t="str">
        <f t="shared" si="15"/>
        <v>21A</v>
      </c>
      <c r="BS18" t="str">
        <f t="shared" si="16"/>
        <v>21B</v>
      </c>
      <c r="BT18" t="str">
        <f t="shared" si="17"/>
        <v>DI4-C7</v>
      </c>
      <c r="BU18" t="str">
        <f t="shared" si="18"/>
        <v>DI4-B7</v>
      </c>
      <c r="BV18" t="str">
        <f t="shared" ref="BV18:CE33" si="49">CONCATENATE("DI",REPLACE($AC18,1,3,""),"-",BF18)</f>
        <v>DI4-C8</v>
      </c>
      <c r="BW18" t="str">
        <f t="shared" si="49"/>
        <v>DI4-B8</v>
      </c>
      <c r="BX18" t="str">
        <f t="shared" si="49"/>
        <v>DI4-C9</v>
      </c>
      <c r="BY18" t="str">
        <f t="shared" si="49"/>
        <v>DI4-B9</v>
      </c>
      <c r="BZ18" t="str">
        <f t="shared" si="49"/>
        <v>DI4-C10</v>
      </c>
      <c r="CA18" t="str">
        <f t="shared" si="49"/>
        <v>DI4-B10</v>
      </c>
      <c r="CB18" t="str">
        <f t="shared" si="49"/>
        <v>DI4-C11</v>
      </c>
      <c r="CC18" t="str">
        <f t="shared" si="49"/>
        <v>DI4-B11</v>
      </c>
      <c r="CD18" t="str">
        <f t="shared" si="49"/>
        <v>DI4-C12</v>
      </c>
      <c r="CE18" t="str">
        <f t="shared" si="49"/>
        <v>DI4-B12</v>
      </c>
      <c r="CF18" t="str">
        <f t="shared" si="20"/>
        <v>DO2-19A</v>
      </c>
      <c r="CG18" t="str">
        <f t="shared" si="21"/>
        <v>DO2-19B</v>
      </c>
      <c r="CH18" t="str">
        <f t="shared" si="22"/>
        <v>DO2-20A</v>
      </c>
      <c r="CI18" t="str">
        <f t="shared" si="23"/>
        <v>DO2-20B</v>
      </c>
      <c r="CJ18" t="str">
        <f t="shared" si="24"/>
        <v>DO2-21A</v>
      </c>
      <c r="CK18" t="str">
        <f t="shared" si="25"/>
        <v>DO2-21B</v>
      </c>
      <c r="CL18" t="str">
        <f t="shared" si="27"/>
        <v>K17-10</v>
      </c>
      <c r="CM18" t="str">
        <f t="shared" si="28"/>
        <v>K17-03</v>
      </c>
      <c r="CN18" t="str">
        <f t="shared" si="29"/>
        <v>K17-04</v>
      </c>
      <c r="CO18" t="str">
        <f t="shared" si="30"/>
        <v>K17-01</v>
      </c>
      <c r="CP18" t="str">
        <f t="shared" si="31"/>
        <v>K17-08</v>
      </c>
      <c r="CQ18" t="str">
        <f t="shared" si="32"/>
        <v>K17-02</v>
      </c>
      <c r="CR18" t="str">
        <f t="shared" si="33"/>
        <v>K17-09</v>
      </c>
      <c r="CS18" t="str">
        <f t="shared" si="34"/>
        <v>K17-05</v>
      </c>
      <c r="CT18" t="str">
        <f t="shared" si="35"/>
        <v>K17-11</v>
      </c>
      <c r="CU18" t="str">
        <f t="shared" si="36"/>
        <v>F0-M17-A9</v>
      </c>
      <c r="CV18" t="str">
        <f t="shared" si="37"/>
        <v>F0-M17-A7</v>
      </c>
      <c r="CW18" t="str">
        <f t="shared" si="38"/>
        <v>F0-M17-A8</v>
      </c>
      <c r="CX18" t="str">
        <f t="shared" si="39"/>
        <v>F0-M17-A6</v>
      </c>
      <c r="CY18" t="str">
        <f t="shared" si="40"/>
        <v>F0-M17-A30</v>
      </c>
      <c r="CZ18" t="str">
        <f t="shared" si="41"/>
        <v>F0-M17-N</v>
      </c>
      <c r="DA18" t="str">
        <f t="shared" si="26"/>
        <v>F0-A220-M17</v>
      </c>
      <c r="DB18" t="str">
        <f t="shared" si="42"/>
        <v>F0-M17-XM01</v>
      </c>
      <c r="DC18" t="str">
        <f t="shared" si="43"/>
        <v>F0-M17-A1</v>
      </c>
      <c r="DD18" t="str">
        <f t="shared" si="44"/>
        <v>F0-M17-A5</v>
      </c>
      <c r="DE18" t="str">
        <f t="shared" si="45"/>
        <v>F0-M17-A11</v>
      </c>
      <c r="DF18" t="str">
        <f t="shared" si="46"/>
        <v>F0-M17-A12</v>
      </c>
      <c r="DG18" t="str">
        <f t="shared" si="47"/>
        <v>F0-M17-A19</v>
      </c>
      <c r="DH18" t="str">
        <f t="shared" si="48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s="83" t="s">
        <v>197</v>
      </c>
      <c r="B19" s="83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s="46">
        <f t="array" ref="AD19">IF(COUNTIFS(AC$2:AC19,AC19)=1,"1",VALUE(SUBSTITUTE(INDEX(AD:AD,_xlfn.XMATCH(AC19,AC$1:AC18,0,-1)),"A",""))+INDEX(AE:AE,_xlfn.XMATCH(AC19,AC$1:AC18,0,-1))+1)</f>
        <v>13</v>
      </c>
      <c r="AE19" s="46">
        <f t="array" ref="AE19">SUM(IF(ISNUMBER(FIND("TmDi",$BE$1:$AAQ$1)),IF(IFERROR(ISNUMBER(VALUE(SUBSTITUTE($BE19:$AAQ19,"B",""))),FALSE),IF(ISNUMBER(VALUE(SUBSTITUTE($BE19:$AAQ19,"B",""))),1,0),0)))</f>
        <v>5</v>
      </c>
      <c r="AF19" t="s">
        <v>153</v>
      </c>
      <c r="AG19" t="s">
        <v>154</v>
      </c>
      <c r="AH19" t="s">
        <v>267</v>
      </c>
      <c r="AI19" s="69">
        <f t="array" ref="AI19">IF(COUNTIFS(AH$2:AH19,AH19)=1,"1",VALUE(SUBSTITUTE(INDEX(AI:AI,_xlfn.XMATCH(AH19,AH$1:AH18,0,-1)),"A",""))+INDEX(AJ:AJ,_xlfn.XMATCH(AH19,AH$1:AH18,0,-1))+1)</f>
        <v>22</v>
      </c>
      <c r="AJ19" s="69">
        <f t="array" ref="AJ19">SUM(IF(ISNUMBER(FIND("TmDo",$BE$1:$AAQ$1)),IF(IFERROR(ISNUMBER(VALUE(SUBSTITUTE($BE19:$AAQ19,"B",""))),FALSE),IF(ISNUMBER(VALUE(SUBSTITUTE($BE19:$AAQ19,"B",""))),1,0),0)))</f>
        <v>2</v>
      </c>
      <c r="AK19" t="str">
        <f t="shared" si="0"/>
        <v>22A</v>
      </c>
      <c r="AL19" t="str">
        <f t="shared" si="1"/>
        <v>22B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2"/>
        <v>XT18</v>
      </c>
      <c r="BF19" t="str">
        <f t="shared" si="3"/>
        <v>C14</v>
      </c>
      <c r="BG19" t="str">
        <f t="shared" si="4"/>
        <v>B14</v>
      </c>
      <c r="BH19" t="str">
        <f t="shared" si="5"/>
        <v>C15</v>
      </c>
      <c r="BI19" t="str">
        <f t="shared" si="6"/>
        <v>B15</v>
      </c>
      <c r="BJ19" t="str">
        <f t="shared" si="7"/>
        <v>C16</v>
      </c>
      <c r="BK19" t="str">
        <f t="shared" si="8"/>
        <v>B16</v>
      </c>
      <c r="BL19" t="str">
        <f t="shared" si="9"/>
        <v>C17</v>
      </c>
      <c r="BM19" t="str">
        <f t="shared" si="10"/>
        <v>B17</v>
      </c>
      <c r="BN19" t="str">
        <f t="shared" si="11"/>
        <v>C18</v>
      </c>
      <c r="BO19" t="str">
        <f t="shared" si="12"/>
        <v>B18</v>
      </c>
      <c r="BP19" t="str">
        <f t="shared" si="13"/>
        <v>23A</v>
      </c>
      <c r="BQ19" t="str">
        <f t="shared" si="14"/>
        <v>23B</v>
      </c>
      <c r="BR19" t="str">
        <f t="shared" si="15"/>
        <v>24A</v>
      </c>
      <c r="BS19" t="str">
        <f t="shared" si="16"/>
        <v>24B</v>
      </c>
      <c r="BT19" t="str">
        <f t="shared" si="17"/>
        <v>DI4-C13</v>
      </c>
      <c r="BU19" t="str">
        <f t="shared" si="18"/>
        <v>DI4-B13</v>
      </c>
      <c r="BV19" t="str">
        <f t="shared" si="49"/>
        <v>DI4-C14</v>
      </c>
      <c r="BW19" t="str">
        <f t="shared" si="49"/>
        <v>DI4-B14</v>
      </c>
      <c r="BX19" t="str">
        <f t="shared" si="49"/>
        <v>DI4-C15</v>
      </c>
      <c r="BY19" t="str">
        <f t="shared" si="49"/>
        <v>DI4-B15</v>
      </c>
      <c r="BZ19" t="str">
        <f t="shared" si="49"/>
        <v>DI4-C16</v>
      </c>
      <c r="CA19" t="str">
        <f t="shared" si="49"/>
        <v>DI4-B16</v>
      </c>
      <c r="CB19" t="str">
        <f t="shared" si="49"/>
        <v>DI4-C17</v>
      </c>
      <c r="CC19" t="str">
        <f t="shared" si="49"/>
        <v>DI4-B17</v>
      </c>
      <c r="CD19" t="str">
        <f t="shared" si="49"/>
        <v>DI4-C18</v>
      </c>
      <c r="CE19" t="str">
        <f t="shared" si="49"/>
        <v>DI4-B18</v>
      </c>
      <c r="CF19" t="str">
        <f t="shared" si="20"/>
        <v>DO2-22A</v>
      </c>
      <c r="CG19" t="str">
        <f t="shared" si="21"/>
        <v>DO2-22B</v>
      </c>
      <c r="CH19" t="str">
        <f t="shared" si="22"/>
        <v>DO2-23A</v>
      </c>
      <c r="CI19" t="str">
        <f t="shared" si="23"/>
        <v>DO2-23B</v>
      </c>
      <c r="CJ19" t="str">
        <f t="shared" si="24"/>
        <v>DO2-24A</v>
      </c>
      <c r="CK19" t="str">
        <f t="shared" si="25"/>
        <v>DO2-24B</v>
      </c>
      <c r="CL19" t="str">
        <f t="shared" si="27"/>
        <v>K18-10</v>
      </c>
      <c r="CM19" t="str">
        <f t="shared" si="28"/>
        <v>K18-03</v>
      </c>
      <c r="CN19" t="str">
        <f t="shared" si="29"/>
        <v>K18-04</v>
      </c>
      <c r="CO19" t="str">
        <f t="shared" si="30"/>
        <v>K18-01</v>
      </c>
      <c r="CP19" t="str">
        <f t="shared" si="31"/>
        <v>K18-08</v>
      </c>
      <c r="CQ19" t="str">
        <f t="shared" si="32"/>
        <v>K18-02</v>
      </c>
      <c r="CR19" t="str">
        <f t="shared" si="33"/>
        <v>K18-09</v>
      </c>
      <c r="CS19" t="str">
        <f t="shared" si="34"/>
        <v>K18-05</v>
      </c>
      <c r="CT19" t="str">
        <f t="shared" si="35"/>
        <v>K18-11</v>
      </c>
      <c r="CU19" t="str">
        <f t="shared" si="36"/>
        <v>F0-M18-A9</v>
      </c>
      <c r="CV19" t="str">
        <f t="shared" si="37"/>
        <v>F0-M18-A7</v>
      </c>
      <c r="CW19" t="str">
        <f t="shared" si="38"/>
        <v>F0-M18-A8</v>
      </c>
      <c r="CX19" t="str">
        <f t="shared" si="39"/>
        <v>F0-M18-A6</v>
      </c>
      <c r="CY19" t="str">
        <f t="shared" si="40"/>
        <v>F0-M18-A30</v>
      </c>
      <c r="CZ19" t="str">
        <f t="shared" si="41"/>
        <v>F0-M18-N</v>
      </c>
      <c r="DA19" t="str">
        <f t="shared" si="26"/>
        <v>F0-A220-M18</v>
      </c>
      <c r="DB19" t="str">
        <f t="shared" si="42"/>
        <v>F0-M18-XM01</v>
      </c>
      <c r="DC19" t="str">
        <f t="shared" si="43"/>
        <v>F0-M18-A1</v>
      </c>
      <c r="DD19" t="str">
        <f t="shared" si="44"/>
        <v>F0-M18-A5</v>
      </c>
      <c r="DE19" t="str">
        <f t="shared" si="45"/>
        <v>F0-M18-A11</v>
      </c>
      <c r="DF19" t="str">
        <f t="shared" si="46"/>
        <v>F0-M18-A12</v>
      </c>
      <c r="DG19" t="str">
        <f t="shared" si="47"/>
        <v>F0-M18-A19</v>
      </c>
      <c r="DH19" t="str">
        <f t="shared" si="48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s="83" t="s">
        <v>200</v>
      </c>
      <c r="B20" s="83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s="46">
        <f t="array" ref="AD20">IF(COUNTIFS(AC$2:AC20,AC20)=1,"1",VALUE(SUBSTITUTE(INDEX(AD:AD,_xlfn.XMATCH(AC20,AC$1:AC19,0,-1)),"A",""))+INDEX(AE:AE,_xlfn.XMATCH(AC20,AC$1:AC19,0,-1))+1)</f>
        <v>19</v>
      </c>
      <c r="AE20" s="46">
        <f t="array" ref="AE20">SUM(IF(ISNUMBER(FIND("TmDi",$BE$1:$AAQ$1)),IF(IFERROR(ISNUMBER(VALUE(SUBSTITUTE($BE20:$AAQ20,"B",""))),FALSE),IF(ISNUMBER(VALUE(SUBSTITUTE($BE20:$AAQ20,"B",""))),1,0),0)))</f>
        <v>5</v>
      </c>
      <c r="AF20" t="s">
        <v>239</v>
      </c>
      <c r="AG20" t="s">
        <v>241</v>
      </c>
      <c r="AH20" t="s">
        <v>267</v>
      </c>
      <c r="AI20" s="69">
        <f t="array" ref="AI20">IF(COUNTIFS(AH$2:AH20,AH20)=1,"1",VALUE(SUBSTITUTE(INDEX(AI:AI,_xlfn.XMATCH(AH20,AH$1:AH19,0,-1)),"A",""))+INDEX(AJ:AJ,_xlfn.XMATCH(AH20,AH$1:AH19,0,-1))+1)</f>
        <v>25</v>
      </c>
      <c r="AJ20" s="69">
        <f t="array" ref="AJ20">SUM(IF(ISNUMBER(FIND("TmDo",$BE$1:$AAQ$1)),IF(IFERROR(ISNUMBER(VALUE(SUBSTITUTE($BE20:$AAQ20,"B",""))),FALSE),IF(ISNUMBER(VALUE(SUBSTITUTE($BE20:$AAQ20,"B",""))),1,0),0)))</f>
        <v>2</v>
      </c>
      <c r="AK20" t="str">
        <f t="shared" si="0"/>
        <v>25A</v>
      </c>
      <c r="AL20" t="str">
        <f t="shared" si="1"/>
        <v>25B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2"/>
        <v>XT19</v>
      </c>
      <c r="BF20" t="str">
        <f t="shared" si="3"/>
        <v>C20</v>
      </c>
      <c r="BG20" t="str">
        <f t="shared" si="4"/>
        <v>B20</v>
      </c>
      <c r="BH20" t="str">
        <f t="shared" si="5"/>
        <v>C21</v>
      </c>
      <c r="BI20" t="str">
        <f t="shared" si="6"/>
        <v>B21</v>
      </c>
      <c r="BJ20" t="str">
        <f t="shared" si="7"/>
        <v>C22</v>
      </c>
      <c r="BK20" t="str">
        <f t="shared" si="8"/>
        <v>B22</v>
      </c>
      <c r="BL20" t="str">
        <f t="shared" si="9"/>
        <v>C23</v>
      </c>
      <c r="BM20" t="str">
        <f t="shared" si="10"/>
        <v>B23</v>
      </c>
      <c r="BN20" t="str">
        <f t="shared" si="11"/>
        <v>C24</v>
      </c>
      <c r="BO20" t="str">
        <f t="shared" si="12"/>
        <v>B24</v>
      </c>
      <c r="BP20" t="str">
        <f t="shared" si="13"/>
        <v>26A</v>
      </c>
      <c r="BQ20" t="str">
        <f t="shared" si="14"/>
        <v>26B</v>
      </c>
      <c r="BR20" t="str">
        <f t="shared" si="15"/>
        <v>27A</v>
      </c>
      <c r="BS20" t="str">
        <f t="shared" si="16"/>
        <v>27B</v>
      </c>
      <c r="BT20" t="str">
        <f t="shared" si="17"/>
        <v>DI4-C19</v>
      </c>
      <c r="BU20" t="str">
        <f t="shared" si="18"/>
        <v>DI4-B19</v>
      </c>
      <c r="BV20" t="str">
        <f t="shared" si="49"/>
        <v>DI4-C20</v>
      </c>
      <c r="BW20" t="str">
        <f t="shared" si="49"/>
        <v>DI4-B20</v>
      </c>
      <c r="BX20" t="str">
        <f t="shared" si="49"/>
        <v>DI4-C21</v>
      </c>
      <c r="BY20" t="str">
        <f t="shared" si="49"/>
        <v>DI4-B21</v>
      </c>
      <c r="BZ20" t="str">
        <f t="shared" si="49"/>
        <v>DI4-C22</v>
      </c>
      <c r="CA20" t="str">
        <f t="shared" si="49"/>
        <v>DI4-B22</v>
      </c>
      <c r="CB20" t="str">
        <f t="shared" si="49"/>
        <v>DI4-C23</v>
      </c>
      <c r="CC20" t="str">
        <f t="shared" si="49"/>
        <v>DI4-B23</v>
      </c>
      <c r="CD20" t="str">
        <f t="shared" si="49"/>
        <v>DI4-C24</v>
      </c>
      <c r="CE20" t="str">
        <f t="shared" si="49"/>
        <v>DI4-B24</v>
      </c>
      <c r="CF20" t="str">
        <f t="shared" si="20"/>
        <v>DO2-25A</v>
      </c>
      <c r="CG20" t="str">
        <f t="shared" si="21"/>
        <v>DO2-25B</v>
      </c>
      <c r="CH20" t="str">
        <f t="shared" si="22"/>
        <v>DO2-26A</v>
      </c>
      <c r="CI20" t="str">
        <f t="shared" si="23"/>
        <v>DO2-26B</v>
      </c>
      <c r="CJ20" t="str">
        <f t="shared" si="24"/>
        <v>DO2-27A</v>
      </c>
      <c r="CK20" t="str">
        <f t="shared" si="25"/>
        <v>DO2-27B</v>
      </c>
      <c r="CL20" t="str">
        <f t="shared" si="27"/>
        <v>K19-10</v>
      </c>
      <c r="CM20" t="str">
        <f t="shared" si="28"/>
        <v>K19-03</v>
      </c>
      <c r="CN20" t="str">
        <f t="shared" si="29"/>
        <v>K19-04</v>
      </c>
      <c r="CO20" t="str">
        <f t="shared" si="30"/>
        <v>K19-01</v>
      </c>
      <c r="CP20" t="str">
        <f t="shared" si="31"/>
        <v>K19-08</v>
      </c>
      <c r="CQ20" t="str">
        <f t="shared" si="32"/>
        <v>K19-02</v>
      </c>
      <c r="CR20" t="str">
        <f t="shared" si="33"/>
        <v>K19-09</v>
      </c>
      <c r="CS20" t="str">
        <f t="shared" si="34"/>
        <v>K19-05</v>
      </c>
      <c r="CT20" t="str">
        <f t="shared" si="35"/>
        <v>K19-11</v>
      </c>
      <c r="CU20" t="str">
        <f t="shared" si="36"/>
        <v>F0-M19-A9</v>
      </c>
      <c r="CV20" t="str">
        <f t="shared" si="37"/>
        <v>F0-M19-A7</v>
      </c>
      <c r="CW20" t="str">
        <f t="shared" si="38"/>
        <v>F0-M19-A8</v>
      </c>
      <c r="CX20" t="str">
        <f t="shared" si="39"/>
        <v>F0-M19-A6</v>
      </c>
      <c r="CY20" t="str">
        <f t="shared" si="40"/>
        <v>F0-M19-A30</v>
      </c>
      <c r="CZ20" t="str">
        <f t="shared" si="41"/>
        <v>F0-M19-N</v>
      </c>
      <c r="DA20" t="str">
        <f t="shared" si="26"/>
        <v>F0-A220-M19</v>
      </c>
      <c r="DB20" t="str">
        <f t="shared" si="42"/>
        <v>F0-M19-XM01</v>
      </c>
      <c r="DC20" t="str">
        <f t="shared" si="43"/>
        <v>F0-M19-A1</v>
      </c>
      <c r="DD20" t="str">
        <f t="shared" si="44"/>
        <v>F0-M19-A5</v>
      </c>
      <c r="DE20" t="str">
        <f t="shared" si="45"/>
        <v>F0-M19-A11</v>
      </c>
      <c r="DF20" t="str">
        <f t="shared" si="46"/>
        <v>F0-M19-A12</v>
      </c>
      <c r="DG20" t="str">
        <f t="shared" si="47"/>
        <v>F0-M19-A19</v>
      </c>
      <c r="DH20" t="str">
        <f t="shared" si="48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s="83" t="s">
        <v>203</v>
      </c>
      <c r="B21" s="83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s="46">
        <f t="array" ref="AD21">IF(COUNTIFS(AC$2:AC21,AC21)=1,"1",VALUE(SUBSTITUTE(INDEX(AD:AD,_xlfn.XMATCH(AC21,AC$1:AC20,0,-1)),"A",""))+INDEX(AE:AE,_xlfn.XMATCH(AC21,AC$1:AC20,0,-1))+1)</f>
        <v>25</v>
      </c>
      <c r="AE21" s="46">
        <f t="array" ref="AE21">SUM(IF(ISNUMBER(FIND("TmDi",$BE$1:$AAQ$1)),IF(IFERROR(ISNUMBER(VALUE(SUBSTITUTE($BE21:$AAQ21,"B",""))),FALSE),IF(ISNUMBER(VALUE(SUBSTITUTE($BE21:$AAQ21,"B",""))),1,0),0)))</f>
        <v>5</v>
      </c>
      <c r="AF21" t="s">
        <v>240</v>
      </c>
      <c r="AG21" t="s">
        <v>242</v>
      </c>
      <c r="AH21" t="s">
        <v>267</v>
      </c>
      <c r="AI21" s="69">
        <f t="array" ref="AI21">IF(COUNTIFS(AH$2:AH21,AH21)=1,"1",VALUE(SUBSTITUTE(INDEX(AI:AI,_xlfn.XMATCH(AH21,AH$1:AH20,0,-1)),"A",""))+INDEX(AJ:AJ,_xlfn.XMATCH(AH21,AH$1:AH20,0,-1))+1)</f>
        <v>28</v>
      </c>
      <c r="AJ21" s="69">
        <f t="array" ref="AJ21">SUM(IF(ISNUMBER(FIND("TmDo",$BE$1:$AAQ$1)),IF(IFERROR(ISNUMBER(VALUE(SUBSTITUTE($BE21:$AAQ21,"B",""))),FALSE),IF(ISNUMBER(VALUE(SUBSTITUTE($BE21:$AAQ21,"B",""))),1,0),0)))</f>
        <v>2</v>
      </c>
      <c r="AK21" t="str">
        <f t="shared" si="0"/>
        <v>28A</v>
      </c>
      <c r="AL21" t="str">
        <f t="shared" si="1"/>
        <v>28B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2"/>
        <v>XT20</v>
      </c>
      <c r="BF21" t="str">
        <f t="shared" si="3"/>
        <v>C26</v>
      </c>
      <c r="BG21" t="str">
        <f t="shared" si="4"/>
        <v>B26</v>
      </c>
      <c r="BH21" t="str">
        <f t="shared" si="5"/>
        <v>C27</v>
      </c>
      <c r="BI21" t="str">
        <f t="shared" si="6"/>
        <v>B27</v>
      </c>
      <c r="BJ21" t="str">
        <f t="shared" si="7"/>
        <v>C28</v>
      </c>
      <c r="BK21" t="str">
        <f t="shared" si="8"/>
        <v>B28</v>
      </c>
      <c r="BL21" t="str">
        <f t="shared" si="9"/>
        <v>C29</v>
      </c>
      <c r="BM21" t="str">
        <f t="shared" si="10"/>
        <v>B29</v>
      </c>
      <c r="BN21" t="str">
        <f t="shared" si="11"/>
        <v>C30</v>
      </c>
      <c r="BO21" t="str">
        <f t="shared" si="12"/>
        <v>B30</v>
      </c>
      <c r="BP21" t="str">
        <f t="shared" si="13"/>
        <v>29A</v>
      </c>
      <c r="BQ21" t="str">
        <f t="shared" si="14"/>
        <v>29B</v>
      </c>
      <c r="BR21" t="str">
        <f t="shared" si="15"/>
        <v>30A</v>
      </c>
      <c r="BS21" t="str">
        <f t="shared" si="16"/>
        <v>30B</v>
      </c>
      <c r="BT21" t="str">
        <f t="shared" si="17"/>
        <v>DI4-C25</v>
      </c>
      <c r="BU21" t="str">
        <f t="shared" si="18"/>
        <v>DI4-B25</v>
      </c>
      <c r="BV21" t="str">
        <f t="shared" si="49"/>
        <v>DI4-C26</v>
      </c>
      <c r="BW21" t="str">
        <f t="shared" si="49"/>
        <v>DI4-B26</v>
      </c>
      <c r="BX21" t="str">
        <f t="shared" si="49"/>
        <v>DI4-C27</v>
      </c>
      <c r="BY21" t="str">
        <f t="shared" si="49"/>
        <v>DI4-B27</v>
      </c>
      <c r="BZ21" t="str">
        <f t="shared" si="49"/>
        <v>DI4-C28</v>
      </c>
      <c r="CA21" t="str">
        <f t="shared" si="49"/>
        <v>DI4-B28</v>
      </c>
      <c r="CB21" t="str">
        <f t="shared" si="49"/>
        <v>DI4-C29</v>
      </c>
      <c r="CC21" t="str">
        <f t="shared" si="49"/>
        <v>DI4-B29</v>
      </c>
      <c r="CD21" t="str">
        <f t="shared" si="49"/>
        <v>DI4-C30</v>
      </c>
      <c r="CE21" t="str">
        <f t="shared" si="49"/>
        <v>DI4-B30</v>
      </c>
      <c r="CF21" t="str">
        <f t="shared" si="20"/>
        <v>DO2-28A</v>
      </c>
      <c r="CG21" t="str">
        <f t="shared" si="21"/>
        <v>DO2-28B</v>
      </c>
      <c r="CH21" t="str">
        <f t="shared" si="22"/>
        <v>DO2-29A</v>
      </c>
      <c r="CI21" t="str">
        <f t="shared" si="23"/>
        <v>DO2-29B</v>
      </c>
      <c r="CJ21" t="str">
        <f t="shared" si="24"/>
        <v>DO2-30A</v>
      </c>
      <c r="CK21" t="str">
        <f t="shared" si="25"/>
        <v>DO2-30B</v>
      </c>
      <c r="CL21" t="str">
        <f t="shared" si="27"/>
        <v>K20-10</v>
      </c>
      <c r="CM21" t="str">
        <f t="shared" si="28"/>
        <v>K20-03</v>
      </c>
      <c r="CN21" t="str">
        <f t="shared" si="29"/>
        <v>K20-04</v>
      </c>
      <c r="CO21" t="str">
        <f t="shared" si="30"/>
        <v>K20-01</v>
      </c>
      <c r="CP21" t="str">
        <f t="shared" si="31"/>
        <v>K20-08</v>
      </c>
      <c r="CQ21" t="str">
        <f t="shared" si="32"/>
        <v>K20-02</v>
      </c>
      <c r="CR21" t="str">
        <f t="shared" si="33"/>
        <v>K20-09</v>
      </c>
      <c r="CS21" t="str">
        <f t="shared" si="34"/>
        <v>K20-05</v>
      </c>
      <c r="CT21" t="str">
        <f t="shared" si="35"/>
        <v>K20-11</v>
      </c>
      <c r="CU21" t="str">
        <f t="shared" si="36"/>
        <v>F0-M20-A9</v>
      </c>
      <c r="CV21" t="str">
        <f t="shared" si="37"/>
        <v>F0-M20-A7</v>
      </c>
      <c r="CW21" t="str">
        <f t="shared" si="38"/>
        <v>F0-M20-A8</v>
      </c>
      <c r="CX21" t="str">
        <f t="shared" si="39"/>
        <v>F0-M20-A6</v>
      </c>
      <c r="CY21" t="str">
        <f t="shared" si="40"/>
        <v>F0-M20-A30</v>
      </c>
      <c r="CZ21" t="str">
        <f t="shared" si="41"/>
        <v>F0-M20-N</v>
      </c>
      <c r="DA21" t="str">
        <f t="shared" si="26"/>
        <v>F0-A220-M20</v>
      </c>
      <c r="DB21" t="str">
        <f t="shared" si="42"/>
        <v>F0-M20-XM01</v>
      </c>
      <c r="DC21" t="str">
        <f t="shared" si="43"/>
        <v>F0-M20-A1</v>
      </c>
      <c r="DD21" t="str">
        <f t="shared" si="44"/>
        <v>F0-M20-A5</v>
      </c>
      <c r="DE21" t="str">
        <f t="shared" si="45"/>
        <v>F0-M20-A11</v>
      </c>
      <c r="DF21" t="str">
        <f t="shared" si="46"/>
        <v>F0-M20-A12</v>
      </c>
      <c r="DG21" t="str">
        <f t="shared" si="47"/>
        <v>F0-M20-A19</v>
      </c>
      <c r="DH21" t="str">
        <f t="shared" si="48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s="83" t="s">
        <v>206</v>
      </c>
      <c r="B22" s="83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s="46" t="str">
        <f t="array" ref="AD22">IF(COUNTIFS(AC$2:AC22,AC22)=1,"1",VALUE(SUBSTITUTE(INDEX(AD:AD,_xlfn.XMATCH(AC22,AC$1:AC21,0,-1)),"A",""))+INDEX(AE:AE,_xlfn.XMATCH(AC22,AC$1:AC21,0,-1))+1)</f>
        <v>1</v>
      </c>
      <c r="AE22" s="46">
        <f t="array" ref="AE22">SUM(IF(ISNUMBER(FIND("TmDi",$BE$1:$AAQ$1)),IF(IFERROR(ISNUMBER(VALUE(SUBSTITUTE($BE22:$AAQ22,"B",""))),FALSE),IF(ISNUMBER(VALUE(SUBSTITUTE($BE22:$AAQ22,"B",""))),1,0),0)))</f>
        <v>5</v>
      </c>
      <c r="AF22" t="s">
        <v>133</v>
      </c>
      <c r="AG22" t="s">
        <v>134</v>
      </c>
      <c r="AH22" t="s">
        <v>268</v>
      </c>
      <c r="AI22" s="69" t="str">
        <f t="array" ref="AI22">IF(COUNTIFS(AH$2:AH22,AH22)=1,"1",VALUE(SUBSTITUTE(INDEX(AI:AI,_xlfn.XMATCH(AH22,AH$1:AH21,0,-1)),"A",""))+INDEX(AJ:AJ,_xlfn.XMATCH(AH22,AH$1:AH21,0,-1))+1)</f>
        <v>1</v>
      </c>
      <c r="AJ22" s="69">
        <f t="array" ref="AJ22">SUM(IF(ISNUMBER(FIND("TmDo",$BE$1:$AAQ$1)),IF(IFERROR(ISNUMBER(VALUE(SUBSTITUTE($BE22:$AAQ22,"B",""))),FALSE),IF(ISNUMBER(VALUE(SUBSTITUTE($BE22:$AAQ22,"B",""))),1,0),0)))</f>
        <v>2</v>
      </c>
      <c r="AK22" t="str">
        <f t="shared" si="0"/>
        <v>1A</v>
      </c>
      <c r="AL22" t="str">
        <f t="shared" si="1"/>
        <v>1B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2"/>
        <v>XT21</v>
      </c>
      <c r="BF22" t="str">
        <f t="shared" si="3"/>
        <v>C2</v>
      </c>
      <c r="BG22" t="str">
        <f t="shared" si="4"/>
        <v>B2</v>
      </c>
      <c r="BH22" t="str">
        <f t="shared" si="5"/>
        <v>C3</v>
      </c>
      <c r="BI22" t="str">
        <f t="shared" si="6"/>
        <v>B3</v>
      </c>
      <c r="BJ22" t="str">
        <f t="shared" si="7"/>
        <v>C4</v>
      </c>
      <c r="BK22" t="str">
        <f t="shared" si="8"/>
        <v>B4</v>
      </c>
      <c r="BL22" t="str">
        <f t="shared" si="9"/>
        <v>C5</v>
      </c>
      <c r="BM22" t="str">
        <f t="shared" si="10"/>
        <v>B5</v>
      </c>
      <c r="BN22" t="str">
        <f t="shared" si="11"/>
        <v>C6</v>
      </c>
      <c r="BO22" t="str">
        <f t="shared" si="12"/>
        <v>B6</v>
      </c>
      <c r="BP22" t="str">
        <f t="shared" si="13"/>
        <v>2A</v>
      </c>
      <c r="BQ22" t="str">
        <f t="shared" si="14"/>
        <v>2B</v>
      </c>
      <c r="BR22" t="str">
        <f t="shared" si="15"/>
        <v>3A</v>
      </c>
      <c r="BS22" t="str">
        <f t="shared" si="16"/>
        <v>3B</v>
      </c>
      <c r="BT22" t="str">
        <f t="shared" si="17"/>
        <v>DI5-C1</v>
      </c>
      <c r="BU22" t="str">
        <f t="shared" si="18"/>
        <v>DI5-B1</v>
      </c>
      <c r="BV22" t="str">
        <f t="shared" si="49"/>
        <v>DI5-C2</v>
      </c>
      <c r="BW22" t="str">
        <f t="shared" si="49"/>
        <v>DI5-B2</v>
      </c>
      <c r="BX22" t="str">
        <f t="shared" si="49"/>
        <v>DI5-C3</v>
      </c>
      <c r="BY22" t="str">
        <f t="shared" si="49"/>
        <v>DI5-B3</v>
      </c>
      <c r="BZ22" t="str">
        <f t="shared" si="49"/>
        <v>DI5-C4</v>
      </c>
      <c r="CA22" t="str">
        <f t="shared" si="49"/>
        <v>DI5-B4</v>
      </c>
      <c r="CB22" t="str">
        <f t="shared" si="49"/>
        <v>DI5-C5</v>
      </c>
      <c r="CC22" t="str">
        <f t="shared" si="49"/>
        <v>DI5-B5</v>
      </c>
      <c r="CD22" t="str">
        <f t="shared" si="49"/>
        <v>DI5-C6</v>
      </c>
      <c r="CE22" t="str">
        <f t="shared" si="49"/>
        <v>DI5-B6</v>
      </c>
      <c r="CF22" t="str">
        <f t="shared" si="20"/>
        <v>DO3-1A</v>
      </c>
      <c r="CG22" t="str">
        <f t="shared" si="21"/>
        <v>DO3-1B</v>
      </c>
      <c r="CH22" t="str">
        <f t="shared" si="22"/>
        <v>DO3-2A</v>
      </c>
      <c r="CI22" t="str">
        <f t="shared" si="23"/>
        <v>DO3-2B</v>
      </c>
      <c r="CJ22" t="str">
        <f t="shared" si="24"/>
        <v>DO3-3A</v>
      </c>
      <c r="CK22" t="str">
        <f t="shared" si="25"/>
        <v>DO3-3B</v>
      </c>
      <c r="CL22" t="str">
        <f t="shared" si="27"/>
        <v>K21-10</v>
      </c>
      <c r="CM22" t="str">
        <f t="shared" si="28"/>
        <v>K21-03</v>
      </c>
      <c r="CN22" t="str">
        <f t="shared" si="29"/>
        <v>K21-04</v>
      </c>
      <c r="CO22" t="str">
        <f t="shared" si="30"/>
        <v>K21-01</v>
      </c>
      <c r="CP22" t="str">
        <f t="shared" si="31"/>
        <v>K21-08</v>
      </c>
      <c r="CQ22" t="str">
        <f t="shared" si="32"/>
        <v>K21-02</v>
      </c>
      <c r="CR22" t="str">
        <f t="shared" si="33"/>
        <v>K21-09</v>
      </c>
      <c r="CS22" t="str">
        <f t="shared" si="34"/>
        <v>K21-05</v>
      </c>
      <c r="CT22" t="str">
        <f t="shared" si="35"/>
        <v>K21-11</v>
      </c>
      <c r="CU22" t="str">
        <f t="shared" si="36"/>
        <v>F0-M21-A9</v>
      </c>
      <c r="CV22" t="str">
        <f t="shared" si="37"/>
        <v>F0-M21-A7</v>
      </c>
      <c r="CW22" t="str">
        <f t="shared" si="38"/>
        <v>F0-M21-A8</v>
      </c>
      <c r="CX22" t="str">
        <f t="shared" si="39"/>
        <v>F0-M21-A6</v>
      </c>
      <c r="CY22" t="str">
        <f t="shared" si="40"/>
        <v>F0-M21-A30</v>
      </c>
      <c r="CZ22" t="str">
        <f t="shared" si="41"/>
        <v>F0-M21-N</v>
      </c>
      <c r="DA22" t="str">
        <f t="shared" si="26"/>
        <v>F0-A220-M21</v>
      </c>
      <c r="DB22" t="str">
        <f t="shared" si="42"/>
        <v>F0-M21-XM01</v>
      </c>
      <c r="DC22" t="str">
        <f t="shared" si="43"/>
        <v>F0-M21-A1</v>
      </c>
      <c r="DD22" t="str">
        <f t="shared" si="44"/>
        <v>F0-M21-A5</v>
      </c>
      <c r="DE22" t="str">
        <f t="shared" si="45"/>
        <v>F0-M21-A11</v>
      </c>
      <c r="DF22" t="str">
        <f t="shared" si="46"/>
        <v>F0-M21-A12</v>
      </c>
      <c r="DG22" t="str">
        <f t="shared" si="47"/>
        <v>F0-M21-A19</v>
      </c>
      <c r="DH22" t="str">
        <f t="shared" si="48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s="83" t="s">
        <v>209</v>
      </c>
      <c r="B23" s="8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s="46">
        <f t="array" ref="AD23">IF(COUNTIFS(AC$2:AC23,AC23)=1,"1",VALUE(SUBSTITUTE(INDEX(AD:AD,_xlfn.XMATCH(AC23,AC$1:AC22,0,-1)),"A",""))+INDEX(AE:AE,_xlfn.XMATCH(AC23,AC$1:AC22,0,-1))+1)</f>
        <v>7</v>
      </c>
      <c r="AE23" s="46">
        <f t="array" ref="AE23">SUM(IF(ISNUMBER(FIND("TmDi",$BE$1:$AAQ$1)),IF(IFERROR(ISNUMBER(VALUE(SUBSTITUTE($BE23:$AAQ23,"B",""))),FALSE),IF(ISNUMBER(VALUE(SUBSTITUTE($BE23:$AAQ23,"B",""))),1,0),0)))</f>
        <v>5</v>
      </c>
      <c r="AF23" t="s">
        <v>148</v>
      </c>
      <c r="AG23" t="s">
        <v>149</v>
      </c>
      <c r="AH23" t="s">
        <v>268</v>
      </c>
      <c r="AI23" s="69">
        <f t="array" ref="AI23">IF(COUNTIFS(AH$2:AH23,AH23)=1,"1",VALUE(SUBSTITUTE(INDEX(AI:AI,_xlfn.XMATCH(AH23,AH$1:AH22,0,-1)),"A",""))+INDEX(AJ:AJ,_xlfn.XMATCH(AH23,AH$1:AH22,0,-1))+1)</f>
        <v>4</v>
      </c>
      <c r="AJ23" s="69">
        <f t="array" ref="AJ23">SUM(IF(ISNUMBER(FIND("TmDo",$BE$1:$AAQ$1)),IF(IFERROR(ISNUMBER(VALUE(SUBSTITUTE($BE23:$AAQ23,"B",""))),FALSE),IF(ISNUMBER(VALUE(SUBSTITUTE($BE23:$AAQ23,"B",""))),1,0),0)))</f>
        <v>2</v>
      </c>
      <c r="AK23" t="str">
        <f t="shared" si="0"/>
        <v>4A</v>
      </c>
      <c r="AL23" t="str">
        <f t="shared" si="1"/>
        <v>4B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2"/>
        <v>XT22</v>
      </c>
      <c r="BF23" t="str">
        <f t="shared" si="3"/>
        <v>C8</v>
      </c>
      <c r="BG23" t="str">
        <f t="shared" si="4"/>
        <v>B8</v>
      </c>
      <c r="BH23" t="str">
        <f t="shared" si="5"/>
        <v>C9</v>
      </c>
      <c r="BI23" t="str">
        <f t="shared" si="6"/>
        <v>B9</v>
      </c>
      <c r="BJ23" t="str">
        <f t="shared" si="7"/>
        <v>C10</v>
      </c>
      <c r="BK23" t="str">
        <f t="shared" si="8"/>
        <v>B10</v>
      </c>
      <c r="BL23" t="str">
        <f t="shared" si="9"/>
        <v>C11</v>
      </c>
      <c r="BM23" t="str">
        <f t="shared" si="10"/>
        <v>B11</v>
      </c>
      <c r="BN23" t="str">
        <f t="shared" si="11"/>
        <v>C12</v>
      </c>
      <c r="BO23" t="str">
        <f t="shared" si="12"/>
        <v>B12</v>
      </c>
      <c r="BP23" t="str">
        <f t="shared" si="13"/>
        <v>5A</v>
      </c>
      <c r="BQ23" t="str">
        <f t="shared" si="14"/>
        <v>5B</v>
      </c>
      <c r="BR23" t="str">
        <f t="shared" si="15"/>
        <v>6A</v>
      </c>
      <c r="BS23" t="str">
        <f t="shared" si="16"/>
        <v>6B</v>
      </c>
      <c r="BT23" t="str">
        <f t="shared" si="17"/>
        <v>DI5-C7</v>
      </c>
      <c r="BU23" t="str">
        <f t="shared" si="18"/>
        <v>DI5-B7</v>
      </c>
      <c r="BV23" t="str">
        <f t="shared" si="49"/>
        <v>DI5-C8</v>
      </c>
      <c r="BW23" t="str">
        <f t="shared" si="49"/>
        <v>DI5-B8</v>
      </c>
      <c r="BX23" t="str">
        <f t="shared" si="49"/>
        <v>DI5-C9</v>
      </c>
      <c r="BY23" t="str">
        <f t="shared" si="49"/>
        <v>DI5-B9</v>
      </c>
      <c r="BZ23" t="str">
        <f t="shared" si="49"/>
        <v>DI5-C10</v>
      </c>
      <c r="CA23" t="str">
        <f t="shared" si="49"/>
        <v>DI5-B10</v>
      </c>
      <c r="CB23" t="str">
        <f t="shared" si="49"/>
        <v>DI5-C11</v>
      </c>
      <c r="CC23" t="str">
        <f t="shared" si="49"/>
        <v>DI5-B11</v>
      </c>
      <c r="CD23" t="str">
        <f t="shared" si="49"/>
        <v>DI5-C12</v>
      </c>
      <c r="CE23" t="str">
        <f t="shared" si="49"/>
        <v>DI5-B12</v>
      </c>
      <c r="CF23" t="str">
        <f t="shared" si="20"/>
        <v>DO3-4A</v>
      </c>
      <c r="CG23" t="str">
        <f t="shared" si="21"/>
        <v>DO3-4B</v>
      </c>
      <c r="CH23" t="str">
        <f t="shared" si="22"/>
        <v>DO3-5A</v>
      </c>
      <c r="CI23" t="str">
        <f t="shared" si="23"/>
        <v>DO3-5B</v>
      </c>
      <c r="CJ23" t="str">
        <f t="shared" si="24"/>
        <v>DO3-6A</v>
      </c>
      <c r="CK23" t="str">
        <f t="shared" si="25"/>
        <v>DO3-6B</v>
      </c>
      <c r="CL23" t="str">
        <f t="shared" si="27"/>
        <v>K22-10</v>
      </c>
      <c r="CM23" t="str">
        <f t="shared" si="28"/>
        <v>K22-03</v>
      </c>
      <c r="CN23" t="str">
        <f t="shared" si="29"/>
        <v>K22-04</v>
      </c>
      <c r="CO23" t="str">
        <f t="shared" si="30"/>
        <v>K22-01</v>
      </c>
      <c r="CP23" t="str">
        <f t="shared" si="31"/>
        <v>K22-08</v>
      </c>
      <c r="CQ23" t="str">
        <f t="shared" si="32"/>
        <v>K22-02</v>
      </c>
      <c r="CR23" t="str">
        <f t="shared" si="33"/>
        <v>K22-09</v>
      </c>
      <c r="CS23" t="str">
        <f t="shared" si="34"/>
        <v>K22-05</v>
      </c>
      <c r="CT23" t="str">
        <f t="shared" si="35"/>
        <v>K22-11</v>
      </c>
      <c r="CU23" t="str">
        <f t="shared" si="36"/>
        <v>F0-M22-A9</v>
      </c>
      <c r="CV23" t="str">
        <f t="shared" si="37"/>
        <v>F0-M22-A7</v>
      </c>
      <c r="CW23" t="str">
        <f t="shared" si="38"/>
        <v>F0-M22-A8</v>
      </c>
      <c r="CX23" t="str">
        <f t="shared" si="39"/>
        <v>F0-M22-A6</v>
      </c>
      <c r="CY23" t="str">
        <f t="shared" si="40"/>
        <v>F0-M22-A30</v>
      </c>
      <c r="CZ23" t="str">
        <f t="shared" si="41"/>
        <v>F0-M22-N</v>
      </c>
      <c r="DA23" t="str">
        <f t="shared" si="26"/>
        <v>F0-A220-M22</v>
      </c>
      <c r="DB23" t="str">
        <f t="shared" si="42"/>
        <v>F0-M22-XM01</v>
      </c>
      <c r="DC23" t="str">
        <f t="shared" si="43"/>
        <v>F0-M22-A1</v>
      </c>
      <c r="DD23" t="str">
        <f t="shared" si="44"/>
        <v>F0-M22-A5</v>
      </c>
      <c r="DE23" t="str">
        <f t="shared" si="45"/>
        <v>F0-M22-A11</v>
      </c>
      <c r="DF23" t="str">
        <f t="shared" si="46"/>
        <v>F0-M22-A12</v>
      </c>
      <c r="DG23" t="str">
        <f t="shared" si="47"/>
        <v>F0-M22-A19</v>
      </c>
      <c r="DH23" t="str">
        <f t="shared" si="48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s="83" t="s">
        <v>212</v>
      </c>
      <c r="B24" s="83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s="46">
        <f t="array" ref="AD24">IF(COUNTIFS(AC$2:AC24,AC24)=1,"1",VALUE(SUBSTITUTE(INDEX(AD:AD,_xlfn.XMATCH(AC24,AC$1:AC23,0,-1)),"A",""))+INDEX(AE:AE,_xlfn.XMATCH(AC24,AC$1:AC23,0,-1))+1)</f>
        <v>13</v>
      </c>
      <c r="AE24" s="46">
        <f t="array" ref="AE24">SUM(IF(ISNUMBER(FIND("TmDi",$BE$1:$AAQ$1)),IF(IFERROR(ISNUMBER(VALUE(SUBSTITUTE($BE24:$AAQ24,"B",""))),FALSE),IF(ISNUMBER(VALUE(SUBSTITUTE($BE24:$AAQ24,"B",""))),1,0),0)))</f>
        <v>5</v>
      </c>
      <c r="AF24" t="s">
        <v>153</v>
      </c>
      <c r="AG24" t="s">
        <v>154</v>
      </c>
      <c r="AH24" t="s">
        <v>268</v>
      </c>
      <c r="AI24" s="69">
        <f t="array" ref="AI24">IF(COUNTIFS(AH$2:AH24,AH24)=1,"1",VALUE(SUBSTITUTE(INDEX(AI:AI,_xlfn.XMATCH(AH24,AH$1:AH23,0,-1)),"A",""))+INDEX(AJ:AJ,_xlfn.XMATCH(AH24,AH$1:AH23,0,-1))+1)</f>
        <v>7</v>
      </c>
      <c r="AJ24" s="69">
        <f t="array" ref="AJ24">SUM(IF(ISNUMBER(FIND("TmDo",$BE$1:$AAQ$1)),IF(IFERROR(ISNUMBER(VALUE(SUBSTITUTE($BE24:$AAQ24,"B",""))),FALSE),IF(ISNUMBER(VALUE(SUBSTITUTE($BE24:$AAQ24,"B",""))),1,0),0)))</f>
        <v>2</v>
      </c>
      <c r="AK24" t="str">
        <f t="shared" si="0"/>
        <v>7A</v>
      </c>
      <c r="AL24" t="str">
        <f t="shared" si="1"/>
        <v>7B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2"/>
        <v>XT23</v>
      </c>
      <c r="BF24" t="str">
        <f t="shared" si="3"/>
        <v>C14</v>
      </c>
      <c r="BG24" t="str">
        <f t="shared" si="4"/>
        <v>B14</v>
      </c>
      <c r="BH24" t="str">
        <f t="shared" si="5"/>
        <v>C15</v>
      </c>
      <c r="BI24" t="str">
        <f t="shared" si="6"/>
        <v>B15</v>
      </c>
      <c r="BJ24" t="str">
        <f t="shared" si="7"/>
        <v>C16</v>
      </c>
      <c r="BK24" t="str">
        <f t="shared" si="8"/>
        <v>B16</v>
      </c>
      <c r="BL24" t="str">
        <f t="shared" si="9"/>
        <v>C17</v>
      </c>
      <c r="BM24" t="str">
        <f t="shared" si="10"/>
        <v>B17</v>
      </c>
      <c r="BN24" t="str">
        <f t="shared" si="11"/>
        <v>C18</v>
      </c>
      <c r="BO24" t="str">
        <f t="shared" si="12"/>
        <v>B18</v>
      </c>
      <c r="BP24" t="str">
        <f t="shared" si="13"/>
        <v>8A</v>
      </c>
      <c r="BQ24" t="str">
        <f t="shared" si="14"/>
        <v>8B</v>
      </c>
      <c r="BR24" t="str">
        <f t="shared" si="15"/>
        <v>9A</v>
      </c>
      <c r="BS24" t="str">
        <f t="shared" si="16"/>
        <v>9B</v>
      </c>
      <c r="BT24" t="str">
        <f t="shared" si="17"/>
        <v>DI5-C13</v>
      </c>
      <c r="BU24" t="str">
        <f t="shared" si="18"/>
        <v>DI5-B13</v>
      </c>
      <c r="BV24" t="str">
        <f t="shared" si="49"/>
        <v>DI5-C14</v>
      </c>
      <c r="BW24" t="str">
        <f t="shared" si="49"/>
        <v>DI5-B14</v>
      </c>
      <c r="BX24" t="str">
        <f t="shared" si="49"/>
        <v>DI5-C15</v>
      </c>
      <c r="BY24" t="str">
        <f t="shared" si="49"/>
        <v>DI5-B15</v>
      </c>
      <c r="BZ24" t="str">
        <f t="shared" si="49"/>
        <v>DI5-C16</v>
      </c>
      <c r="CA24" t="str">
        <f t="shared" si="49"/>
        <v>DI5-B16</v>
      </c>
      <c r="CB24" t="str">
        <f t="shared" si="49"/>
        <v>DI5-C17</v>
      </c>
      <c r="CC24" t="str">
        <f t="shared" si="49"/>
        <v>DI5-B17</v>
      </c>
      <c r="CD24" t="str">
        <f t="shared" si="49"/>
        <v>DI5-C18</v>
      </c>
      <c r="CE24" t="str">
        <f t="shared" si="49"/>
        <v>DI5-B18</v>
      </c>
      <c r="CF24" t="str">
        <f t="shared" si="20"/>
        <v>DO3-7A</v>
      </c>
      <c r="CG24" t="str">
        <f t="shared" si="21"/>
        <v>DO3-7B</v>
      </c>
      <c r="CH24" t="str">
        <f t="shared" si="22"/>
        <v>DO3-8A</v>
      </c>
      <c r="CI24" t="str">
        <f t="shared" si="23"/>
        <v>DO3-8B</v>
      </c>
      <c r="CJ24" t="str">
        <f t="shared" si="24"/>
        <v>DO3-9A</v>
      </c>
      <c r="CK24" t="str">
        <f t="shared" si="25"/>
        <v>DO3-9B</v>
      </c>
      <c r="CL24" t="str">
        <f t="shared" si="27"/>
        <v>K23-10</v>
      </c>
      <c r="CM24" t="str">
        <f t="shared" si="28"/>
        <v>K23-03</v>
      </c>
      <c r="CN24" t="str">
        <f t="shared" si="29"/>
        <v>K23-04</v>
      </c>
      <c r="CO24" t="str">
        <f t="shared" si="30"/>
        <v>K23-01</v>
      </c>
      <c r="CP24" t="str">
        <f t="shared" si="31"/>
        <v>K23-08</v>
      </c>
      <c r="CQ24" t="str">
        <f t="shared" si="32"/>
        <v>K23-02</v>
      </c>
      <c r="CR24" t="str">
        <f t="shared" si="33"/>
        <v>K23-09</v>
      </c>
      <c r="CS24" t="str">
        <f t="shared" si="34"/>
        <v>K23-05</v>
      </c>
      <c r="CT24" t="str">
        <f t="shared" si="35"/>
        <v>K23-11</v>
      </c>
      <c r="CU24" t="str">
        <f t="shared" si="36"/>
        <v>F0-M23-A9</v>
      </c>
      <c r="CV24" t="str">
        <f t="shared" si="37"/>
        <v>F0-M23-A7</v>
      </c>
      <c r="CW24" t="str">
        <f t="shared" si="38"/>
        <v>F0-M23-A8</v>
      </c>
      <c r="CX24" t="str">
        <f t="shared" si="39"/>
        <v>F0-M23-A6</v>
      </c>
      <c r="CY24" t="str">
        <f t="shared" si="40"/>
        <v>F0-M23-A30</v>
      </c>
      <c r="CZ24" t="str">
        <f t="shared" si="41"/>
        <v>F0-M23-N</v>
      </c>
      <c r="DA24" t="str">
        <f t="shared" si="26"/>
        <v>F0-A220-M23</v>
      </c>
      <c r="DB24" t="str">
        <f t="shared" si="42"/>
        <v>F0-M23-XM01</v>
      </c>
      <c r="DC24" t="str">
        <f t="shared" si="43"/>
        <v>F0-M23-A1</v>
      </c>
      <c r="DD24" t="str">
        <f t="shared" si="44"/>
        <v>F0-M23-A5</v>
      </c>
      <c r="DE24" t="str">
        <f t="shared" si="45"/>
        <v>F0-M23-A11</v>
      </c>
      <c r="DF24" t="str">
        <f t="shared" si="46"/>
        <v>F0-M23-A12</v>
      </c>
      <c r="DG24" t="str">
        <f t="shared" si="47"/>
        <v>F0-M23-A19</v>
      </c>
      <c r="DH24" t="str">
        <f t="shared" si="48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s="83" t="s">
        <v>215</v>
      </c>
      <c r="B25" s="83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s="46">
        <f t="array" ref="AD25">IF(COUNTIFS(AC$2:AC25,AC25)=1,"1",VALUE(SUBSTITUTE(INDEX(AD:AD,_xlfn.XMATCH(AC25,AC$1:AC24,0,-1)),"A",""))+INDEX(AE:AE,_xlfn.XMATCH(AC25,AC$1:AC24,0,-1))+1)</f>
        <v>19</v>
      </c>
      <c r="AE25" s="46">
        <f t="array" ref="AE25">SUM(IF(ISNUMBER(FIND("TmDi",$BE$1:$AAQ$1)),IF(IFERROR(ISNUMBER(VALUE(SUBSTITUTE($BE25:$AAQ25,"B",""))),FALSE),IF(ISNUMBER(VALUE(SUBSTITUTE($BE25:$AAQ25,"B",""))),1,0),0)))</f>
        <v>5</v>
      </c>
      <c r="AF25" t="s">
        <v>239</v>
      </c>
      <c r="AG25" t="s">
        <v>241</v>
      </c>
      <c r="AH25" t="s">
        <v>268</v>
      </c>
      <c r="AI25" s="69">
        <f t="array" ref="AI25">IF(COUNTIFS(AH$2:AH25,AH25)=1,"1",VALUE(SUBSTITUTE(INDEX(AI:AI,_xlfn.XMATCH(AH25,AH$1:AH24,0,-1)),"A",""))+INDEX(AJ:AJ,_xlfn.XMATCH(AH25,AH$1:AH24,0,-1))+1)</f>
        <v>10</v>
      </c>
      <c r="AJ25" s="69">
        <f t="array" ref="AJ25">SUM(IF(ISNUMBER(FIND("TmDo",$BE$1:$AAQ$1)),IF(IFERROR(ISNUMBER(VALUE(SUBSTITUTE($BE25:$AAQ25,"B",""))),FALSE),IF(ISNUMBER(VALUE(SUBSTITUTE($BE25:$AAQ25,"B",""))),1,0),0)))</f>
        <v>2</v>
      </c>
      <c r="AK25" t="str">
        <f t="shared" si="0"/>
        <v>10A</v>
      </c>
      <c r="AL25" t="str">
        <f t="shared" si="1"/>
        <v>10B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2"/>
        <v>XT24</v>
      </c>
      <c r="BF25" t="str">
        <f t="shared" si="3"/>
        <v>C20</v>
      </c>
      <c r="BG25" t="str">
        <f t="shared" si="4"/>
        <v>B20</v>
      </c>
      <c r="BH25" t="str">
        <f t="shared" si="5"/>
        <v>C21</v>
      </c>
      <c r="BI25" t="str">
        <f t="shared" si="6"/>
        <v>B21</v>
      </c>
      <c r="BJ25" t="str">
        <f t="shared" si="7"/>
        <v>C22</v>
      </c>
      <c r="BK25" t="str">
        <f t="shared" si="8"/>
        <v>B22</v>
      </c>
      <c r="BL25" t="str">
        <f t="shared" si="9"/>
        <v>C23</v>
      </c>
      <c r="BM25" t="str">
        <f t="shared" si="10"/>
        <v>B23</v>
      </c>
      <c r="BN25" t="str">
        <f t="shared" si="11"/>
        <v>C24</v>
      </c>
      <c r="BO25" t="str">
        <f t="shared" si="12"/>
        <v>B24</v>
      </c>
      <c r="BP25" t="str">
        <f t="shared" si="13"/>
        <v>11A</v>
      </c>
      <c r="BQ25" t="str">
        <f t="shared" si="14"/>
        <v>11B</v>
      </c>
      <c r="BR25" t="str">
        <f t="shared" si="15"/>
        <v>12A</v>
      </c>
      <c r="BS25" t="str">
        <f t="shared" si="16"/>
        <v>12B</v>
      </c>
      <c r="BT25" t="str">
        <f t="shared" si="17"/>
        <v>DI5-C19</v>
      </c>
      <c r="BU25" t="str">
        <f t="shared" si="18"/>
        <v>DI5-B19</v>
      </c>
      <c r="BV25" t="str">
        <f t="shared" si="49"/>
        <v>DI5-C20</v>
      </c>
      <c r="BW25" t="str">
        <f t="shared" si="49"/>
        <v>DI5-B20</v>
      </c>
      <c r="BX25" t="str">
        <f t="shared" si="49"/>
        <v>DI5-C21</v>
      </c>
      <c r="BY25" t="str">
        <f t="shared" si="49"/>
        <v>DI5-B21</v>
      </c>
      <c r="BZ25" t="str">
        <f t="shared" si="49"/>
        <v>DI5-C22</v>
      </c>
      <c r="CA25" t="str">
        <f t="shared" si="49"/>
        <v>DI5-B22</v>
      </c>
      <c r="CB25" t="str">
        <f t="shared" si="49"/>
        <v>DI5-C23</v>
      </c>
      <c r="CC25" t="str">
        <f t="shared" si="49"/>
        <v>DI5-B23</v>
      </c>
      <c r="CD25" t="str">
        <f t="shared" si="49"/>
        <v>DI5-C24</v>
      </c>
      <c r="CE25" t="str">
        <f t="shared" si="49"/>
        <v>DI5-B24</v>
      </c>
      <c r="CF25" t="str">
        <f t="shared" si="20"/>
        <v>DO3-10A</v>
      </c>
      <c r="CG25" t="str">
        <f t="shared" si="21"/>
        <v>DO3-10B</v>
      </c>
      <c r="CH25" t="str">
        <f t="shared" si="22"/>
        <v>DO3-11A</v>
      </c>
      <c r="CI25" t="str">
        <f t="shared" si="23"/>
        <v>DO3-11B</v>
      </c>
      <c r="CJ25" t="str">
        <f t="shared" si="24"/>
        <v>DO3-12A</v>
      </c>
      <c r="CK25" t="str">
        <f t="shared" si="25"/>
        <v>DO3-12B</v>
      </c>
      <c r="CL25" t="str">
        <f t="shared" si="27"/>
        <v>K24-10</v>
      </c>
      <c r="CM25" t="str">
        <f t="shared" si="28"/>
        <v>K24-03</v>
      </c>
      <c r="CN25" t="str">
        <f t="shared" si="29"/>
        <v>K24-04</v>
      </c>
      <c r="CO25" t="str">
        <f t="shared" si="30"/>
        <v>K24-01</v>
      </c>
      <c r="CP25" t="str">
        <f t="shared" si="31"/>
        <v>K24-08</v>
      </c>
      <c r="CQ25" t="str">
        <f t="shared" si="32"/>
        <v>K24-02</v>
      </c>
      <c r="CR25" t="str">
        <f t="shared" si="33"/>
        <v>K24-09</v>
      </c>
      <c r="CS25" t="str">
        <f t="shared" si="34"/>
        <v>K24-05</v>
      </c>
      <c r="CT25" t="str">
        <f t="shared" si="35"/>
        <v>K24-11</v>
      </c>
      <c r="CU25" t="str">
        <f t="shared" si="36"/>
        <v>F0-M24-A9</v>
      </c>
      <c r="CV25" t="str">
        <f t="shared" si="37"/>
        <v>F0-M24-A7</v>
      </c>
      <c r="CW25" t="str">
        <f t="shared" si="38"/>
        <v>F0-M24-A8</v>
      </c>
      <c r="CX25" t="str">
        <f t="shared" si="39"/>
        <v>F0-M24-A6</v>
      </c>
      <c r="CY25" t="str">
        <f t="shared" si="40"/>
        <v>F0-M24-A30</v>
      </c>
      <c r="CZ25" t="str">
        <f t="shared" si="41"/>
        <v>F0-M24-N</v>
      </c>
      <c r="DA25" t="str">
        <f t="shared" si="26"/>
        <v>F0-A220-M24</v>
      </c>
      <c r="DB25" t="str">
        <f t="shared" si="42"/>
        <v>F0-M24-XM01</v>
      </c>
      <c r="DC25" t="str">
        <f t="shared" si="43"/>
        <v>F0-M24-A1</v>
      </c>
      <c r="DD25" t="str">
        <f t="shared" si="44"/>
        <v>F0-M24-A5</v>
      </c>
      <c r="DE25" t="str">
        <f t="shared" si="45"/>
        <v>F0-M24-A11</v>
      </c>
      <c r="DF25" t="str">
        <f t="shared" si="46"/>
        <v>F0-M24-A12</v>
      </c>
      <c r="DG25" t="str">
        <f t="shared" si="47"/>
        <v>F0-M24-A19</v>
      </c>
      <c r="DH25" t="str">
        <f t="shared" si="48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s="83" t="s">
        <v>218</v>
      </c>
      <c r="B26" s="83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s="46">
        <f t="array" ref="AD26">IF(COUNTIFS(AC$2:AC26,AC26)=1,"1",VALUE(SUBSTITUTE(INDEX(AD:AD,_xlfn.XMATCH(AC26,AC$1:AC25,0,-1)),"A",""))+INDEX(AE:AE,_xlfn.XMATCH(AC26,AC$1:AC25,0,-1))+1)</f>
        <v>25</v>
      </c>
      <c r="AE26" s="46">
        <f t="array" ref="AE26">SUM(IF(ISNUMBER(FIND("TmDi",$BE$1:$AAQ$1)),IF(IFERROR(ISNUMBER(VALUE(SUBSTITUTE($BE26:$AAQ26,"B",""))),FALSE),IF(ISNUMBER(VALUE(SUBSTITUTE($BE26:$AAQ26,"B",""))),1,0),0)))</f>
        <v>5</v>
      </c>
      <c r="AF26" t="s">
        <v>240</v>
      </c>
      <c r="AG26" t="s">
        <v>242</v>
      </c>
      <c r="AH26" t="s">
        <v>268</v>
      </c>
      <c r="AI26" s="69">
        <f t="array" ref="AI26">IF(COUNTIFS(AH$2:AH26,AH26)=1,"1",VALUE(SUBSTITUTE(INDEX(AI:AI,_xlfn.XMATCH(AH26,AH$1:AH25,0,-1)),"A",""))+INDEX(AJ:AJ,_xlfn.XMATCH(AH26,AH$1:AH25,0,-1))+1)</f>
        <v>13</v>
      </c>
      <c r="AJ26" s="69">
        <f t="array" ref="AJ26">SUM(IF(ISNUMBER(FIND("TmDo",$BE$1:$AAQ$1)),IF(IFERROR(ISNUMBER(VALUE(SUBSTITUTE($BE26:$AAQ26,"B",""))),FALSE),IF(ISNUMBER(VALUE(SUBSTITUTE($BE26:$AAQ26,"B",""))),1,0),0)))</f>
        <v>2</v>
      </c>
      <c r="AK26" t="str">
        <f t="shared" si="0"/>
        <v>13A</v>
      </c>
      <c r="AL26" t="str">
        <f t="shared" si="1"/>
        <v>13B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2"/>
        <v>XT25</v>
      </c>
      <c r="BF26" t="str">
        <f t="shared" si="3"/>
        <v>C26</v>
      </c>
      <c r="BG26" t="str">
        <f t="shared" si="4"/>
        <v>B26</v>
      </c>
      <c r="BH26" t="str">
        <f t="shared" si="5"/>
        <v>C27</v>
      </c>
      <c r="BI26" t="str">
        <f t="shared" si="6"/>
        <v>B27</v>
      </c>
      <c r="BJ26" t="str">
        <f t="shared" si="7"/>
        <v>C28</v>
      </c>
      <c r="BK26" t="str">
        <f t="shared" si="8"/>
        <v>B28</v>
      </c>
      <c r="BL26" t="str">
        <f t="shared" si="9"/>
        <v>C29</v>
      </c>
      <c r="BM26" t="str">
        <f t="shared" si="10"/>
        <v>B29</v>
      </c>
      <c r="BN26" t="str">
        <f t="shared" si="11"/>
        <v>C30</v>
      </c>
      <c r="BO26" t="str">
        <f t="shared" si="12"/>
        <v>B30</v>
      </c>
      <c r="BP26" t="str">
        <f t="shared" si="13"/>
        <v>14A</v>
      </c>
      <c r="BQ26" t="str">
        <f t="shared" si="14"/>
        <v>14B</v>
      </c>
      <c r="BR26" t="str">
        <f t="shared" si="15"/>
        <v>15A</v>
      </c>
      <c r="BS26" t="str">
        <f t="shared" si="16"/>
        <v>15B</v>
      </c>
      <c r="BT26" t="str">
        <f t="shared" si="17"/>
        <v>DI5-C25</v>
      </c>
      <c r="BU26" t="str">
        <f t="shared" si="18"/>
        <v>DI5-B25</v>
      </c>
      <c r="BV26" t="str">
        <f t="shared" si="49"/>
        <v>DI5-C26</v>
      </c>
      <c r="BW26" t="str">
        <f t="shared" si="49"/>
        <v>DI5-B26</v>
      </c>
      <c r="BX26" t="str">
        <f t="shared" si="49"/>
        <v>DI5-C27</v>
      </c>
      <c r="BY26" t="str">
        <f t="shared" si="49"/>
        <v>DI5-B27</v>
      </c>
      <c r="BZ26" t="str">
        <f t="shared" si="49"/>
        <v>DI5-C28</v>
      </c>
      <c r="CA26" t="str">
        <f t="shared" si="49"/>
        <v>DI5-B28</v>
      </c>
      <c r="CB26" t="str">
        <f t="shared" si="49"/>
        <v>DI5-C29</v>
      </c>
      <c r="CC26" t="str">
        <f t="shared" si="49"/>
        <v>DI5-B29</v>
      </c>
      <c r="CD26" t="str">
        <f t="shared" si="49"/>
        <v>DI5-C30</v>
      </c>
      <c r="CE26" t="str">
        <f t="shared" si="49"/>
        <v>DI5-B30</v>
      </c>
      <c r="CF26" t="str">
        <f t="shared" si="20"/>
        <v>DO3-13A</v>
      </c>
      <c r="CG26" t="str">
        <f t="shared" si="21"/>
        <v>DO3-13B</v>
      </c>
      <c r="CH26" t="str">
        <f t="shared" si="22"/>
        <v>DO3-14A</v>
      </c>
      <c r="CI26" t="str">
        <f t="shared" si="23"/>
        <v>DO3-14B</v>
      </c>
      <c r="CJ26" t="str">
        <f t="shared" si="24"/>
        <v>DO3-15A</v>
      </c>
      <c r="CK26" t="str">
        <f t="shared" si="25"/>
        <v>DO3-15B</v>
      </c>
      <c r="CL26" t="str">
        <f t="shared" si="27"/>
        <v>K25-10</v>
      </c>
      <c r="CM26" t="str">
        <f t="shared" si="28"/>
        <v>K25-03</v>
      </c>
      <c r="CN26" t="str">
        <f t="shared" si="29"/>
        <v>K25-04</v>
      </c>
      <c r="CO26" t="str">
        <f t="shared" si="30"/>
        <v>K25-01</v>
      </c>
      <c r="CP26" t="str">
        <f t="shared" si="31"/>
        <v>K25-08</v>
      </c>
      <c r="CQ26" t="str">
        <f t="shared" si="32"/>
        <v>K25-02</v>
      </c>
      <c r="CR26" t="str">
        <f t="shared" si="33"/>
        <v>K25-09</v>
      </c>
      <c r="CS26" t="str">
        <f t="shared" si="34"/>
        <v>K25-05</v>
      </c>
      <c r="CT26" t="str">
        <f t="shared" si="35"/>
        <v>K25-11</v>
      </c>
      <c r="CU26" t="str">
        <f t="shared" si="36"/>
        <v>F0-M25-A9</v>
      </c>
      <c r="CV26" t="str">
        <f t="shared" si="37"/>
        <v>F0-M25-A7</v>
      </c>
      <c r="CW26" t="str">
        <f t="shared" si="38"/>
        <v>F0-M25-A8</v>
      </c>
      <c r="CX26" t="str">
        <f t="shared" si="39"/>
        <v>F0-M25-A6</v>
      </c>
      <c r="CY26" t="str">
        <f t="shared" si="40"/>
        <v>F0-M25-A30</v>
      </c>
      <c r="CZ26" t="str">
        <f t="shared" si="41"/>
        <v>F0-M25-N</v>
      </c>
      <c r="DA26" t="str">
        <f t="shared" si="26"/>
        <v>F0-A220-M25</v>
      </c>
      <c r="DB26" t="str">
        <f t="shared" si="42"/>
        <v>F0-M25-XM01</v>
      </c>
      <c r="DC26" t="str">
        <f t="shared" si="43"/>
        <v>F0-M25-A1</v>
      </c>
      <c r="DD26" t="str">
        <f t="shared" si="44"/>
        <v>F0-M25-A5</v>
      </c>
      <c r="DE26" t="str">
        <f t="shared" si="45"/>
        <v>F0-M25-A11</v>
      </c>
      <c r="DF26" t="str">
        <f t="shared" si="46"/>
        <v>F0-M25-A12</v>
      </c>
      <c r="DG26" t="str">
        <f t="shared" si="47"/>
        <v>F0-M25-A19</v>
      </c>
      <c r="DH26" t="str">
        <f t="shared" si="48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s="83" t="s">
        <v>221</v>
      </c>
      <c r="B27" s="83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s="46" t="str">
        <f t="array" ref="AD27">IF(COUNTIFS(AC$2:AC27,AC27)=1,"1",VALUE(SUBSTITUTE(INDEX(AD:AD,_xlfn.XMATCH(AC27,AC$1:AC26,0,-1)),"A",""))+INDEX(AE:AE,_xlfn.XMATCH(AC27,AC$1:AC26,0,-1))+1)</f>
        <v>1</v>
      </c>
      <c r="AE27" s="46">
        <f t="array" ref="AE27">SUM(IF(ISNUMBER(FIND("TmDi",$BE$1:$AAQ$1)),IF(IFERROR(ISNUMBER(VALUE(SUBSTITUTE($BE27:$AAQ27,"B",""))),FALSE),IF(ISNUMBER(VALUE(SUBSTITUTE($BE27:$AAQ27,"B",""))),1,0),0)))</f>
        <v>5</v>
      </c>
      <c r="AF27" t="s">
        <v>133</v>
      </c>
      <c r="AG27" t="s">
        <v>134</v>
      </c>
      <c r="AH27" t="s">
        <v>268</v>
      </c>
      <c r="AI27" s="69">
        <f t="array" ref="AI27">IF(COUNTIFS(AH$2:AH27,AH27)=1,"1",VALUE(SUBSTITUTE(INDEX(AI:AI,_xlfn.XMATCH(AH27,AH$1:AH26,0,-1)),"A",""))+INDEX(AJ:AJ,_xlfn.XMATCH(AH27,AH$1:AH26,0,-1))+1)</f>
        <v>16</v>
      </c>
      <c r="AJ27" s="69">
        <f t="array" ref="AJ27">SUM(IF(ISNUMBER(FIND("TmDo",$BE$1:$AAQ$1)),IF(IFERROR(ISNUMBER(VALUE(SUBSTITUTE($BE27:$AAQ27,"B",""))),FALSE),IF(ISNUMBER(VALUE(SUBSTITUTE($BE27:$AAQ27,"B",""))),1,0),0)))</f>
        <v>2</v>
      </c>
      <c r="AK27" t="str">
        <f t="shared" si="0"/>
        <v>16A</v>
      </c>
      <c r="AL27" t="str">
        <f t="shared" si="1"/>
        <v>16B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2"/>
        <v>XT26</v>
      </c>
      <c r="BF27" t="str">
        <f t="shared" si="3"/>
        <v>C2</v>
      </c>
      <c r="BG27" t="str">
        <f t="shared" si="4"/>
        <v>B2</v>
      </c>
      <c r="BH27" t="str">
        <f t="shared" si="5"/>
        <v>C3</v>
      </c>
      <c r="BI27" t="str">
        <f t="shared" si="6"/>
        <v>B3</v>
      </c>
      <c r="BJ27" t="str">
        <f t="shared" si="7"/>
        <v>C4</v>
      </c>
      <c r="BK27" t="str">
        <f t="shared" si="8"/>
        <v>B4</v>
      </c>
      <c r="BL27" t="str">
        <f t="shared" si="9"/>
        <v>C5</v>
      </c>
      <c r="BM27" t="str">
        <f t="shared" si="10"/>
        <v>B5</v>
      </c>
      <c r="BN27" t="str">
        <f t="shared" si="11"/>
        <v>C6</v>
      </c>
      <c r="BO27" t="str">
        <f t="shared" si="12"/>
        <v>B6</v>
      </c>
      <c r="BP27" t="str">
        <f t="shared" si="13"/>
        <v>17A</v>
      </c>
      <c r="BQ27" t="str">
        <f t="shared" si="14"/>
        <v>17B</v>
      </c>
      <c r="BR27" t="str">
        <f t="shared" si="15"/>
        <v>18A</v>
      </c>
      <c r="BS27" t="str">
        <f t="shared" si="16"/>
        <v>18B</v>
      </c>
      <c r="BT27" t="str">
        <f t="shared" si="17"/>
        <v>DI6-C1</v>
      </c>
      <c r="BU27" t="str">
        <f t="shared" si="18"/>
        <v>DI6-B1</v>
      </c>
      <c r="BV27" t="str">
        <f t="shared" si="49"/>
        <v>DI6-C2</v>
      </c>
      <c r="BW27" t="str">
        <f t="shared" si="49"/>
        <v>DI6-B2</v>
      </c>
      <c r="BX27" t="str">
        <f t="shared" si="49"/>
        <v>DI6-C3</v>
      </c>
      <c r="BY27" t="str">
        <f t="shared" si="49"/>
        <v>DI6-B3</v>
      </c>
      <c r="BZ27" t="str">
        <f t="shared" si="49"/>
        <v>DI6-C4</v>
      </c>
      <c r="CA27" t="str">
        <f t="shared" si="49"/>
        <v>DI6-B4</v>
      </c>
      <c r="CB27" t="str">
        <f t="shared" si="49"/>
        <v>DI6-C5</v>
      </c>
      <c r="CC27" t="str">
        <f t="shared" si="49"/>
        <v>DI6-B5</v>
      </c>
      <c r="CD27" t="str">
        <f t="shared" si="49"/>
        <v>DI6-C6</v>
      </c>
      <c r="CE27" t="str">
        <f t="shared" si="49"/>
        <v>DI6-B6</v>
      </c>
      <c r="CF27" t="str">
        <f t="shared" si="20"/>
        <v>DO3-16A</v>
      </c>
      <c r="CG27" t="str">
        <f t="shared" si="21"/>
        <v>DO3-16B</v>
      </c>
      <c r="CH27" t="str">
        <f t="shared" si="22"/>
        <v>DO3-17A</v>
      </c>
      <c r="CI27" t="str">
        <f t="shared" si="23"/>
        <v>DO3-17B</v>
      </c>
      <c r="CJ27" t="str">
        <f t="shared" si="24"/>
        <v>DO3-18A</v>
      </c>
      <c r="CK27" t="str">
        <f t="shared" si="25"/>
        <v>DO3-18B</v>
      </c>
      <c r="CL27" t="str">
        <f t="shared" si="27"/>
        <v>K26-10</v>
      </c>
      <c r="CM27" t="str">
        <f t="shared" si="28"/>
        <v>K26-03</v>
      </c>
      <c r="CN27" t="str">
        <f t="shared" si="29"/>
        <v>K26-04</v>
      </c>
      <c r="CO27" t="str">
        <f t="shared" si="30"/>
        <v>K26-01</v>
      </c>
      <c r="CP27" t="str">
        <f t="shared" si="31"/>
        <v>K26-08</v>
      </c>
      <c r="CQ27" t="str">
        <f t="shared" si="32"/>
        <v>K26-02</v>
      </c>
      <c r="CR27" t="str">
        <f t="shared" si="33"/>
        <v>K26-09</v>
      </c>
      <c r="CS27" t="str">
        <f t="shared" si="34"/>
        <v>K26-05</v>
      </c>
      <c r="CT27" t="str">
        <f t="shared" si="35"/>
        <v>K26-11</v>
      </c>
      <c r="CU27" t="str">
        <f t="shared" si="36"/>
        <v>F0-M26-A9</v>
      </c>
      <c r="CV27" t="str">
        <f t="shared" si="37"/>
        <v>F0-M26-A7</v>
      </c>
      <c r="CW27" t="str">
        <f t="shared" si="38"/>
        <v>F0-M26-A8</v>
      </c>
      <c r="CX27" t="str">
        <f t="shared" si="39"/>
        <v>F0-M26-A6</v>
      </c>
      <c r="CY27" t="str">
        <f t="shared" si="40"/>
        <v>F0-M26-A30</v>
      </c>
      <c r="CZ27" t="str">
        <f t="shared" si="41"/>
        <v>F0-M26-N</v>
      </c>
      <c r="DA27" t="str">
        <f t="shared" si="26"/>
        <v>F0-A220-M26</v>
      </c>
      <c r="DB27" t="str">
        <f t="shared" si="42"/>
        <v>F0-M26-XM01</v>
      </c>
      <c r="DC27" t="str">
        <f t="shared" si="43"/>
        <v>F0-M26-A1</v>
      </c>
      <c r="DD27" t="str">
        <f t="shared" si="44"/>
        <v>F0-M26-A5</v>
      </c>
      <c r="DE27" t="str">
        <f t="shared" si="45"/>
        <v>F0-M26-A11</v>
      </c>
      <c r="DF27" t="str">
        <f t="shared" si="46"/>
        <v>F0-M26-A12</v>
      </c>
      <c r="DG27" t="str">
        <f t="shared" si="47"/>
        <v>F0-M26-A19</v>
      </c>
      <c r="DH27" t="str">
        <f t="shared" si="48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s="83" t="s">
        <v>224</v>
      </c>
      <c r="B28" s="83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s="46">
        <f t="array" ref="AD28">IF(COUNTIFS(AC$2:AC28,AC28)=1,"1",VALUE(SUBSTITUTE(INDEX(AD:AD,_xlfn.XMATCH(AC28,AC$1:AC27,0,-1)),"A",""))+INDEX(AE:AE,_xlfn.XMATCH(AC28,AC$1:AC27,0,-1))+1)</f>
        <v>7</v>
      </c>
      <c r="AE28" s="46">
        <f t="array" ref="AE28">SUM(IF(ISNUMBER(FIND("TmDi",$BE$1:$AAQ$1)),IF(IFERROR(ISNUMBER(VALUE(SUBSTITUTE($BE28:$AAQ28,"B",""))),FALSE),IF(ISNUMBER(VALUE(SUBSTITUTE($BE28:$AAQ28,"B",""))),1,0),0)))</f>
        <v>5</v>
      </c>
      <c r="AF28" t="s">
        <v>148</v>
      </c>
      <c r="AG28" t="s">
        <v>149</v>
      </c>
      <c r="AH28" t="s">
        <v>268</v>
      </c>
      <c r="AI28" s="69">
        <f t="array" ref="AI28">IF(COUNTIFS(AH$2:AH28,AH28)=1,"1",VALUE(SUBSTITUTE(INDEX(AI:AI,_xlfn.XMATCH(AH28,AH$1:AH27,0,-1)),"A",""))+INDEX(AJ:AJ,_xlfn.XMATCH(AH28,AH$1:AH27,0,-1))+1)</f>
        <v>19</v>
      </c>
      <c r="AJ28" s="69">
        <f t="array" ref="AJ28">SUM(IF(ISNUMBER(FIND("TmDo",$BE$1:$AAQ$1)),IF(IFERROR(ISNUMBER(VALUE(SUBSTITUTE($BE28:$AAQ28,"B",""))),FALSE),IF(ISNUMBER(VALUE(SUBSTITUTE($BE28:$AAQ28,"B",""))),1,0),0)))</f>
        <v>2</v>
      </c>
      <c r="AK28" t="str">
        <f t="shared" si="0"/>
        <v>19A</v>
      </c>
      <c r="AL28" t="str">
        <f t="shared" si="1"/>
        <v>19B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2"/>
        <v>XT27</v>
      </c>
      <c r="BF28" t="str">
        <f t="shared" si="3"/>
        <v>C8</v>
      </c>
      <c r="BG28" t="str">
        <f t="shared" si="4"/>
        <v>B8</v>
      </c>
      <c r="BH28" t="str">
        <f t="shared" si="5"/>
        <v>C9</v>
      </c>
      <c r="BI28" t="str">
        <f t="shared" si="6"/>
        <v>B9</v>
      </c>
      <c r="BJ28" t="str">
        <f t="shared" si="7"/>
        <v>C10</v>
      </c>
      <c r="BK28" t="str">
        <f t="shared" si="8"/>
        <v>B10</v>
      </c>
      <c r="BL28" t="str">
        <f t="shared" si="9"/>
        <v>C11</v>
      </c>
      <c r="BM28" t="str">
        <f t="shared" si="10"/>
        <v>B11</v>
      </c>
      <c r="BN28" t="str">
        <f t="shared" si="11"/>
        <v>C12</v>
      </c>
      <c r="BO28" t="str">
        <f t="shared" si="12"/>
        <v>B12</v>
      </c>
      <c r="BP28" t="str">
        <f t="shared" si="13"/>
        <v>20A</v>
      </c>
      <c r="BQ28" t="str">
        <f t="shared" si="14"/>
        <v>20B</v>
      </c>
      <c r="BR28" t="str">
        <f t="shared" si="15"/>
        <v>21A</v>
      </c>
      <c r="BS28" t="str">
        <f t="shared" si="16"/>
        <v>21B</v>
      </c>
      <c r="BT28" t="str">
        <f t="shared" si="17"/>
        <v>DI6-C7</v>
      </c>
      <c r="BU28" t="str">
        <f t="shared" si="18"/>
        <v>DI6-B7</v>
      </c>
      <c r="BV28" t="str">
        <f t="shared" si="49"/>
        <v>DI6-C8</v>
      </c>
      <c r="BW28" t="str">
        <f t="shared" si="49"/>
        <v>DI6-B8</v>
      </c>
      <c r="BX28" t="str">
        <f t="shared" si="49"/>
        <v>DI6-C9</v>
      </c>
      <c r="BY28" t="str">
        <f t="shared" si="49"/>
        <v>DI6-B9</v>
      </c>
      <c r="BZ28" t="str">
        <f t="shared" si="49"/>
        <v>DI6-C10</v>
      </c>
      <c r="CA28" t="str">
        <f t="shared" si="49"/>
        <v>DI6-B10</v>
      </c>
      <c r="CB28" t="str">
        <f t="shared" si="49"/>
        <v>DI6-C11</v>
      </c>
      <c r="CC28" t="str">
        <f t="shared" si="49"/>
        <v>DI6-B11</v>
      </c>
      <c r="CD28" t="str">
        <f t="shared" si="49"/>
        <v>DI6-C12</v>
      </c>
      <c r="CE28" t="str">
        <f t="shared" si="49"/>
        <v>DI6-B12</v>
      </c>
      <c r="CF28" t="str">
        <f t="shared" si="20"/>
        <v>DO3-19A</v>
      </c>
      <c r="CG28" t="str">
        <f t="shared" si="21"/>
        <v>DO3-19B</v>
      </c>
      <c r="CH28" t="str">
        <f t="shared" si="22"/>
        <v>DO3-20A</v>
      </c>
      <c r="CI28" t="str">
        <f t="shared" si="23"/>
        <v>DO3-20B</v>
      </c>
      <c r="CJ28" t="str">
        <f t="shared" si="24"/>
        <v>DO3-21A</v>
      </c>
      <c r="CK28" t="str">
        <f t="shared" si="25"/>
        <v>DO3-21B</v>
      </c>
      <c r="CL28" t="str">
        <f t="shared" si="27"/>
        <v>K27-10</v>
      </c>
      <c r="CM28" t="str">
        <f t="shared" si="28"/>
        <v>K27-03</v>
      </c>
      <c r="CN28" t="str">
        <f t="shared" si="29"/>
        <v>K27-04</v>
      </c>
      <c r="CO28" t="str">
        <f t="shared" si="30"/>
        <v>K27-01</v>
      </c>
      <c r="CP28" t="str">
        <f t="shared" si="31"/>
        <v>K27-08</v>
      </c>
      <c r="CQ28" t="str">
        <f t="shared" si="32"/>
        <v>K27-02</v>
      </c>
      <c r="CR28" t="str">
        <f t="shared" si="33"/>
        <v>K27-09</v>
      </c>
      <c r="CS28" t="str">
        <f t="shared" si="34"/>
        <v>K27-05</v>
      </c>
      <c r="CT28" t="str">
        <f t="shared" si="35"/>
        <v>K27-11</v>
      </c>
      <c r="CU28" t="str">
        <f t="shared" si="36"/>
        <v>F0-M27-A9</v>
      </c>
      <c r="CV28" t="str">
        <f t="shared" si="37"/>
        <v>F0-M27-A7</v>
      </c>
      <c r="CW28" t="str">
        <f t="shared" si="38"/>
        <v>F0-M27-A8</v>
      </c>
      <c r="CX28" t="str">
        <f t="shared" si="39"/>
        <v>F0-M27-A6</v>
      </c>
      <c r="CY28" t="str">
        <f t="shared" si="40"/>
        <v>F0-M27-A30</v>
      </c>
      <c r="CZ28" t="str">
        <f t="shared" si="41"/>
        <v>F0-M27-N</v>
      </c>
      <c r="DA28" t="str">
        <f t="shared" si="26"/>
        <v>F0-A220-M27</v>
      </c>
      <c r="DB28" t="str">
        <f t="shared" si="42"/>
        <v>F0-M27-XM01</v>
      </c>
      <c r="DC28" t="str">
        <f t="shared" si="43"/>
        <v>F0-M27-A1</v>
      </c>
      <c r="DD28" t="str">
        <f t="shared" si="44"/>
        <v>F0-M27-A5</v>
      </c>
      <c r="DE28" t="str">
        <f t="shared" si="45"/>
        <v>F0-M27-A11</v>
      </c>
      <c r="DF28" t="str">
        <f t="shared" si="46"/>
        <v>F0-M27-A12</v>
      </c>
      <c r="DG28" t="str">
        <f t="shared" si="47"/>
        <v>F0-M27-A19</v>
      </c>
      <c r="DH28" t="str">
        <f t="shared" si="48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s="83" t="s">
        <v>227</v>
      </c>
      <c r="B29" s="83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s="46">
        <f t="array" ref="AD29">IF(COUNTIFS(AC$2:AC29,AC29)=1,"1",VALUE(SUBSTITUTE(INDEX(AD:AD,_xlfn.XMATCH(AC29,AC$1:AC28,0,-1)),"A",""))+INDEX(AE:AE,_xlfn.XMATCH(AC29,AC$1:AC28,0,-1))+1)</f>
        <v>13</v>
      </c>
      <c r="AE29" s="46">
        <f t="array" ref="AE29">SUM(IF(ISNUMBER(FIND("TmDi",$BE$1:$AAQ$1)),IF(IFERROR(ISNUMBER(VALUE(SUBSTITUTE($BE29:$AAQ29,"B",""))),FALSE),IF(ISNUMBER(VALUE(SUBSTITUTE($BE29:$AAQ29,"B",""))),1,0),0)))</f>
        <v>5</v>
      </c>
      <c r="AF29" t="s">
        <v>153</v>
      </c>
      <c r="AG29" t="s">
        <v>154</v>
      </c>
      <c r="AH29" t="s">
        <v>268</v>
      </c>
      <c r="AI29" s="69">
        <f t="array" ref="AI29">IF(COUNTIFS(AH$2:AH29,AH29)=1,"1",VALUE(SUBSTITUTE(INDEX(AI:AI,_xlfn.XMATCH(AH29,AH$1:AH28,0,-1)),"A",""))+INDEX(AJ:AJ,_xlfn.XMATCH(AH29,AH$1:AH28,0,-1))+1)</f>
        <v>22</v>
      </c>
      <c r="AJ29" s="69">
        <f t="array" ref="AJ29">SUM(IF(ISNUMBER(FIND("TmDo",$BE$1:$AAQ$1)),IF(IFERROR(ISNUMBER(VALUE(SUBSTITUTE($BE29:$AAQ29,"B",""))),FALSE),IF(ISNUMBER(VALUE(SUBSTITUTE($BE29:$AAQ29,"B",""))),1,0),0)))</f>
        <v>2</v>
      </c>
      <c r="AK29" t="str">
        <f t="shared" si="0"/>
        <v>22A</v>
      </c>
      <c r="AL29" t="str">
        <f t="shared" si="1"/>
        <v>22B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2"/>
        <v>XT28</v>
      </c>
      <c r="BF29" t="str">
        <f t="shared" si="3"/>
        <v>C14</v>
      </c>
      <c r="BG29" t="str">
        <f t="shared" si="4"/>
        <v>B14</v>
      </c>
      <c r="BH29" t="str">
        <f t="shared" si="5"/>
        <v>C15</v>
      </c>
      <c r="BI29" t="str">
        <f t="shared" si="6"/>
        <v>B15</v>
      </c>
      <c r="BJ29" t="str">
        <f t="shared" si="7"/>
        <v>C16</v>
      </c>
      <c r="BK29" t="str">
        <f t="shared" si="8"/>
        <v>B16</v>
      </c>
      <c r="BL29" t="str">
        <f t="shared" si="9"/>
        <v>C17</v>
      </c>
      <c r="BM29" t="str">
        <f t="shared" si="10"/>
        <v>B17</v>
      </c>
      <c r="BN29" t="str">
        <f t="shared" si="11"/>
        <v>C18</v>
      </c>
      <c r="BO29" t="str">
        <f t="shared" si="12"/>
        <v>B18</v>
      </c>
      <c r="BP29" t="str">
        <f t="shared" si="13"/>
        <v>23A</v>
      </c>
      <c r="BQ29" t="str">
        <f t="shared" si="14"/>
        <v>23B</v>
      </c>
      <c r="BR29" t="str">
        <f t="shared" si="15"/>
        <v>24A</v>
      </c>
      <c r="BS29" t="str">
        <f t="shared" si="16"/>
        <v>24B</v>
      </c>
      <c r="BT29" t="str">
        <f t="shared" si="17"/>
        <v>DI6-C13</v>
      </c>
      <c r="BU29" t="str">
        <f t="shared" si="18"/>
        <v>DI6-B13</v>
      </c>
      <c r="BV29" t="str">
        <f t="shared" si="49"/>
        <v>DI6-C14</v>
      </c>
      <c r="BW29" t="str">
        <f t="shared" si="49"/>
        <v>DI6-B14</v>
      </c>
      <c r="BX29" t="str">
        <f t="shared" si="49"/>
        <v>DI6-C15</v>
      </c>
      <c r="BY29" t="str">
        <f t="shared" si="49"/>
        <v>DI6-B15</v>
      </c>
      <c r="BZ29" t="str">
        <f t="shared" si="49"/>
        <v>DI6-C16</v>
      </c>
      <c r="CA29" t="str">
        <f t="shared" si="49"/>
        <v>DI6-B16</v>
      </c>
      <c r="CB29" t="str">
        <f t="shared" si="49"/>
        <v>DI6-C17</v>
      </c>
      <c r="CC29" t="str">
        <f t="shared" si="49"/>
        <v>DI6-B17</v>
      </c>
      <c r="CD29" t="str">
        <f t="shared" si="49"/>
        <v>DI6-C18</v>
      </c>
      <c r="CE29" t="str">
        <f t="shared" si="49"/>
        <v>DI6-B18</v>
      </c>
      <c r="CF29" t="str">
        <f t="shared" si="20"/>
        <v>DO3-22A</v>
      </c>
      <c r="CG29" t="str">
        <f t="shared" si="21"/>
        <v>DO3-22B</v>
      </c>
      <c r="CH29" t="str">
        <f t="shared" si="22"/>
        <v>DO3-23A</v>
      </c>
      <c r="CI29" t="str">
        <f t="shared" si="23"/>
        <v>DO3-23B</v>
      </c>
      <c r="CJ29" t="str">
        <f t="shared" si="24"/>
        <v>DO3-24A</v>
      </c>
      <c r="CK29" t="str">
        <f t="shared" si="25"/>
        <v>DO3-24B</v>
      </c>
      <c r="CL29" t="str">
        <f t="shared" si="27"/>
        <v>K28-10</v>
      </c>
      <c r="CM29" t="str">
        <f t="shared" si="28"/>
        <v>K28-03</v>
      </c>
      <c r="CN29" t="str">
        <f t="shared" si="29"/>
        <v>K28-04</v>
      </c>
      <c r="CO29" t="str">
        <f t="shared" si="30"/>
        <v>K28-01</v>
      </c>
      <c r="CP29" t="str">
        <f t="shared" si="31"/>
        <v>K28-08</v>
      </c>
      <c r="CQ29" t="str">
        <f t="shared" si="32"/>
        <v>K28-02</v>
      </c>
      <c r="CR29" t="str">
        <f t="shared" si="33"/>
        <v>K28-09</v>
      </c>
      <c r="CS29" t="str">
        <f t="shared" si="34"/>
        <v>K28-05</v>
      </c>
      <c r="CT29" t="str">
        <f t="shared" si="35"/>
        <v>K28-11</v>
      </c>
      <c r="CU29" t="str">
        <f t="shared" si="36"/>
        <v>F0-M28-A9</v>
      </c>
      <c r="CV29" t="str">
        <f t="shared" si="37"/>
        <v>F0-M28-A7</v>
      </c>
      <c r="CW29" t="str">
        <f t="shared" si="38"/>
        <v>F0-M28-A8</v>
      </c>
      <c r="CX29" t="str">
        <f t="shared" si="39"/>
        <v>F0-M28-A6</v>
      </c>
      <c r="CY29" t="str">
        <f t="shared" si="40"/>
        <v>F0-M28-A30</v>
      </c>
      <c r="CZ29" t="str">
        <f t="shared" si="41"/>
        <v>F0-M28-N</v>
      </c>
      <c r="DA29" t="str">
        <f t="shared" si="26"/>
        <v>F0-A220-M28</v>
      </c>
      <c r="DB29" t="str">
        <f t="shared" si="42"/>
        <v>F0-M28-XM01</v>
      </c>
      <c r="DC29" t="str">
        <f t="shared" si="43"/>
        <v>F0-M28-A1</v>
      </c>
      <c r="DD29" t="str">
        <f t="shared" si="44"/>
        <v>F0-M28-A5</v>
      </c>
      <c r="DE29" t="str">
        <f t="shared" si="45"/>
        <v>F0-M28-A11</v>
      </c>
      <c r="DF29" t="str">
        <f t="shared" si="46"/>
        <v>F0-M28-A12</v>
      </c>
      <c r="DG29" t="str">
        <f t="shared" si="47"/>
        <v>F0-M28-A19</v>
      </c>
      <c r="DH29" t="str">
        <f t="shared" si="48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s="83" t="s">
        <v>230</v>
      </c>
      <c r="B30" s="83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s="46">
        <f t="array" ref="AD30">IF(COUNTIFS(AC$2:AC30,AC30)=1,"1",VALUE(SUBSTITUTE(INDEX(AD:AD,_xlfn.XMATCH(AC30,AC$1:AC29,0,-1)),"A",""))+INDEX(AE:AE,_xlfn.XMATCH(AC30,AC$1:AC29,0,-1))+1)</f>
        <v>19</v>
      </c>
      <c r="AE30" s="46">
        <f t="array" ref="AE30">SUM(IF(ISNUMBER(FIND("TmDi",$BE$1:$AAQ$1)),IF(IFERROR(ISNUMBER(VALUE(SUBSTITUTE($BE30:$AAQ30,"B",""))),FALSE),IF(ISNUMBER(VALUE(SUBSTITUTE($BE30:$AAQ30,"B",""))),1,0),0)))</f>
        <v>5</v>
      </c>
      <c r="AF30" t="s">
        <v>239</v>
      </c>
      <c r="AG30" t="s">
        <v>241</v>
      </c>
      <c r="AH30" t="s">
        <v>268</v>
      </c>
      <c r="AI30" s="69">
        <f t="array" ref="AI30">IF(COUNTIFS(AH$2:AH30,AH30)=1,"1",VALUE(SUBSTITUTE(INDEX(AI:AI,_xlfn.XMATCH(AH30,AH$1:AH29,0,-1)),"A",""))+INDEX(AJ:AJ,_xlfn.XMATCH(AH30,AH$1:AH29,0,-1))+1)</f>
        <v>25</v>
      </c>
      <c r="AJ30" s="69">
        <f t="array" ref="AJ30">SUM(IF(ISNUMBER(FIND("TmDo",$BE$1:$AAQ$1)),IF(IFERROR(ISNUMBER(VALUE(SUBSTITUTE($BE30:$AAQ30,"B",""))),FALSE),IF(ISNUMBER(VALUE(SUBSTITUTE($BE30:$AAQ30,"B",""))),1,0),0)))</f>
        <v>2</v>
      </c>
      <c r="AK30" t="str">
        <f t="shared" si="0"/>
        <v>25A</v>
      </c>
      <c r="AL30" t="str">
        <f t="shared" si="1"/>
        <v>25B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2"/>
        <v>XT29</v>
      </c>
      <c r="BF30" t="str">
        <f t="shared" si="3"/>
        <v>C20</v>
      </c>
      <c r="BG30" t="str">
        <f t="shared" si="4"/>
        <v>B20</v>
      </c>
      <c r="BH30" t="str">
        <f t="shared" si="5"/>
        <v>C21</v>
      </c>
      <c r="BI30" t="str">
        <f t="shared" si="6"/>
        <v>B21</v>
      </c>
      <c r="BJ30" t="str">
        <f t="shared" si="7"/>
        <v>C22</v>
      </c>
      <c r="BK30" t="str">
        <f t="shared" si="8"/>
        <v>B22</v>
      </c>
      <c r="BL30" t="str">
        <f t="shared" si="9"/>
        <v>C23</v>
      </c>
      <c r="BM30" t="str">
        <f t="shared" si="10"/>
        <v>B23</v>
      </c>
      <c r="BN30" t="str">
        <f t="shared" si="11"/>
        <v>C24</v>
      </c>
      <c r="BO30" t="str">
        <f t="shared" si="12"/>
        <v>B24</v>
      </c>
      <c r="BP30" t="str">
        <f t="shared" si="13"/>
        <v>26A</v>
      </c>
      <c r="BQ30" t="str">
        <f t="shared" si="14"/>
        <v>26B</v>
      </c>
      <c r="BR30" t="str">
        <f t="shared" si="15"/>
        <v>27A</v>
      </c>
      <c r="BS30" t="str">
        <f t="shared" si="16"/>
        <v>27B</v>
      </c>
      <c r="BT30" t="str">
        <f t="shared" si="17"/>
        <v>DI6-C19</v>
      </c>
      <c r="BU30" t="str">
        <f t="shared" si="18"/>
        <v>DI6-B19</v>
      </c>
      <c r="BV30" t="str">
        <f t="shared" si="49"/>
        <v>DI6-C20</v>
      </c>
      <c r="BW30" t="str">
        <f t="shared" si="49"/>
        <v>DI6-B20</v>
      </c>
      <c r="BX30" t="str">
        <f t="shared" si="49"/>
        <v>DI6-C21</v>
      </c>
      <c r="BY30" t="str">
        <f t="shared" si="49"/>
        <v>DI6-B21</v>
      </c>
      <c r="BZ30" t="str">
        <f t="shared" si="49"/>
        <v>DI6-C22</v>
      </c>
      <c r="CA30" t="str">
        <f t="shared" si="49"/>
        <v>DI6-B22</v>
      </c>
      <c r="CB30" t="str">
        <f t="shared" si="49"/>
        <v>DI6-C23</v>
      </c>
      <c r="CC30" t="str">
        <f t="shared" si="49"/>
        <v>DI6-B23</v>
      </c>
      <c r="CD30" t="str">
        <f t="shared" si="49"/>
        <v>DI6-C24</v>
      </c>
      <c r="CE30" t="str">
        <f t="shared" si="49"/>
        <v>DI6-B24</v>
      </c>
      <c r="CF30" t="str">
        <f t="shared" si="20"/>
        <v>DO3-25A</v>
      </c>
      <c r="CG30" t="str">
        <f t="shared" si="21"/>
        <v>DO3-25B</v>
      </c>
      <c r="CH30" t="str">
        <f t="shared" si="22"/>
        <v>DO3-26A</v>
      </c>
      <c r="CI30" t="str">
        <f t="shared" si="23"/>
        <v>DO3-26B</v>
      </c>
      <c r="CJ30" t="str">
        <f t="shared" si="24"/>
        <v>DO3-27A</v>
      </c>
      <c r="CK30" t="str">
        <f t="shared" si="25"/>
        <v>DO3-27B</v>
      </c>
      <c r="CL30" t="str">
        <f t="shared" si="27"/>
        <v>K29-10</v>
      </c>
      <c r="CM30" t="str">
        <f t="shared" si="28"/>
        <v>K29-03</v>
      </c>
      <c r="CN30" t="str">
        <f t="shared" si="29"/>
        <v>K29-04</v>
      </c>
      <c r="CO30" t="str">
        <f t="shared" si="30"/>
        <v>K29-01</v>
      </c>
      <c r="CP30" t="str">
        <f t="shared" si="31"/>
        <v>K29-08</v>
      </c>
      <c r="CQ30" t="str">
        <f t="shared" si="32"/>
        <v>K29-02</v>
      </c>
      <c r="CR30" t="str">
        <f t="shared" si="33"/>
        <v>K29-09</v>
      </c>
      <c r="CS30" t="str">
        <f t="shared" si="34"/>
        <v>K29-05</v>
      </c>
      <c r="CT30" t="str">
        <f t="shared" si="35"/>
        <v>K29-11</v>
      </c>
      <c r="CU30" t="str">
        <f t="shared" si="36"/>
        <v>F0-M29-A9</v>
      </c>
      <c r="CV30" t="str">
        <f t="shared" si="37"/>
        <v>F0-M29-A7</v>
      </c>
      <c r="CW30" t="str">
        <f t="shared" si="38"/>
        <v>F0-M29-A8</v>
      </c>
      <c r="CX30" t="str">
        <f t="shared" si="39"/>
        <v>F0-M29-A6</v>
      </c>
      <c r="CY30" t="str">
        <f t="shared" si="40"/>
        <v>F0-M29-A30</v>
      </c>
      <c r="CZ30" t="str">
        <f t="shared" si="41"/>
        <v>F0-M29-N</v>
      </c>
      <c r="DA30" t="str">
        <f t="shared" si="26"/>
        <v>F0-A220-M29</v>
      </c>
      <c r="DB30" t="str">
        <f t="shared" si="42"/>
        <v>F0-M29-XM01</v>
      </c>
      <c r="DC30" t="str">
        <f t="shared" si="43"/>
        <v>F0-M29-A1</v>
      </c>
      <c r="DD30" t="str">
        <f t="shared" si="44"/>
        <v>F0-M29-A5</v>
      </c>
      <c r="DE30" t="str">
        <f t="shared" si="45"/>
        <v>F0-M29-A11</v>
      </c>
      <c r="DF30" t="str">
        <f t="shared" si="46"/>
        <v>F0-M29-A12</v>
      </c>
      <c r="DG30" t="str">
        <f t="shared" si="47"/>
        <v>F0-M29-A19</v>
      </c>
      <c r="DH30" t="str">
        <f t="shared" si="48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s="83" t="s">
        <v>233</v>
      </c>
      <c r="B31" s="83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s="46">
        <f t="array" ref="AD31">IF(COUNTIFS(AC$2:AC31,AC31)=1,"1",VALUE(SUBSTITUTE(INDEX(AD:AD,_xlfn.XMATCH(AC31,AC$1:AC30,0,-1)),"A",""))+INDEX(AE:AE,_xlfn.XMATCH(AC31,AC$1:AC30,0,-1))+1)</f>
        <v>25</v>
      </c>
      <c r="AE31" s="46">
        <f t="array" ref="AE31">SUM(IF(ISNUMBER(FIND("TmDi",$BE$1:$AAQ$1)),IF(IFERROR(ISNUMBER(VALUE(SUBSTITUTE($BE31:$AAQ31,"B",""))),FALSE),IF(ISNUMBER(VALUE(SUBSTITUTE($BE31:$AAQ31,"B",""))),1,0),0)))</f>
        <v>5</v>
      </c>
      <c r="AF31" t="s">
        <v>240</v>
      </c>
      <c r="AG31" t="s">
        <v>242</v>
      </c>
      <c r="AH31" t="s">
        <v>268</v>
      </c>
      <c r="AI31" s="69">
        <f t="array" ref="AI31">IF(COUNTIFS(AH$2:AH31,AH31)=1,"1",VALUE(SUBSTITUTE(INDEX(AI:AI,_xlfn.XMATCH(AH31,AH$1:AH30,0,-1)),"A",""))+INDEX(AJ:AJ,_xlfn.XMATCH(AH31,AH$1:AH30,0,-1))+1)</f>
        <v>28</v>
      </c>
      <c r="AJ31" s="69">
        <f t="array" ref="AJ31">SUM(IF(ISNUMBER(FIND("TmDo",$BE$1:$AAQ$1)),IF(IFERROR(ISNUMBER(VALUE(SUBSTITUTE($BE31:$AAQ31,"B",""))),FALSE),IF(ISNUMBER(VALUE(SUBSTITUTE($BE31:$AAQ31,"B",""))),1,0),0)))</f>
        <v>2</v>
      </c>
      <c r="AK31" t="str">
        <f t="shared" si="0"/>
        <v>28A</v>
      </c>
      <c r="AL31" t="str">
        <f t="shared" si="1"/>
        <v>28B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2"/>
        <v>XT30</v>
      </c>
      <c r="BF31" t="str">
        <f t="shared" si="3"/>
        <v>C26</v>
      </c>
      <c r="BG31" t="str">
        <f t="shared" si="4"/>
        <v>B26</v>
      </c>
      <c r="BH31" t="str">
        <f t="shared" si="5"/>
        <v>C27</v>
      </c>
      <c r="BI31" t="str">
        <f t="shared" si="6"/>
        <v>B27</v>
      </c>
      <c r="BJ31" t="str">
        <f t="shared" si="7"/>
        <v>C28</v>
      </c>
      <c r="BK31" t="str">
        <f t="shared" si="8"/>
        <v>B28</v>
      </c>
      <c r="BL31" t="str">
        <f t="shared" si="9"/>
        <v>C29</v>
      </c>
      <c r="BM31" t="str">
        <f t="shared" si="10"/>
        <v>B29</v>
      </c>
      <c r="BN31" t="str">
        <f t="shared" si="11"/>
        <v>C30</v>
      </c>
      <c r="BO31" t="str">
        <f t="shared" si="12"/>
        <v>B30</v>
      </c>
      <c r="BP31" t="str">
        <f t="shared" si="13"/>
        <v>29A</v>
      </c>
      <c r="BQ31" t="str">
        <f t="shared" si="14"/>
        <v>29B</v>
      </c>
      <c r="BR31" t="str">
        <f t="shared" si="15"/>
        <v>30A</v>
      </c>
      <c r="BS31" t="str">
        <f t="shared" si="16"/>
        <v>30B</v>
      </c>
      <c r="BT31" t="str">
        <f t="shared" si="17"/>
        <v>DI6-C25</v>
      </c>
      <c r="BU31" t="str">
        <f t="shared" si="18"/>
        <v>DI6-B25</v>
      </c>
      <c r="BV31" t="str">
        <f t="shared" si="49"/>
        <v>DI6-C26</v>
      </c>
      <c r="BW31" t="str">
        <f t="shared" si="49"/>
        <v>DI6-B26</v>
      </c>
      <c r="BX31" t="str">
        <f t="shared" si="49"/>
        <v>DI6-C27</v>
      </c>
      <c r="BY31" t="str">
        <f t="shared" si="49"/>
        <v>DI6-B27</v>
      </c>
      <c r="BZ31" t="str">
        <f t="shared" si="49"/>
        <v>DI6-C28</v>
      </c>
      <c r="CA31" t="str">
        <f t="shared" si="49"/>
        <v>DI6-B28</v>
      </c>
      <c r="CB31" t="str">
        <f t="shared" si="49"/>
        <v>DI6-C29</v>
      </c>
      <c r="CC31" t="str">
        <f t="shared" si="49"/>
        <v>DI6-B29</v>
      </c>
      <c r="CD31" t="str">
        <f t="shared" si="49"/>
        <v>DI6-C30</v>
      </c>
      <c r="CE31" t="str">
        <f t="shared" si="49"/>
        <v>DI6-B30</v>
      </c>
      <c r="CF31" t="str">
        <f t="shared" si="20"/>
        <v>DO3-28A</v>
      </c>
      <c r="CG31" t="str">
        <f t="shared" si="21"/>
        <v>DO3-28B</v>
      </c>
      <c r="CH31" t="str">
        <f t="shared" si="22"/>
        <v>DO3-29A</v>
      </c>
      <c r="CI31" t="str">
        <f t="shared" si="23"/>
        <v>DO3-29B</v>
      </c>
      <c r="CJ31" t="str">
        <f t="shared" si="24"/>
        <v>DO3-30A</v>
      </c>
      <c r="CK31" t="str">
        <f t="shared" si="25"/>
        <v>DO3-30B</v>
      </c>
      <c r="CL31" t="str">
        <f t="shared" si="27"/>
        <v>K30-10</v>
      </c>
      <c r="CM31" t="str">
        <f t="shared" si="28"/>
        <v>K30-03</v>
      </c>
      <c r="CN31" t="str">
        <f t="shared" si="29"/>
        <v>K30-04</v>
      </c>
      <c r="CO31" t="str">
        <f t="shared" si="30"/>
        <v>K30-01</v>
      </c>
      <c r="CP31" t="str">
        <f t="shared" si="31"/>
        <v>K30-08</v>
      </c>
      <c r="CQ31" t="str">
        <f t="shared" si="32"/>
        <v>K30-02</v>
      </c>
      <c r="CR31" t="str">
        <f t="shared" si="33"/>
        <v>K30-09</v>
      </c>
      <c r="CS31" t="str">
        <f t="shared" si="34"/>
        <v>K30-05</v>
      </c>
      <c r="CT31" t="str">
        <f t="shared" si="35"/>
        <v>K30-11</v>
      </c>
      <c r="CU31" t="str">
        <f t="shared" si="36"/>
        <v>F0-M30-A9</v>
      </c>
      <c r="CV31" t="str">
        <f t="shared" si="37"/>
        <v>F0-M30-A7</v>
      </c>
      <c r="CW31" t="str">
        <f t="shared" si="38"/>
        <v>F0-M30-A8</v>
      </c>
      <c r="CX31" t="str">
        <f t="shared" si="39"/>
        <v>F0-M30-A6</v>
      </c>
      <c r="CY31" t="str">
        <f t="shared" si="40"/>
        <v>F0-M30-A30</v>
      </c>
      <c r="CZ31" t="str">
        <f t="shared" si="41"/>
        <v>F0-M30-N</v>
      </c>
      <c r="DA31" t="str">
        <f t="shared" si="26"/>
        <v>F0-A220-M30</v>
      </c>
      <c r="DB31" t="str">
        <f t="shared" si="42"/>
        <v>F0-M30-XM01</v>
      </c>
      <c r="DC31" t="str">
        <f t="shared" si="43"/>
        <v>F0-M30-A1</v>
      </c>
      <c r="DD31" t="str">
        <f t="shared" si="44"/>
        <v>F0-M30-A5</v>
      </c>
      <c r="DE31" t="str">
        <f t="shared" si="45"/>
        <v>F0-M30-A11</v>
      </c>
      <c r="DF31" t="str">
        <f t="shared" si="46"/>
        <v>F0-M30-A12</v>
      </c>
      <c r="DG31" t="str">
        <f t="shared" si="47"/>
        <v>F0-M30-A19</v>
      </c>
      <c r="DH31" t="str">
        <f t="shared" si="48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s="83" t="s">
        <v>236</v>
      </c>
      <c r="B32" s="83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64" t="str">
        <f t="array" ref="AD32">IF(COUNTIFS(AC$2:AC32,AC32)=1,"1",VALUE(SUBSTITUTE(INDEX(AD:AD,_xlfn.XMATCH(AC32,AC$1:AC31,0,-1)),"A",""))+INDEX(AE:AE,_xlfn.XMATCH(AC32,AC$1:AC31,0,-1))+1)</f>
        <v>1</v>
      </c>
      <c r="AE32" s="64">
        <f t="array" ref="AE32">SUM(IF(ISNUMBER(FIND("TmDi",$BE$1:$AAQ$1)),IF(IFERROR(ISNUMBER(VALUE(SUBSTITUTE($BE32:$AAQ32,"B",""))),FALSE),IF(ISNUMBER(VALUE(SUBSTITUTE($BE32:$AAQ32,"B",""))),1,0),0)))</f>
        <v>5</v>
      </c>
      <c r="AF32" s="19" t="s">
        <v>133</v>
      </c>
      <c r="AG32" s="19" t="s">
        <v>134</v>
      </c>
      <c r="AH32" s="19" t="s">
        <v>269</v>
      </c>
      <c r="AI32" s="70" t="str">
        <f t="array" ref="AI32">IF(COUNTIFS(AH$2:AH32,AH32)=1,"1",VALUE(SUBSTITUTE(INDEX(AI:AI,_xlfn.XMATCH(AH32,AH$1:AH31,0,-1)),"A",""))+INDEX(AJ:AJ,_xlfn.XMATCH(AH32,AH$1:AH31,0,-1))+1)</f>
        <v>1</v>
      </c>
      <c r="AJ32" s="70">
        <f t="array" ref="AJ32">SUM(IF(ISNUMBER(FIND("TmDo",$BE$1:$AAQ$1)),IF(IFERROR(ISNUMBER(VALUE(SUBSTITUTE($BE32:$AAQ32,"B",""))),FALSE),IF(ISNUMBER(VALUE(SUBSTITUTE($BE32:$AAQ32,"B",""))),1,0),0)))</f>
        <v>2</v>
      </c>
      <c r="AK32" s="19" t="str">
        <f t="shared" si="0"/>
        <v>1A</v>
      </c>
      <c r="AL32" s="19" t="str">
        <f t="shared" si="1"/>
        <v>1B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2"/>
        <v>XT31</v>
      </c>
      <c r="BF32" s="19" t="str">
        <f t="shared" si="3"/>
        <v>C2</v>
      </c>
      <c r="BG32" s="19" t="str">
        <f t="shared" si="4"/>
        <v>B2</v>
      </c>
      <c r="BH32" s="19" t="str">
        <f t="shared" si="5"/>
        <v>C3</v>
      </c>
      <c r="BI32" s="19" t="str">
        <f t="shared" si="6"/>
        <v>B3</v>
      </c>
      <c r="BJ32" s="19" t="str">
        <f t="shared" si="7"/>
        <v>C4</v>
      </c>
      <c r="BK32" s="19" t="str">
        <f t="shared" si="8"/>
        <v>B4</v>
      </c>
      <c r="BL32" s="19" t="str">
        <f t="shared" si="9"/>
        <v>C5</v>
      </c>
      <c r="BM32" s="19" t="str">
        <f t="shared" si="10"/>
        <v>B5</v>
      </c>
      <c r="BN32" s="19" t="str">
        <f t="shared" si="11"/>
        <v>C6</v>
      </c>
      <c r="BO32" s="19" t="str">
        <f t="shared" si="12"/>
        <v>B6</v>
      </c>
      <c r="BP32" s="19" t="str">
        <f t="shared" si="13"/>
        <v>2A</v>
      </c>
      <c r="BQ32" s="19" t="str">
        <f t="shared" si="14"/>
        <v>2B</v>
      </c>
      <c r="BR32" s="19" t="str">
        <f t="shared" si="15"/>
        <v>3A</v>
      </c>
      <c r="BS32" s="19" t="str">
        <f t="shared" si="16"/>
        <v>3B</v>
      </c>
      <c r="BT32" s="19" t="str">
        <f t="shared" si="17"/>
        <v>DI7-C1</v>
      </c>
      <c r="BU32" s="19" t="str">
        <f t="shared" si="18"/>
        <v>DI7-B1</v>
      </c>
      <c r="BV32" s="19" t="str">
        <f t="shared" si="49"/>
        <v>DI7-C2</v>
      </c>
      <c r="BW32" s="19" t="str">
        <f t="shared" si="49"/>
        <v>DI7-B2</v>
      </c>
      <c r="BX32" s="19" t="str">
        <f t="shared" si="49"/>
        <v>DI7-C3</v>
      </c>
      <c r="BY32" s="19" t="str">
        <f t="shared" si="49"/>
        <v>DI7-B3</v>
      </c>
      <c r="BZ32" s="19" t="str">
        <f t="shared" si="49"/>
        <v>DI7-C4</v>
      </c>
      <c r="CA32" s="19" t="str">
        <f t="shared" si="49"/>
        <v>DI7-B4</v>
      </c>
      <c r="CB32" s="19" t="str">
        <f t="shared" si="49"/>
        <v>DI7-C5</v>
      </c>
      <c r="CC32" s="19" t="str">
        <f t="shared" si="49"/>
        <v>DI7-B5</v>
      </c>
      <c r="CD32" s="19" t="str">
        <f t="shared" si="49"/>
        <v>DI7-C6</v>
      </c>
      <c r="CE32" s="19" t="str">
        <f t="shared" si="49"/>
        <v>DI7-B6</v>
      </c>
      <c r="CF32" s="19" t="str">
        <f t="shared" si="20"/>
        <v>DO4-1A</v>
      </c>
      <c r="CG32" s="19" t="str">
        <f t="shared" si="21"/>
        <v>DO4-1B</v>
      </c>
      <c r="CH32" s="19" t="str">
        <f t="shared" si="22"/>
        <v>DO4-2A</v>
      </c>
      <c r="CI32" s="19" t="str">
        <f t="shared" si="23"/>
        <v>DO4-2B</v>
      </c>
      <c r="CJ32" s="19" t="str">
        <f t="shared" si="24"/>
        <v>DO4-3A</v>
      </c>
      <c r="CK32" s="19" t="str">
        <f t="shared" si="25"/>
        <v>DO4-3B</v>
      </c>
      <c r="CL32" s="19" t="str">
        <f t="shared" si="27"/>
        <v>K31-10</v>
      </c>
      <c r="CM32" s="19" t="str">
        <f t="shared" si="28"/>
        <v>K31-03</v>
      </c>
      <c r="CN32" s="19" t="str">
        <f t="shared" si="29"/>
        <v>K31-04</v>
      </c>
      <c r="CO32" s="19" t="str">
        <f t="shared" si="30"/>
        <v>K31-01</v>
      </c>
      <c r="CP32" s="19" t="str">
        <f t="shared" si="31"/>
        <v>K31-08</v>
      </c>
      <c r="CQ32" s="19" t="str">
        <f t="shared" si="32"/>
        <v>K31-02</v>
      </c>
      <c r="CR32" s="19" t="str">
        <f t="shared" si="33"/>
        <v>K31-09</v>
      </c>
      <c r="CS32" s="19" t="str">
        <f t="shared" si="34"/>
        <v>K31-05</v>
      </c>
      <c r="CT32" s="19" t="str">
        <f t="shared" si="35"/>
        <v>K31-11</v>
      </c>
      <c r="CU32" s="19" t="str">
        <f t="shared" si="36"/>
        <v>F0-M31-A9</v>
      </c>
      <c r="CV32" s="19" t="str">
        <f t="shared" si="37"/>
        <v>F0-M31-A7</v>
      </c>
      <c r="CW32" s="19" t="str">
        <f t="shared" si="38"/>
        <v>F0-M31-A8</v>
      </c>
      <c r="CX32" s="19" t="str">
        <f t="shared" si="39"/>
        <v>F0-M31-A6</v>
      </c>
      <c r="CY32" s="19" t="str">
        <f t="shared" si="40"/>
        <v>F0-M31-A30</v>
      </c>
      <c r="CZ32" s="19" t="str">
        <f t="shared" si="41"/>
        <v>F0-M31-N</v>
      </c>
      <c r="DA32" s="19" t="str">
        <f t="shared" si="26"/>
        <v>F0-A220-M31</v>
      </c>
      <c r="DB32" s="19" t="str">
        <f t="shared" si="42"/>
        <v>F0-M31-XM01</v>
      </c>
      <c r="DC32" s="19" t="str">
        <f t="shared" si="43"/>
        <v>F0-M31-A1</v>
      </c>
      <c r="DD32" s="19" t="str">
        <f t="shared" si="44"/>
        <v>F0-M31-A5</v>
      </c>
      <c r="DE32" s="19" t="str">
        <f t="shared" si="45"/>
        <v>F0-M31-A11</v>
      </c>
      <c r="DF32" s="19" t="str">
        <f t="shared" si="46"/>
        <v>F0-M31-A12</v>
      </c>
      <c r="DG32" s="19" t="str">
        <f t="shared" si="47"/>
        <v>F0-M31-A19</v>
      </c>
      <c r="DH32" s="19" t="str">
        <f t="shared" si="48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s="83" t="s">
        <v>280</v>
      </c>
      <c r="B33" s="8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77">
        <f t="array" ref="AD33">IF(COUNTIFS(AC$2:AC33,AC33)=1,"1",VALUE(SUBSTITUTE(INDEX(AD:AD,_xlfn.XMATCH(AC33,AC$1:AC32,0,-1)),"A",""))+INDEX(AE:AE,_xlfn.XMATCH(AC33,AC$1:AC32,0,-1))+1)</f>
        <v>7</v>
      </c>
      <c r="AE33" s="77">
        <f t="array" ref="AE33">SUM(IF(ISNUMBER(FIND("TmDi",$BE$1:$AAQ$1)),IF(IFERROR(ISNUMBER(VALUE(SUBSTITUTE($BE33:$AAQ33,"B",""))),FALSE),IF(ISNUMBER(VALUE(SUBSTITUTE($BE33:$AAQ33,"B",""))),1,0),0)))</f>
        <v>3</v>
      </c>
      <c r="AF33" s="23" t="s">
        <v>148</v>
      </c>
      <c r="AG33" s="23" t="s">
        <v>149</v>
      </c>
      <c r="AH33" s="23" t="s">
        <v>269</v>
      </c>
      <c r="AI33" s="71">
        <f t="array" ref="AI33">IF(COUNTIFS(AH$2:AH33,AH33)=1,"1",VALUE(SUBSTITUTE(INDEX(AI:AI,_xlfn.XMATCH(AH33,AH$1:AH32,0,-1)),"A",""))+INDEX(AJ:AJ,_xlfn.XMATCH(AH33,AH$1:AH32,0,-1))+1)</f>
        <v>4</v>
      </c>
      <c r="AJ33" s="71">
        <f t="array" ref="AJ33">SUM(IF(ISNUMBER(FIND("TmDo",$BE$1:$AAQ$1)),IF(IFERROR(ISNUMBER(VALUE(SUBSTITUTE($BE33:$AAQ33,"B",""))),FALSE),IF(ISNUMBER(VALUE(SUBSTITUTE($BE33:$AAQ33,"B",""))),1,0),0)))</f>
        <v>2</v>
      </c>
      <c r="AK33" s="23" t="str">
        <f t="shared" si="0"/>
        <v>4A</v>
      </c>
      <c r="AL33" s="23" t="str">
        <f t="shared" si="1"/>
        <v>4B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2"/>
        <v>XT32</v>
      </c>
      <c r="BF33" s="23" t="str">
        <f t="shared" si="3"/>
        <v>C8</v>
      </c>
      <c r="BG33" s="23" t="str">
        <f t="shared" si="4"/>
        <v>B8</v>
      </c>
      <c r="BH33" s="23" t="str">
        <f t="shared" si="5"/>
        <v>C9</v>
      </c>
      <c r="BI33" s="23" t="str">
        <f t="shared" si="6"/>
        <v>B9</v>
      </c>
      <c r="BJ33" s="23" t="str">
        <f t="shared" si="7"/>
        <v>C10</v>
      </c>
      <c r="BK33" s="23" t="str">
        <f t="shared" si="8"/>
        <v>B10</v>
      </c>
      <c r="BL33" s="23"/>
      <c r="BM33" s="23"/>
      <c r="BN33" s="23"/>
      <c r="BO33" s="23"/>
      <c r="BP33" s="23" t="str">
        <f t="shared" si="13"/>
        <v>5A</v>
      </c>
      <c r="BQ33" s="23" t="str">
        <f t="shared" si="14"/>
        <v>5B</v>
      </c>
      <c r="BR33" s="23" t="str">
        <f t="shared" si="15"/>
        <v>6A</v>
      </c>
      <c r="BS33" s="23" t="str">
        <f t="shared" si="16"/>
        <v>6B</v>
      </c>
      <c r="BT33" s="23" t="str">
        <f t="shared" si="17"/>
        <v>DI7-C7</v>
      </c>
      <c r="BU33" s="23" t="str">
        <f t="shared" si="18"/>
        <v>DI7-B7</v>
      </c>
      <c r="BV33" s="23" t="str">
        <f t="shared" si="49"/>
        <v>DI7-C8</v>
      </c>
      <c r="BW33" s="23" t="str">
        <f t="shared" si="49"/>
        <v>DI7-B8</v>
      </c>
      <c r="BX33" s="23" t="str">
        <f t="shared" si="49"/>
        <v>DI7-C9</v>
      </c>
      <c r="BY33" s="23" t="str">
        <f t="shared" si="49"/>
        <v>DI7-B9</v>
      </c>
      <c r="BZ33" s="23" t="str">
        <f t="shared" si="49"/>
        <v>DI7-C10</v>
      </c>
      <c r="CA33" s="23" t="str">
        <f t="shared" si="49"/>
        <v>DI7-B10</v>
      </c>
      <c r="CB33" s="23" t="str">
        <f t="shared" si="49"/>
        <v>DI7-</v>
      </c>
      <c r="CC33" s="23" t="str">
        <f t="shared" si="49"/>
        <v>DI7-</v>
      </c>
      <c r="CD33" s="23" t="str">
        <f t="shared" si="49"/>
        <v>DI7-</v>
      </c>
      <c r="CE33" s="23" t="str">
        <f t="shared" si="49"/>
        <v>DI7-</v>
      </c>
      <c r="CF33" s="23" t="str">
        <f t="shared" si="20"/>
        <v>DO4-4A</v>
      </c>
      <c r="CG33" s="23" t="str">
        <f t="shared" si="21"/>
        <v>DO4-4B</v>
      </c>
      <c r="CH33" s="23" t="str">
        <f t="shared" si="22"/>
        <v>DO4-5A</v>
      </c>
      <c r="CI33" s="23" t="str">
        <f t="shared" si="23"/>
        <v>DO4-5B</v>
      </c>
      <c r="CJ33" s="23" t="str">
        <f t="shared" si="24"/>
        <v>DO4-6A</v>
      </c>
      <c r="CK33" s="23" t="str">
        <f t="shared" si="25"/>
        <v>DO4-6B</v>
      </c>
      <c r="CL33" s="23" t="str">
        <f t="shared" si="27"/>
        <v>K32-10</v>
      </c>
      <c r="CM33" s="23" t="str">
        <f t="shared" si="28"/>
        <v>K32-03</v>
      </c>
      <c r="CN33" s="23" t="str">
        <f t="shared" si="29"/>
        <v>K32-04</v>
      </c>
      <c r="CO33" s="23" t="str">
        <f t="shared" si="30"/>
        <v>K32-01</v>
      </c>
      <c r="CP33" s="23" t="str">
        <f t="shared" si="31"/>
        <v>K32-08</v>
      </c>
      <c r="CQ33" s="23" t="str">
        <f t="shared" si="32"/>
        <v>K32-02</v>
      </c>
      <c r="CR33" s="23" t="str">
        <f t="shared" si="33"/>
        <v>K32-09</v>
      </c>
      <c r="CS33" s="23" t="str">
        <f t="shared" si="34"/>
        <v>K32-05</v>
      </c>
      <c r="CT33" s="23" t="str">
        <f t="shared" si="35"/>
        <v>K32-11</v>
      </c>
      <c r="CU33" s="23" t="str">
        <f t="shared" si="36"/>
        <v>F0-M32-A9</v>
      </c>
      <c r="CV33" s="23" t="str">
        <f t="shared" si="37"/>
        <v>F0-M32-A7</v>
      </c>
      <c r="CW33" s="23" t="str">
        <f t="shared" si="38"/>
        <v>F0-M32-A8</v>
      </c>
      <c r="CX33" s="23" t="str">
        <f t="shared" si="39"/>
        <v>F0-M32-A6</v>
      </c>
      <c r="CY33" s="23" t="str">
        <f t="shared" si="40"/>
        <v>F0-M32-A30</v>
      </c>
      <c r="CZ33" s="23" t="str">
        <f t="shared" si="41"/>
        <v>F0-M32-N</v>
      </c>
      <c r="DA33" s="23" t="str">
        <f t="shared" si="26"/>
        <v>F0-A220-M32</v>
      </c>
      <c r="DB33" s="23" t="str">
        <f t="shared" si="42"/>
        <v>F0-M32-XM01</v>
      </c>
      <c r="DC33" s="23" t="str">
        <f t="shared" si="43"/>
        <v>F0-M32-A1</v>
      </c>
      <c r="DD33" s="23" t="str">
        <f t="shared" si="44"/>
        <v>F0-M32-A5</v>
      </c>
      <c r="DE33" s="23" t="str">
        <f t="shared" si="45"/>
        <v>F0-M32-A11</v>
      </c>
      <c r="DF33" s="23" t="str">
        <f t="shared" si="46"/>
        <v>F0-M32-A12</v>
      </c>
      <c r="DG33" s="23" t="str">
        <f t="shared" si="47"/>
        <v>F0-M32-A19</v>
      </c>
      <c r="DH33" s="23" t="str">
        <f t="shared" si="48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s="83" t="s">
        <v>273</v>
      </c>
      <c r="B34" s="83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78" t="str">
        <f t="array" ref="AD34">IF(COUNTIFS(AC$2:AC34,AC34)=1,"1",VALUE(SUBSTITUTE(INDEX(AD:AD,_xlfn.XMATCH(AC34,AC$1:AC33,0,-1)),"A",""))+INDEX(AE:AE,_xlfn.XMATCH(AC34,AC$1:AC33,0,-1))+1)</f>
        <v>1</v>
      </c>
      <c r="AE34" s="78">
        <f t="array" ref="AE34">SUM(IF(ISNUMBER(FIND("TmDi",$BE$1:$AAQ$1)),IF(IFERROR(ISNUMBER(VALUE(SUBSTITUTE($BE34:$AAQ34,"B",""))),FALSE),IF(ISNUMBER(VALUE(SUBSTITUTE($BE34:$AAQ34,"B",""))),1,0),0)))</f>
        <v>2</v>
      </c>
      <c r="AF34" s="12" t="s">
        <v>133</v>
      </c>
      <c r="AG34" s="12" t="s">
        <v>134</v>
      </c>
      <c r="AH34" s="12" t="s">
        <v>383</v>
      </c>
      <c r="AI34" s="68" t="str">
        <f t="array" ref="AI34">IF(COUNTIFS(AH$2:AH34,AH34)=1,"1",VALUE(SUBSTITUTE(INDEX(AI:AI,_xlfn.XMATCH(AH34,AH$1:AH33,0,-1)),"A",""))+INDEX(AJ:AJ,_xlfn.XMATCH(AH34,AH$1:AH33,0,-1))+1)</f>
        <v>1</v>
      </c>
      <c r="AJ34" s="68">
        <f t="array" ref="AJ34">SUM(IF(ISNUMBER(FIND("TmDo",$BE$1:$AAQ$1)),IF(IFERROR(ISNUMBER(VALUE(SUBSTITUTE($BE34:$AAQ34,"B",""))),FALSE),IF(ISNUMBER(VALUE(SUBSTITUTE($BE34:$AAQ34,"B",""))),1,0),0)))</f>
        <v>1</v>
      </c>
      <c r="AK34" s="12" t="str">
        <f t="shared" si="0"/>
        <v>1A</v>
      </c>
      <c r="AL34" s="12" t="str">
        <f t="shared" si="1"/>
        <v>1B</v>
      </c>
      <c r="AM34" s="12">
        <v>31</v>
      </c>
      <c r="AN34" s="12" t="str">
        <f>CONCATENATE(AM34,"XT")</f>
        <v>31XT</v>
      </c>
      <c r="AO34" s="12" t="str">
        <f t="shared" ref="AO34:AO42" si="50">CONCATENATE(AM34,"X")</f>
        <v>31X</v>
      </c>
      <c r="AP34" s="12" t="s">
        <v>137</v>
      </c>
      <c r="AQ34" s="12" t="s">
        <v>138</v>
      </c>
      <c r="AR34" s="12" t="str">
        <f t="shared" ref="AR34:AR42" si="51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52">CONCATENATE("XT",U34)</f>
        <v>XT33</v>
      </c>
      <c r="ES34" s="12" t="str">
        <f t="shared" ref="ES34:ES42" si="53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 t="shared" ref="EW34:EW42" si="54">CONCATENATE(REPLACE(AK34,LEN(AK34),1,"")+1,"A")</f>
        <v>2A</v>
      </c>
      <c r="EX34" s="12" t="str">
        <f t="shared" ref="EX34:EX42" si="55">CONCATENATE(REPLACE(AL34,LEN(AL34),1,"")+1,"B")</f>
        <v>2B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35" si="56">CONCATENATE("DI",REPLACE($AC34,1,3,""),"-",ES34)</f>
        <v>DI8-C2</v>
      </c>
      <c r="FB34" s="12" t="str">
        <f t="shared" si="56"/>
        <v>DI8-B2</v>
      </c>
      <c r="FC34" s="12" t="str">
        <f t="shared" si="56"/>
        <v>DI8-C3</v>
      </c>
      <c r="FD34" s="12" t="str">
        <f t="shared" si="56"/>
        <v>DI8-B3</v>
      </c>
      <c r="FE34" s="12" t="str">
        <f>CONCATENATE("DO",REPLACE($AH34,1,3,""),"-",AK34)</f>
        <v>DO5-1A</v>
      </c>
      <c r="FF34" s="12" t="str">
        <f>CONCATENATE("DO",REPLACE($AH34,1,3,""),"-",AL34)</f>
        <v>DO5-1B</v>
      </c>
      <c r="FG34" s="12" t="str">
        <f>CONCATENATE("DO",REPLACE($AH34,1,3,""),"-",EW34)</f>
        <v>DO5-2A</v>
      </c>
      <c r="FH34" s="12" t="str">
        <f>CONCATENATE("DO",REPLACE($AH34,1,3,""),"-",EX34)</f>
        <v>DO5-2B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57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58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s="83" t="s">
        <v>275</v>
      </c>
      <c r="B35" s="83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s="46">
        <f t="array" ref="AD35">IF(COUNTIFS(AC$2:AC35,AC35)=1,"1",VALUE(SUBSTITUTE(INDEX(AD:AD,_xlfn.XMATCH(AC35,AC$1:AC34,0,-1)),"A",""))+INDEX(AE:AE,_xlfn.XMATCH(AC35,AC$1:AC34,0,-1))+1)</f>
        <v>4</v>
      </c>
      <c r="AE35" s="46">
        <f t="array" ref="AE35">SUM(IF(ISNUMBER(FIND("TmDi",$BE$1:$AAQ$1)),IF(IFERROR(ISNUMBER(VALUE(SUBSTITUTE($BE35:$AAQ35,"B",""))),FALSE),IF(ISNUMBER(VALUE(SUBSTITUTE($BE35:$AAQ35,"B",""))),1,0),0)))</f>
        <v>2</v>
      </c>
      <c r="AF35" t="s">
        <v>369</v>
      </c>
      <c r="AG35" t="s">
        <v>370</v>
      </c>
      <c r="AH35" t="s">
        <v>383</v>
      </c>
      <c r="AI35" s="69">
        <f t="array" ref="AI35">IF(COUNTIFS(AH$2:AH35,AH35)=1,"1",VALUE(SUBSTITUTE(INDEX(AI:AI,_xlfn.XMATCH(AH35,AH$1:AH34,0,-1)),"A",""))+INDEX(AJ:AJ,_xlfn.XMATCH(AH35,AH$1:AH34,0,-1))+1)</f>
        <v>3</v>
      </c>
      <c r="AJ35" s="69">
        <f t="array" ref="AJ35">SUM(IF(ISNUMBER(FIND("TmDo",$BE$1:$AAQ$1)),IF(IFERROR(ISNUMBER(VALUE(SUBSTITUTE($BE35:$AAQ35,"B",""))),FALSE),IF(ISNUMBER(VALUE(SUBSTITUTE($BE35:$AAQ35,"B",""))),1,0),0)))</f>
        <v>1</v>
      </c>
      <c r="AK35" t="str">
        <f t="shared" si="0"/>
        <v>3A</v>
      </c>
      <c r="AL35" t="str">
        <f t="shared" si="1"/>
        <v>3B</v>
      </c>
      <c r="AM35">
        <v>45</v>
      </c>
      <c r="AN35" t="str">
        <f t="shared" ref="AN35:AN42" si="59">CONCATENATE(AM35,"XT")</f>
        <v>45XT</v>
      </c>
      <c r="AO35" t="str">
        <f t="shared" si="50"/>
        <v>45X</v>
      </c>
      <c r="AP35" t="s">
        <v>137</v>
      </c>
      <c r="AQ35" t="s">
        <v>138</v>
      </c>
      <c r="AR35" t="str">
        <f t="shared" si="51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52"/>
        <v>XT34</v>
      </c>
      <c r="ES35" t="str">
        <f t="shared" si="53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 t="shared" si="54"/>
        <v>4A</v>
      </c>
      <c r="EX35" t="str">
        <f t="shared" si="55"/>
        <v>4B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56"/>
        <v>DI8-C5</v>
      </c>
      <c r="FB35" t="str">
        <f t="shared" si="56"/>
        <v>DI8-B5</v>
      </c>
      <c r="FC35" t="str">
        <f t="shared" si="56"/>
        <v>DI8-C6</v>
      </c>
      <c r="FD35" t="str">
        <f t="shared" si="56"/>
        <v>DI8-B6</v>
      </c>
      <c r="FE35" t="str">
        <f>CONCATENATE("DO",REPLACE($AH35,1,3,""),"-",AK35)</f>
        <v>DO5-3A</v>
      </c>
      <c r="FF35" t="str">
        <f>CONCATENATE("DO",REPLACE($AH35,1,3,""),"-",AL35)</f>
        <v>DO5-3B</v>
      </c>
      <c r="FG35" t="str">
        <f>CONCATENATE("DO",REPLACE($AH35,1,3,""),"-",EW35)</f>
        <v>DO5-4A</v>
      </c>
      <c r="FH35" t="str">
        <f>CONCATENATE("DO",REPLACE($AH35,1,3,""),"-",EX35)</f>
        <v>DO5-4B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57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58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s="83" t="s">
        <v>342</v>
      </c>
      <c r="B36" s="83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s="46">
        <f t="array" ref="AD36">IF(COUNTIFS(AC$2:AC36,AC36)=1,"1",VALUE(SUBSTITUTE(INDEX(AD:AD,_xlfn.XMATCH(AC36,AC$1:AC35,0,-1)),"A",""))+INDEX(AE:AE,_xlfn.XMATCH(AC36,AC$1:AC35,0,-1))+1)</f>
        <v>7</v>
      </c>
      <c r="AE36" s="46">
        <f t="array" ref="AE36">SUM(IF(ISNUMBER(FIND("TmDi",$BE$1:$AAQ$1)),IF(IFERROR(ISNUMBER(VALUE(SUBSTITUTE($BE36:$AAQ36,"B",""))),FALSE),IF(ISNUMBER(VALUE(SUBSTITUTE($BE36:$AAQ36,"B",""))),1,0),0)))</f>
        <v>2</v>
      </c>
      <c r="AF36" t="s">
        <v>148</v>
      </c>
      <c r="AG36" t="s">
        <v>149</v>
      </c>
      <c r="AH36" t="s">
        <v>383</v>
      </c>
      <c r="AI36" s="69">
        <f t="array" ref="AI36">IF(COUNTIFS(AH$2:AH36,AH36)=1,"1",VALUE(SUBSTITUTE(INDEX(AI:AI,_xlfn.XMATCH(AH36,AH$1:AH35,0,-1)),"A",""))+INDEX(AJ:AJ,_xlfn.XMATCH(AH36,AH$1:AH35,0,-1))+1)</f>
        <v>5</v>
      </c>
      <c r="AJ36" s="69">
        <f t="array" ref="AJ36">SUM(IF(ISNUMBER(FIND("TmDo",$BE$1:$AAQ$1)),IF(IFERROR(ISNUMBER(VALUE(SUBSTITUTE($BE36:$AAQ36,"B",""))),FALSE),IF(ISNUMBER(VALUE(SUBSTITUTE($BE36:$AAQ36,"B",""))),1,0),0)))</f>
        <v>1</v>
      </c>
      <c r="AK36" t="str">
        <f t="shared" si="0"/>
        <v>5A</v>
      </c>
      <c r="AL36" t="str">
        <f t="shared" si="1"/>
        <v>5B</v>
      </c>
      <c r="AM36">
        <v>44</v>
      </c>
      <c r="AN36" t="str">
        <f t="shared" si="59"/>
        <v>44XT</v>
      </c>
      <c r="AO36" t="str">
        <f t="shared" si="50"/>
        <v>44X</v>
      </c>
      <c r="AP36" t="s">
        <v>137</v>
      </c>
      <c r="AQ36" t="s">
        <v>138</v>
      </c>
      <c r="AR36" t="str">
        <f t="shared" si="51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52"/>
        <v>XT35</v>
      </c>
      <c r="ES36" t="str">
        <f t="shared" si="53"/>
        <v>C8</v>
      </c>
      <c r="ET36" t="str">
        <f t="shared" ref="ET36:ET42" si="60">CONCATENATE("B",REPLACE(AG36,1,1,"")+1)</f>
        <v>B8</v>
      </c>
      <c r="EU36" t="str">
        <f t="shared" ref="EU36:EU42" si="61">CONCATENATE("C",REPLACE(ES36,1,1,"")+1)</f>
        <v>C9</v>
      </c>
      <c r="EV36" t="str">
        <f t="shared" ref="EV36:EV42" si="62">CONCATENATE("B",REPLACE(ET36,1,1,"")+1)</f>
        <v>B9</v>
      </c>
      <c r="EW36" t="str">
        <f t="shared" si="54"/>
        <v>6A</v>
      </c>
      <c r="EX36" t="str">
        <f t="shared" si="55"/>
        <v>6B</v>
      </c>
      <c r="EY36" t="str">
        <f t="shared" ref="EY36:EY42" si="63">CONCATENATE("DI",REPLACE($AC36,1,3,""),"-",AF36)</f>
        <v>DI8-C7</v>
      </c>
      <c r="EZ36" t="str">
        <f t="shared" ref="EZ36:EZ42" si="64">CONCATENATE("DI",REPLACE($AC36,1,3,""),"-",AG36)</f>
        <v>DI8-B7</v>
      </c>
      <c r="FA36" t="str">
        <f t="shared" ref="FA36:FA42" si="65">CONCATENATE("DI",REPLACE($AC36,1,3,""),"-",ES36)</f>
        <v>DI8-C8</v>
      </c>
      <c r="FB36" t="str">
        <f t="shared" ref="FB36:FB42" si="66">CONCATENATE("DI",REPLACE($AC36,1,3,""),"-",ET36)</f>
        <v>DI8-B8</v>
      </c>
      <c r="FC36" t="str">
        <f t="shared" ref="FC36:FC42" si="67">CONCATENATE("DI",REPLACE($AC36,1,3,""),"-",EU36)</f>
        <v>DI8-C9</v>
      </c>
      <c r="FD36" t="str">
        <f t="shared" ref="FD36:FD42" si="68">CONCATENATE("DI",REPLACE($AC36,1,3,""),"-",EV36)</f>
        <v>DI8-B9</v>
      </c>
      <c r="FE36" t="str">
        <f t="shared" ref="FE36:FE42" si="69">CONCATENATE("DO",REPLACE($AH36,1,3,""),"-",AK36)</f>
        <v>DO5-5A</v>
      </c>
      <c r="FF36" t="str">
        <f t="shared" ref="FF36:FF42" si="70">CONCATENATE("DO",REPLACE($AH36,1,3,""),"-",AL36)</f>
        <v>DO5-5B</v>
      </c>
      <c r="FG36" t="str">
        <f t="shared" ref="FG36:FG42" si="71">CONCATENATE("DO",REPLACE($AH36,1,3,""),"-",EW36)</f>
        <v>DO5-6A</v>
      </c>
      <c r="FH36" t="str">
        <f t="shared" ref="FH36:FH42" si="72">CONCATENATE("DO",REPLACE($AH36,1,3,""),"-",EX36)</f>
        <v>DO5-6B</v>
      </c>
      <c r="FI36" t="str">
        <f t="shared" ref="FI36:FI42" si="73">CONCATENATE("K",$U36,"-03")</f>
        <v>K35-03</v>
      </c>
      <c r="FJ36" t="str">
        <f t="shared" ref="FJ36:FJ42" si="74">CONCATENATE("K",$U36,"-04")</f>
        <v>K35-04</v>
      </c>
      <c r="FK36" t="str">
        <f t="shared" ref="FK36:FK42" si="75">CONCATENATE("K",$U36,"-01")</f>
        <v>K35-01</v>
      </c>
      <c r="FL36" t="str">
        <f t="shared" ref="FL36:FL42" si="76">CONCATENATE("K",$U36,"-02")</f>
        <v>K35-02</v>
      </c>
      <c r="FM36" t="str">
        <f t="shared" si="57"/>
        <v>K35-05</v>
      </c>
      <c r="FN36" t="str">
        <f t="shared" ref="FN36:FN42" si="77">CONCATENATE($T36,"-M",$U36,"-H1")</f>
        <v>F0-M35-H1</v>
      </c>
      <c r="FO36" t="str">
        <f t="shared" ref="FO36:FO42" si="78">CONCATENATE($T36,"-M",$U36,"-A1")</f>
        <v>F0-M35-A1</v>
      </c>
      <c r="FP36" t="str">
        <f t="shared" ref="FP36:FP42" si="79">CONCATENATE($T36,"-M",$U36,"-3")</f>
        <v>F0-M35-3</v>
      </c>
      <c r="FQ36" t="str">
        <f t="shared" ref="FQ36:FQ42" si="80">CONCATENATE($T36,"-M",$U36,"-2")</f>
        <v>F0-M35-2</v>
      </c>
      <c r="FR36" t="str">
        <f t="shared" ref="FR36:FR42" si="81">CONCATENATE($T36,"-M",$U36,"-16")</f>
        <v>F0-M35-16</v>
      </c>
      <c r="FS36" t="str">
        <f t="shared" ref="FS36:FS42" si="82">CONCATENATE($T36,"-M",$U36,"-15")</f>
        <v>F0-M35-15</v>
      </c>
      <c r="FT36" t="str">
        <f t="shared" ref="FT36:FT42" si="83">CONCATENATE($T36,"-A220-M",$U36,)</f>
        <v>F0-A220-M35</v>
      </c>
      <c r="FU36" t="str">
        <f t="shared" si="58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s="83" t="s">
        <v>344</v>
      </c>
      <c r="B37" s="83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s="46">
        <f t="array" ref="AD37">IF(COUNTIFS(AC$2:AC37,AC37)=1,"1",VALUE(SUBSTITUTE(INDEX(AD:AD,_xlfn.XMATCH(AC37,AC$1:AC36,0,-1)),"A",""))+INDEX(AE:AE,_xlfn.XMATCH(AC37,AC$1:AC36,0,-1))+1)</f>
        <v>10</v>
      </c>
      <c r="AE37" s="46">
        <f t="array" ref="AE37">SUM(IF(ISNUMBER(FIND("TmDi",$BE$1:$AAQ$1)),IF(IFERROR(ISNUMBER(VALUE(SUBSTITUTE($BE37:$AAQ37,"B",""))),FALSE),IF(ISNUMBER(VALUE(SUBSTITUTE($BE37:$AAQ37,"B",""))),1,0),0)))</f>
        <v>2</v>
      </c>
      <c r="AF37" t="s">
        <v>377</v>
      </c>
      <c r="AG37" t="s">
        <v>378</v>
      </c>
      <c r="AH37" t="s">
        <v>383</v>
      </c>
      <c r="AI37" s="69">
        <f t="array" ref="AI37">IF(COUNTIFS(AH$2:AH37,AH37)=1,"1",VALUE(SUBSTITUTE(INDEX(AI:AI,_xlfn.XMATCH(AH37,AH$1:AH36,0,-1)),"A",""))+INDEX(AJ:AJ,_xlfn.XMATCH(AH37,AH$1:AH36,0,-1))+1)</f>
        <v>7</v>
      </c>
      <c r="AJ37" s="69">
        <f t="array" ref="AJ37">SUM(IF(ISNUMBER(FIND("TmDo",$BE$1:$AAQ$1)),IF(IFERROR(ISNUMBER(VALUE(SUBSTITUTE($BE37:$AAQ37,"B",""))),FALSE),IF(ISNUMBER(VALUE(SUBSTITUTE($BE37:$AAQ37,"B",""))),1,0),0)))</f>
        <v>1</v>
      </c>
      <c r="AK37" t="str">
        <f t="shared" si="0"/>
        <v>7A</v>
      </c>
      <c r="AL37" t="str">
        <f t="shared" si="1"/>
        <v>7B</v>
      </c>
      <c r="AM37">
        <v>42</v>
      </c>
      <c r="AN37" t="str">
        <f t="shared" si="59"/>
        <v>42XT</v>
      </c>
      <c r="AO37" t="str">
        <f t="shared" si="50"/>
        <v>42X</v>
      </c>
      <c r="AP37" t="s">
        <v>137</v>
      </c>
      <c r="AQ37" t="s">
        <v>138</v>
      </c>
      <c r="AR37" t="str">
        <f t="shared" si="51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52"/>
        <v>XT36</v>
      </c>
      <c r="ES37" t="str">
        <f t="shared" si="53"/>
        <v>C11</v>
      </c>
      <c r="ET37" t="str">
        <f t="shared" si="60"/>
        <v>B11</v>
      </c>
      <c r="EU37" t="str">
        <f t="shared" si="61"/>
        <v>C12</v>
      </c>
      <c r="EV37" t="str">
        <f t="shared" si="62"/>
        <v>B12</v>
      </c>
      <c r="EW37" t="str">
        <f t="shared" si="54"/>
        <v>8A</v>
      </c>
      <c r="EX37" t="str">
        <f t="shared" si="55"/>
        <v>8B</v>
      </c>
      <c r="EY37" t="str">
        <f t="shared" si="63"/>
        <v>DI8-C10</v>
      </c>
      <c r="EZ37" t="str">
        <f t="shared" si="64"/>
        <v>DI8-B10</v>
      </c>
      <c r="FA37" t="str">
        <f t="shared" si="65"/>
        <v>DI8-C11</v>
      </c>
      <c r="FB37" t="str">
        <f t="shared" si="66"/>
        <v>DI8-B11</v>
      </c>
      <c r="FC37" t="str">
        <f t="shared" si="67"/>
        <v>DI8-C12</v>
      </c>
      <c r="FD37" t="str">
        <f t="shared" si="68"/>
        <v>DI8-B12</v>
      </c>
      <c r="FE37" t="str">
        <f t="shared" si="69"/>
        <v>DO5-7A</v>
      </c>
      <c r="FF37" t="str">
        <f t="shared" si="70"/>
        <v>DO5-7B</v>
      </c>
      <c r="FG37" t="str">
        <f t="shared" si="71"/>
        <v>DO5-8A</v>
      </c>
      <c r="FH37" t="str">
        <f t="shared" si="72"/>
        <v>DO5-8B</v>
      </c>
      <c r="FI37" t="str">
        <f t="shared" si="73"/>
        <v>K36-03</v>
      </c>
      <c r="FJ37" t="str">
        <f t="shared" si="74"/>
        <v>K36-04</v>
      </c>
      <c r="FK37" t="str">
        <f t="shared" si="75"/>
        <v>K36-01</v>
      </c>
      <c r="FL37" t="str">
        <f t="shared" si="76"/>
        <v>K36-02</v>
      </c>
      <c r="FM37" t="str">
        <f t="shared" si="57"/>
        <v>K36-05</v>
      </c>
      <c r="FN37" t="str">
        <f t="shared" si="77"/>
        <v>F0-M36-H1</v>
      </c>
      <c r="FO37" t="str">
        <f t="shared" si="78"/>
        <v>F0-M36-A1</v>
      </c>
      <c r="FP37" t="str">
        <f t="shared" si="79"/>
        <v>F0-M36-3</v>
      </c>
      <c r="FQ37" t="str">
        <f t="shared" si="80"/>
        <v>F0-M36-2</v>
      </c>
      <c r="FR37" t="str">
        <f t="shared" si="81"/>
        <v>F0-M36-16</v>
      </c>
      <c r="FS37" t="str">
        <f t="shared" si="82"/>
        <v>F0-M36-15</v>
      </c>
      <c r="FT37" t="str">
        <f t="shared" si="83"/>
        <v>F0-A220-M36</v>
      </c>
      <c r="FU37" t="str">
        <f t="shared" si="58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s="83" t="s">
        <v>350</v>
      </c>
      <c r="B38" s="83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s="46">
        <f t="array" ref="AD38">IF(COUNTIFS(AC$2:AC38,AC38)=1,"1",VALUE(SUBSTITUTE(INDEX(AD:AD,_xlfn.XMATCH(AC38,AC$1:AC37,0,-1)),"A",""))+INDEX(AE:AE,_xlfn.XMATCH(AC38,AC$1:AC37,0,-1))+1)</f>
        <v>13</v>
      </c>
      <c r="AE38" s="46">
        <f t="array" ref="AE38">SUM(IF(ISNUMBER(FIND("TmDi",$BE$1:$AAQ$1)),IF(IFERROR(ISNUMBER(VALUE(SUBSTITUTE($BE38:$AAQ38,"B",""))),FALSE),IF(ISNUMBER(VALUE(SUBSTITUTE($BE38:$AAQ38,"B",""))),1,0),0)))</f>
        <v>2</v>
      </c>
      <c r="AF38" t="s">
        <v>153</v>
      </c>
      <c r="AG38" t="s">
        <v>154</v>
      </c>
      <c r="AH38" t="s">
        <v>383</v>
      </c>
      <c r="AI38" s="69">
        <f t="array" ref="AI38">IF(COUNTIFS(AH$2:AH38,AH38)=1,"1",VALUE(SUBSTITUTE(INDEX(AI:AI,_xlfn.XMATCH(AH38,AH$1:AH37,0,-1)),"A",""))+INDEX(AJ:AJ,_xlfn.XMATCH(AH38,AH$1:AH37,0,-1))+1)</f>
        <v>9</v>
      </c>
      <c r="AJ38" s="69">
        <f t="array" ref="AJ38">SUM(IF(ISNUMBER(FIND("TmDo",$BE$1:$AAQ$1)),IF(IFERROR(ISNUMBER(VALUE(SUBSTITUTE($BE38:$AAQ38,"B",""))),FALSE),IF(ISNUMBER(VALUE(SUBSTITUTE($BE38:$AAQ38,"B",""))),1,0),0)))</f>
        <v>1</v>
      </c>
      <c r="AK38" t="str">
        <f t="shared" si="0"/>
        <v>9A</v>
      </c>
      <c r="AL38" t="str">
        <f t="shared" si="1"/>
        <v>9B</v>
      </c>
      <c r="AM38">
        <v>46</v>
      </c>
      <c r="AN38" t="str">
        <f t="shared" si="59"/>
        <v>46XT</v>
      </c>
      <c r="AO38" t="str">
        <f t="shared" si="50"/>
        <v>46X</v>
      </c>
      <c r="AP38" t="s">
        <v>137</v>
      </c>
      <c r="AQ38" t="s">
        <v>138</v>
      </c>
      <c r="AR38" t="str">
        <f t="shared" si="51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52"/>
        <v>XT37</v>
      </c>
      <c r="ES38" t="str">
        <f t="shared" si="53"/>
        <v>C14</v>
      </c>
      <c r="ET38" t="str">
        <f t="shared" si="60"/>
        <v>B14</v>
      </c>
      <c r="EU38" t="str">
        <f t="shared" si="61"/>
        <v>C15</v>
      </c>
      <c r="EV38" t="str">
        <f t="shared" si="62"/>
        <v>B15</v>
      </c>
      <c r="EW38" t="str">
        <f t="shared" si="54"/>
        <v>10A</v>
      </c>
      <c r="EX38" t="str">
        <f t="shared" si="55"/>
        <v>10B</v>
      </c>
      <c r="EY38" t="str">
        <f t="shared" si="63"/>
        <v>DI8-C13</v>
      </c>
      <c r="EZ38" t="str">
        <f t="shared" si="64"/>
        <v>DI8-B13</v>
      </c>
      <c r="FA38" t="str">
        <f t="shared" si="65"/>
        <v>DI8-C14</v>
      </c>
      <c r="FB38" t="str">
        <f t="shared" si="66"/>
        <v>DI8-B14</v>
      </c>
      <c r="FC38" t="str">
        <f t="shared" si="67"/>
        <v>DI8-C15</v>
      </c>
      <c r="FD38" t="str">
        <f t="shared" si="68"/>
        <v>DI8-B15</v>
      </c>
      <c r="FE38" t="str">
        <f t="shared" si="69"/>
        <v>DO5-9A</v>
      </c>
      <c r="FF38" t="str">
        <f t="shared" si="70"/>
        <v>DO5-9B</v>
      </c>
      <c r="FG38" t="str">
        <f t="shared" si="71"/>
        <v>DO5-10A</v>
      </c>
      <c r="FH38" t="str">
        <f t="shared" si="72"/>
        <v>DO5-10B</v>
      </c>
      <c r="FI38" t="str">
        <f t="shared" si="73"/>
        <v>K37-03</v>
      </c>
      <c r="FJ38" t="str">
        <f t="shared" si="74"/>
        <v>K37-04</v>
      </c>
      <c r="FK38" t="str">
        <f t="shared" si="75"/>
        <v>K37-01</v>
      </c>
      <c r="FL38" t="str">
        <f t="shared" si="76"/>
        <v>K37-02</v>
      </c>
      <c r="FM38" t="str">
        <f t="shared" si="57"/>
        <v>K37-05</v>
      </c>
      <c r="FN38" t="str">
        <f t="shared" si="77"/>
        <v>F0-M37-H1</v>
      </c>
      <c r="FO38" t="str">
        <f t="shared" si="78"/>
        <v>F0-M37-A1</v>
      </c>
      <c r="FP38" t="str">
        <f t="shared" si="79"/>
        <v>F0-M37-3</v>
      </c>
      <c r="FQ38" t="str">
        <f t="shared" si="80"/>
        <v>F0-M37-2</v>
      </c>
      <c r="FR38" t="str">
        <f t="shared" si="81"/>
        <v>F0-M37-16</v>
      </c>
      <c r="FS38" t="str">
        <f t="shared" si="82"/>
        <v>F0-M37-15</v>
      </c>
      <c r="FT38" t="str">
        <f t="shared" si="83"/>
        <v>F0-A220-M37</v>
      </c>
      <c r="FU38" t="str">
        <f t="shared" si="58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s="83" t="s">
        <v>356</v>
      </c>
      <c r="B39" s="83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s="46">
        <f t="array" ref="AD39">IF(COUNTIFS(AC$2:AC39,AC39)=1,"1",VALUE(SUBSTITUTE(INDEX(AD:AD,_xlfn.XMATCH(AC39,AC$1:AC38,0,-1)),"A",""))+INDEX(AE:AE,_xlfn.XMATCH(AC39,AC$1:AC38,0,-1))+1)</f>
        <v>16</v>
      </c>
      <c r="AE39" s="46">
        <f t="array" ref="AE39">SUM(IF(ISNUMBER(FIND("TmDi",$BE$1:$AAQ$1)),IF(IFERROR(ISNUMBER(VALUE(SUBSTITUTE($BE39:$AAQ39,"B",""))),FALSE),IF(ISNUMBER(VALUE(SUBSTITUTE($BE39:$AAQ39,"B",""))),1,0),0)))</f>
        <v>2</v>
      </c>
      <c r="AF39" t="s">
        <v>379</v>
      </c>
      <c r="AG39" t="s">
        <v>380</v>
      </c>
      <c r="AH39" t="s">
        <v>383</v>
      </c>
      <c r="AI39" s="69">
        <f t="array" ref="AI39">IF(COUNTIFS(AH$2:AH39,AH39)=1,"1",VALUE(SUBSTITUTE(INDEX(AI:AI,_xlfn.XMATCH(AH39,AH$1:AH38,0,-1)),"A",""))+INDEX(AJ:AJ,_xlfn.XMATCH(AH39,AH$1:AH38,0,-1))+1)</f>
        <v>11</v>
      </c>
      <c r="AJ39" s="69">
        <f t="array" ref="AJ39">SUM(IF(ISNUMBER(FIND("TmDo",$BE$1:$AAQ$1)),IF(IFERROR(ISNUMBER(VALUE(SUBSTITUTE($BE39:$AAQ39,"B",""))),FALSE),IF(ISNUMBER(VALUE(SUBSTITUTE($BE39:$AAQ39,"B",""))),1,0),0)))</f>
        <v>1</v>
      </c>
      <c r="AK39" t="str">
        <f t="shared" si="0"/>
        <v>11A</v>
      </c>
      <c r="AL39" t="str">
        <f t="shared" si="1"/>
        <v>11B</v>
      </c>
      <c r="AM39">
        <v>55</v>
      </c>
      <c r="AN39" t="str">
        <f t="shared" si="59"/>
        <v>55XT</v>
      </c>
      <c r="AO39" t="str">
        <f t="shared" si="50"/>
        <v>55X</v>
      </c>
      <c r="AP39" t="s">
        <v>137</v>
      </c>
      <c r="AQ39" t="s">
        <v>138</v>
      </c>
      <c r="AR39" t="str">
        <f t="shared" si="51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52"/>
        <v>XT38</v>
      </c>
      <c r="ES39" t="str">
        <f t="shared" si="53"/>
        <v>C17</v>
      </c>
      <c r="ET39" t="str">
        <f t="shared" si="60"/>
        <v>B17</v>
      </c>
      <c r="EU39" t="str">
        <f t="shared" si="61"/>
        <v>C18</v>
      </c>
      <c r="EV39" t="str">
        <f t="shared" si="62"/>
        <v>B18</v>
      </c>
      <c r="EW39" t="str">
        <f t="shared" si="54"/>
        <v>12A</v>
      </c>
      <c r="EX39" t="str">
        <f t="shared" si="55"/>
        <v>12B</v>
      </c>
      <c r="EY39" t="str">
        <f t="shared" si="63"/>
        <v>DI8-C16</v>
      </c>
      <c r="EZ39" t="str">
        <f t="shared" si="64"/>
        <v>DI8-B16</v>
      </c>
      <c r="FA39" t="str">
        <f t="shared" si="65"/>
        <v>DI8-C17</v>
      </c>
      <c r="FB39" t="str">
        <f t="shared" si="66"/>
        <v>DI8-B17</v>
      </c>
      <c r="FC39" t="str">
        <f t="shared" si="67"/>
        <v>DI8-C18</v>
      </c>
      <c r="FD39" t="str">
        <f t="shared" si="68"/>
        <v>DI8-B18</v>
      </c>
      <c r="FE39" t="str">
        <f t="shared" si="69"/>
        <v>DO5-11A</v>
      </c>
      <c r="FF39" t="str">
        <f t="shared" si="70"/>
        <v>DO5-11B</v>
      </c>
      <c r="FG39" t="str">
        <f t="shared" si="71"/>
        <v>DO5-12A</v>
      </c>
      <c r="FH39" t="str">
        <f t="shared" si="72"/>
        <v>DO5-12B</v>
      </c>
      <c r="FI39" t="str">
        <f t="shared" si="73"/>
        <v>K38-03</v>
      </c>
      <c r="FJ39" t="str">
        <f t="shared" si="74"/>
        <v>K38-04</v>
      </c>
      <c r="FK39" t="str">
        <f t="shared" si="75"/>
        <v>K38-01</v>
      </c>
      <c r="FL39" t="str">
        <f t="shared" si="76"/>
        <v>K38-02</v>
      </c>
      <c r="FM39" t="str">
        <f t="shared" si="57"/>
        <v>K38-05</v>
      </c>
      <c r="FN39" t="str">
        <f t="shared" si="77"/>
        <v>F0-M38-H1</v>
      </c>
      <c r="FO39" t="str">
        <f t="shared" si="78"/>
        <v>F0-M38-A1</v>
      </c>
      <c r="FP39" t="str">
        <f t="shared" si="79"/>
        <v>F0-M38-3</v>
      </c>
      <c r="FQ39" t="str">
        <f t="shared" si="80"/>
        <v>F0-M38-2</v>
      </c>
      <c r="FR39" t="str">
        <f t="shared" si="81"/>
        <v>F0-M38-16</v>
      </c>
      <c r="FS39" t="str">
        <f t="shared" si="82"/>
        <v>F0-M38-15</v>
      </c>
      <c r="FT39" t="str">
        <f t="shared" si="83"/>
        <v>F0-A220-M38</v>
      </c>
      <c r="FU39" t="str">
        <f t="shared" si="58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s="83" t="s">
        <v>358</v>
      </c>
      <c r="B40" s="84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s="46">
        <f t="array" ref="AD40">IF(COUNTIFS(AC$2:AC40,AC40)=1,"1",VALUE(SUBSTITUTE(INDEX(AD:AD,_xlfn.XMATCH(AC40,AC$1:AC39,0,-1)),"A",""))+INDEX(AE:AE,_xlfn.XMATCH(AC40,AC$1:AC39,0,-1))+1)</f>
        <v>19</v>
      </c>
      <c r="AE40" s="46">
        <f t="array" ref="AE40">SUM(IF(ISNUMBER(FIND("TmDi",$BE$1:$AAQ$1)),IF(IFERROR(ISNUMBER(VALUE(SUBSTITUTE($BE40:$AAQ40,"B",""))),FALSE),IF(ISNUMBER(VALUE(SUBSTITUTE($BE40:$AAQ40,"B",""))),1,0),0)))</f>
        <v>2</v>
      </c>
      <c r="AF40" t="s">
        <v>239</v>
      </c>
      <c r="AG40" t="s">
        <v>241</v>
      </c>
      <c r="AH40" t="s">
        <v>383</v>
      </c>
      <c r="AI40" s="69">
        <f t="array" ref="AI40">IF(COUNTIFS(AH$2:AH40,AH40)=1,"1",VALUE(SUBSTITUTE(INDEX(AI:AI,_xlfn.XMATCH(AH40,AH$1:AH39,0,-1)),"A",""))+INDEX(AJ:AJ,_xlfn.XMATCH(AH40,AH$1:AH39,0,-1))+1)</f>
        <v>13</v>
      </c>
      <c r="AJ40" s="69">
        <f t="array" ref="AJ40">SUM(IF(ISNUMBER(FIND("TmDo",$BE$1:$AAQ$1)),IF(IFERROR(ISNUMBER(VALUE(SUBSTITUTE($BE40:$AAQ40,"B",""))),FALSE),IF(ISNUMBER(VALUE(SUBSTITUTE($BE40:$AAQ40,"B",""))),1,0),0)))</f>
        <v>1</v>
      </c>
      <c r="AK40" t="str">
        <f t="shared" si="0"/>
        <v>13A</v>
      </c>
      <c r="AL40" t="str">
        <f t="shared" si="1"/>
        <v>13B</v>
      </c>
      <c r="AM40">
        <v>56</v>
      </c>
      <c r="AN40" t="str">
        <f t="shared" si="59"/>
        <v>56XT</v>
      </c>
      <c r="AO40" t="str">
        <f t="shared" si="50"/>
        <v>56X</v>
      </c>
      <c r="AP40" t="s">
        <v>137</v>
      </c>
      <c r="AQ40" t="s">
        <v>138</v>
      </c>
      <c r="AR40" t="str">
        <f t="shared" si="51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52"/>
        <v>XT39</v>
      </c>
      <c r="ES40" t="str">
        <f t="shared" si="53"/>
        <v>C20</v>
      </c>
      <c r="ET40" t="str">
        <f t="shared" si="60"/>
        <v>B20</v>
      </c>
      <c r="EU40" t="str">
        <f t="shared" si="61"/>
        <v>C21</v>
      </c>
      <c r="EV40" t="str">
        <f t="shared" si="62"/>
        <v>B21</v>
      </c>
      <c r="EW40" t="str">
        <f t="shared" si="54"/>
        <v>14A</v>
      </c>
      <c r="EX40" t="str">
        <f t="shared" si="55"/>
        <v>14B</v>
      </c>
      <c r="EY40" t="str">
        <f t="shared" si="63"/>
        <v>DI8-C19</v>
      </c>
      <c r="EZ40" t="str">
        <f t="shared" si="64"/>
        <v>DI8-B19</v>
      </c>
      <c r="FA40" t="str">
        <f t="shared" si="65"/>
        <v>DI8-C20</v>
      </c>
      <c r="FB40" t="str">
        <f t="shared" si="66"/>
        <v>DI8-B20</v>
      </c>
      <c r="FC40" t="str">
        <f t="shared" si="67"/>
        <v>DI8-C21</v>
      </c>
      <c r="FD40" t="str">
        <f t="shared" si="68"/>
        <v>DI8-B21</v>
      </c>
      <c r="FE40" t="str">
        <f t="shared" si="69"/>
        <v>DO5-13A</v>
      </c>
      <c r="FF40" t="str">
        <f t="shared" si="70"/>
        <v>DO5-13B</v>
      </c>
      <c r="FG40" t="str">
        <f t="shared" si="71"/>
        <v>DO5-14A</v>
      </c>
      <c r="FH40" t="str">
        <f t="shared" si="72"/>
        <v>DO5-14B</v>
      </c>
      <c r="FI40" t="str">
        <f t="shared" si="73"/>
        <v>K39-03</v>
      </c>
      <c r="FJ40" t="str">
        <f t="shared" si="74"/>
        <v>K39-04</v>
      </c>
      <c r="FK40" t="str">
        <f t="shared" si="75"/>
        <v>K39-01</v>
      </c>
      <c r="FL40" t="str">
        <f t="shared" si="76"/>
        <v>K39-02</v>
      </c>
      <c r="FM40" t="str">
        <f t="shared" si="57"/>
        <v>K39-05</v>
      </c>
      <c r="FN40" t="str">
        <f t="shared" si="77"/>
        <v>F0-M39-H1</v>
      </c>
      <c r="FO40" t="str">
        <f t="shared" si="78"/>
        <v>F0-M39-A1</v>
      </c>
      <c r="FP40" t="str">
        <f t="shared" si="79"/>
        <v>F0-M39-3</v>
      </c>
      <c r="FQ40" t="str">
        <f t="shared" si="80"/>
        <v>F0-M39-2</v>
      </c>
      <c r="FR40" t="str">
        <f t="shared" si="81"/>
        <v>F0-M39-16</v>
      </c>
      <c r="FS40" t="str">
        <f t="shared" si="82"/>
        <v>F0-M39-15</v>
      </c>
      <c r="FT40" t="str">
        <f t="shared" si="83"/>
        <v>F0-A220-M39</v>
      </c>
      <c r="FU40" t="str">
        <f t="shared" si="58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s="83" t="s">
        <v>364</v>
      </c>
      <c r="B41" s="84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s="46">
        <f t="array" ref="AD41">IF(COUNTIFS(AC$2:AC41,AC41)=1,"1",VALUE(SUBSTITUTE(INDEX(AD:AD,_xlfn.XMATCH(AC41,AC$1:AC40,0,-1)),"A",""))+INDEX(AE:AE,_xlfn.XMATCH(AC41,AC$1:AC40,0,-1))+1)</f>
        <v>22</v>
      </c>
      <c r="AE41" s="46">
        <f t="array" ref="AE41">SUM(IF(ISNUMBER(FIND("TmDi",$BE$1:$AAQ$1)),IF(IFERROR(ISNUMBER(VALUE(SUBSTITUTE($BE41:$AAQ41,"B",""))),FALSE),IF(ISNUMBER(VALUE(SUBSTITUTE($BE41:$AAQ41,"B",""))),1,0),0)))</f>
        <v>2</v>
      </c>
      <c r="AF41" t="s">
        <v>381</v>
      </c>
      <c r="AG41" t="s">
        <v>382</v>
      </c>
      <c r="AH41" t="s">
        <v>383</v>
      </c>
      <c r="AI41" s="69">
        <f t="array" ref="AI41">IF(COUNTIFS(AH$2:AH41,AH41)=1,"1",VALUE(SUBSTITUTE(INDEX(AI:AI,_xlfn.XMATCH(AH41,AH$1:AH40,0,-1)),"A",""))+INDEX(AJ:AJ,_xlfn.XMATCH(AH41,AH$1:AH40,0,-1))+1)</f>
        <v>15</v>
      </c>
      <c r="AJ41" s="69">
        <f t="array" ref="AJ41">SUM(IF(ISNUMBER(FIND("TmDo",$BE$1:$AAQ$1)),IF(IFERROR(ISNUMBER(VALUE(SUBSTITUTE($BE41:$AAQ41,"B",""))),FALSE),IF(ISNUMBER(VALUE(SUBSTITUTE($BE41:$AAQ41,"B",""))),1,0),0)))</f>
        <v>1</v>
      </c>
      <c r="AK41" t="str">
        <f t="shared" si="0"/>
        <v>15A</v>
      </c>
      <c r="AL41" t="str">
        <f t="shared" si="1"/>
        <v>15B</v>
      </c>
      <c r="AM41">
        <v>57</v>
      </c>
      <c r="AN41" t="str">
        <f t="shared" si="59"/>
        <v>57XT</v>
      </c>
      <c r="AO41" t="str">
        <f t="shared" si="50"/>
        <v>57X</v>
      </c>
      <c r="AP41" t="s">
        <v>137</v>
      </c>
      <c r="AQ41" t="s">
        <v>138</v>
      </c>
      <c r="AR41" t="str">
        <f t="shared" si="51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52"/>
        <v>XT40</v>
      </c>
      <c r="ES41" t="str">
        <f t="shared" si="53"/>
        <v>C23</v>
      </c>
      <c r="ET41" t="str">
        <f t="shared" si="60"/>
        <v>B23</v>
      </c>
      <c r="EU41" t="str">
        <f t="shared" si="61"/>
        <v>C24</v>
      </c>
      <c r="EV41" t="str">
        <f t="shared" si="62"/>
        <v>B24</v>
      </c>
      <c r="EW41" t="str">
        <f t="shared" si="54"/>
        <v>16A</v>
      </c>
      <c r="EX41" t="str">
        <f t="shared" si="55"/>
        <v>16B</v>
      </c>
      <c r="EY41" t="str">
        <f t="shared" si="63"/>
        <v>DI8-C22</v>
      </c>
      <c r="EZ41" t="str">
        <f t="shared" si="64"/>
        <v>DI8-B22</v>
      </c>
      <c r="FA41" t="str">
        <f t="shared" si="65"/>
        <v>DI8-C23</v>
      </c>
      <c r="FB41" t="str">
        <f t="shared" si="66"/>
        <v>DI8-B23</v>
      </c>
      <c r="FC41" t="str">
        <f t="shared" si="67"/>
        <v>DI8-C24</v>
      </c>
      <c r="FD41" t="str">
        <f t="shared" si="68"/>
        <v>DI8-B24</v>
      </c>
      <c r="FE41" t="str">
        <f t="shared" si="69"/>
        <v>DO5-15A</v>
      </c>
      <c r="FF41" t="str">
        <f t="shared" si="70"/>
        <v>DO5-15B</v>
      </c>
      <c r="FG41" t="str">
        <f t="shared" si="71"/>
        <v>DO5-16A</v>
      </c>
      <c r="FH41" t="str">
        <f t="shared" si="72"/>
        <v>DO5-16B</v>
      </c>
      <c r="FI41" t="str">
        <f t="shared" si="73"/>
        <v>K40-03</v>
      </c>
      <c r="FJ41" t="str">
        <f t="shared" si="74"/>
        <v>K40-04</v>
      </c>
      <c r="FK41" t="str">
        <f t="shared" si="75"/>
        <v>K40-01</v>
      </c>
      <c r="FL41" t="str">
        <f t="shared" si="76"/>
        <v>K40-02</v>
      </c>
      <c r="FM41" t="str">
        <f t="shared" si="57"/>
        <v>K40-05</v>
      </c>
      <c r="FN41" t="str">
        <f t="shared" si="77"/>
        <v>F0-M40-H1</v>
      </c>
      <c r="FO41" t="str">
        <f t="shared" si="78"/>
        <v>F0-M40-A1</v>
      </c>
      <c r="FP41" t="str">
        <f t="shared" si="79"/>
        <v>F0-M40-3</v>
      </c>
      <c r="FQ41" t="str">
        <f t="shared" si="80"/>
        <v>F0-M40-2</v>
      </c>
      <c r="FR41" t="str">
        <f t="shared" si="81"/>
        <v>F0-M40-16</v>
      </c>
      <c r="FS41" t="str">
        <f t="shared" si="82"/>
        <v>F0-M40-15</v>
      </c>
      <c r="FT41" t="str">
        <f t="shared" si="83"/>
        <v>F0-A220-M40</v>
      </c>
      <c r="FU41" t="str">
        <f t="shared" si="58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s="83" t="s">
        <v>366</v>
      </c>
      <c r="B42" s="84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64">
        <f t="array" ref="AD42">IF(COUNTIFS(AC$2:AC42,AC42)=1,"1",VALUE(SUBSTITUTE(INDEX(AD:AD,_xlfn.XMATCH(AC42,AC$1:AC41,0,-1)),"A",""))+INDEX(AE:AE,_xlfn.XMATCH(AC42,AC$1:AC41,0,-1))+1)</f>
        <v>25</v>
      </c>
      <c r="AE42" s="64">
        <f t="array" ref="AE42">SUM(IF(ISNUMBER(FIND("TmDi",$BE$1:$AAQ$1)),IF(IFERROR(ISNUMBER(VALUE(SUBSTITUTE($BE42:$AAQ42,"B",""))),FALSE),IF(ISNUMBER(VALUE(SUBSTITUTE($BE42:$AAQ42,"B",""))),1,0),0)))</f>
        <v>2</v>
      </c>
      <c r="AF42" s="19" t="s">
        <v>240</v>
      </c>
      <c r="AG42" s="19" t="s">
        <v>242</v>
      </c>
      <c r="AH42" s="19" t="s">
        <v>383</v>
      </c>
      <c r="AI42" s="70">
        <f t="array" ref="AI42">IF(COUNTIFS(AH$2:AH42,AH42)=1,"1",VALUE(SUBSTITUTE(INDEX(AI:AI,_xlfn.XMATCH(AH42,AH$1:AH41,0,-1)),"A",""))+INDEX(AJ:AJ,_xlfn.XMATCH(AH42,AH$1:AH41,0,-1))+1)</f>
        <v>17</v>
      </c>
      <c r="AJ42" s="70">
        <f t="array" ref="AJ42">SUM(IF(ISNUMBER(FIND("TmDo",$BE$1:$AAQ$1)),IF(IFERROR(ISNUMBER(VALUE(SUBSTITUTE($BE42:$AAQ42,"B",""))),FALSE),IF(ISNUMBER(VALUE(SUBSTITUTE($BE42:$AAQ42,"B",""))),1,0),0)))</f>
        <v>1</v>
      </c>
      <c r="AK42" s="19" t="str">
        <f t="shared" si="0"/>
        <v>17A</v>
      </c>
      <c r="AL42" s="19" t="str">
        <f t="shared" si="1"/>
        <v>17B</v>
      </c>
      <c r="AM42" s="19">
        <v>58</v>
      </c>
      <c r="AN42" s="19" t="str">
        <f t="shared" si="59"/>
        <v>58XT</v>
      </c>
      <c r="AO42" s="19" t="str">
        <f t="shared" si="50"/>
        <v>58X</v>
      </c>
      <c r="AP42" s="19" t="s">
        <v>137</v>
      </c>
      <c r="AQ42" s="19" t="s">
        <v>138</v>
      </c>
      <c r="AR42" s="19" t="str">
        <f t="shared" si="51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52"/>
        <v>XT41</v>
      </c>
      <c r="ES42" s="19" t="str">
        <f t="shared" si="53"/>
        <v>C26</v>
      </c>
      <c r="ET42" s="19" t="str">
        <f t="shared" si="60"/>
        <v>B26</v>
      </c>
      <c r="EU42" s="19" t="str">
        <f t="shared" si="61"/>
        <v>C27</v>
      </c>
      <c r="EV42" s="19" t="str">
        <f t="shared" si="62"/>
        <v>B27</v>
      </c>
      <c r="EW42" s="19" t="str">
        <f t="shared" si="54"/>
        <v>18A</v>
      </c>
      <c r="EX42" s="19" t="str">
        <f t="shared" si="55"/>
        <v>18B</v>
      </c>
      <c r="EY42" s="19" t="str">
        <f t="shared" si="63"/>
        <v>DI8-C25</v>
      </c>
      <c r="EZ42" s="19" t="str">
        <f t="shared" si="64"/>
        <v>DI8-B25</v>
      </c>
      <c r="FA42" s="19" t="str">
        <f t="shared" si="65"/>
        <v>DI8-C26</v>
      </c>
      <c r="FB42" s="19" t="str">
        <f t="shared" si="66"/>
        <v>DI8-B26</v>
      </c>
      <c r="FC42" s="19" t="str">
        <f t="shared" si="67"/>
        <v>DI8-C27</v>
      </c>
      <c r="FD42" s="19" t="str">
        <f t="shared" si="68"/>
        <v>DI8-B27</v>
      </c>
      <c r="FE42" s="19" t="str">
        <f t="shared" si="69"/>
        <v>DO5-17A</v>
      </c>
      <c r="FF42" s="19" t="str">
        <f t="shared" si="70"/>
        <v>DO5-17B</v>
      </c>
      <c r="FG42" s="19" t="str">
        <f t="shared" si="71"/>
        <v>DO5-18A</v>
      </c>
      <c r="FH42" s="19" t="str">
        <f t="shared" si="72"/>
        <v>DO5-18B</v>
      </c>
      <c r="FI42" s="19" t="str">
        <f t="shared" si="73"/>
        <v>K41-03</v>
      </c>
      <c r="FJ42" s="19" t="str">
        <f t="shared" si="74"/>
        <v>K41-04</v>
      </c>
      <c r="FK42" s="19" t="str">
        <f t="shared" si="75"/>
        <v>K41-01</v>
      </c>
      <c r="FL42" s="19" t="str">
        <f t="shared" si="76"/>
        <v>K41-02</v>
      </c>
      <c r="FM42" s="19" t="str">
        <f t="shared" si="57"/>
        <v>K41-05</v>
      </c>
      <c r="FN42" s="19" t="str">
        <f t="shared" si="77"/>
        <v>F0-M41-H1</v>
      </c>
      <c r="FO42" s="19" t="str">
        <f t="shared" si="78"/>
        <v>F0-M41-A1</v>
      </c>
      <c r="FP42" s="19" t="str">
        <f t="shared" si="79"/>
        <v>F0-M41-3</v>
      </c>
      <c r="FQ42" s="19" t="str">
        <f t="shared" si="80"/>
        <v>F0-M41-2</v>
      </c>
      <c r="FR42" s="19" t="str">
        <f t="shared" si="81"/>
        <v>F0-M41-16</v>
      </c>
      <c r="FS42" s="19" t="str">
        <f t="shared" si="82"/>
        <v>F0-M41-15</v>
      </c>
      <c r="FT42" s="19" t="str">
        <f t="shared" si="83"/>
        <v>F0-A220-M41</v>
      </c>
      <c r="FU42" s="19" t="str">
        <f t="shared" si="58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s="83" t="s">
        <v>390</v>
      </c>
      <c r="B43" s="8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SUM(IF(ISNUMBER(FIND("TmAi",$BE$1:$AAQ$1)),IF(IFERROR(ISODD(SUBSTITUTE($BE43:$AAQ43,"A","")),FALSE),IF(ISODD(SUBSTITUTE($BE43:$AAQ43,"A","")),1,0),0)))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78" t="str">
        <f t="array" ref="AD43">IF(COUNTIFS(AC$2:AC43,AC43)=1,"1",VALUE(SUBSTITUTE(INDEX(AD:AD,_xlfn.XMATCH(AC43,AC$1:AC42,0,-1)),"A",""))+INDEX(AE:AE,_xlfn.XMATCH(AC43,AC$1:AC42,0,-1))+1)</f>
        <v>1</v>
      </c>
      <c r="AE43" s="78">
        <f t="array" ref="AE43">SUM(IF(ISNUMBER(FIND("TmDi",$BE$1:$AAQ$1)),IF(IFERROR(ISNUMBER(VALUE(SUBSTITUTE($BE43:$AAQ43,"B",""))),FALSE),IF(ISNUMBER(VALUE(SUBSTITUTE($BE43:$AAQ43,"B",""))),1,0),0)))</f>
        <v>5</v>
      </c>
      <c r="AF43" s="11" t="s">
        <v>133</v>
      </c>
      <c r="AG43" s="11" t="s">
        <v>134</v>
      </c>
      <c r="AH43" s="11" t="s">
        <v>388</v>
      </c>
      <c r="AI43" s="72" t="str">
        <f t="array" ref="AI43">IF(COUNTIFS(AH$2:AH43,AH43)=1,"1",VALUE(SUBSTITUTE(INDEX(AI:AI,_xlfn.XMATCH(AH43,AH$1:AH42,0,-1)),"A",""))+INDEX(AJ:AJ,_xlfn.XMATCH(AH43,AH$1:AH42,0,-1))+1)</f>
        <v>1</v>
      </c>
      <c r="AJ43" s="72">
        <f t="array" ref="AJ43">SUM(IF(ISNUMBER(FIND("TmDo",$BE$1:$AAQ$1)),IF(IFERROR(ISNUMBER(VALUE(SUBSTITUTE($BE43:$AAQ43,"B",""))),FALSE),IF(ISNUMBER(VALUE(SUBSTITUTE($BE43:$AAQ43,"B",""))),1,0),0)))</f>
        <v>1</v>
      </c>
      <c r="AK43" s="11" t="str">
        <f t="shared" si="0"/>
        <v>1A</v>
      </c>
      <c r="AL43" s="11" t="str">
        <f t="shared" si="1"/>
        <v>1B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84">CONCATENATE("XT",U43)</f>
        <v>XT42</v>
      </c>
      <c r="GU43" s="12" t="str">
        <f t="shared" ref="GU43:GU55" si="85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 t="shared" ref="HE43:HE55" si="86">CONCATENATE(REPLACE(AK43,LEN(AK43),1,"")+1,"A")</f>
        <v>2A</v>
      </c>
      <c r="HF43" s="12" t="str">
        <f t="shared" ref="HF43:HF55" si="87">CONCATENATE(REPLACE(AL43,LEN(AL43),1,"")+1,"B")</f>
        <v>2B</v>
      </c>
      <c r="HG43" s="12" t="str">
        <f t="shared" ref="HG43:HG55" si="88">CONCATENATE("AI",REPLACE($X43,1,3,""),"-",AA43)</f>
        <v>AI1-1A</v>
      </c>
      <c r="HH43" s="12" t="str">
        <f t="shared" ref="HH43:HH55" si="89">CONCATENATE("AI",REPLACE($X43,1,3,""),"-",AB43)</f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44" si="90">CONCATENATE("DI",REPLACE($AC43,1,3,""),"-",GU43)</f>
        <v>DI9-C2</v>
      </c>
      <c r="HL43" s="12" t="str">
        <f t="shared" si="90"/>
        <v>DI9-B2</v>
      </c>
      <c r="HM43" s="12" t="str">
        <f t="shared" si="90"/>
        <v>DI9-C3</v>
      </c>
      <c r="HN43" s="12" t="str">
        <f t="shared" si="90"/>
        <v>DI9-B3</v>
      </c>
      <c r="HO43" s="12" t="str">
        <f t="shared" si="90"/>
        <v>DI9-C4</v>
      </c>
      <c r="HP43" s="12" t="str">
        <f t="shared" si="90"/>
        <v>DI9-B4</v>
      </c>
      <c r="HQ43" s="12" t="str">
        <f t="shared" si="90"/>
        <v>DI9-C5</v>
      </c>
      <c r="HR43" s="12" t="str">
        <f t="shared" si="90"/>
        <v>DI9-B5</v>
      </c>
      <c r="HS43" s="12" t="str">
        <f t="shared" si="90"/>
        <v>DI9-C6</v>
      </c>
      <c r="HT43" s="12" t="str">
        <f t="shared" si="90"/>
        <v>DI9-B6</v>
      </c>
      <c r="HU43" s="12" t="str">
        <f>CONCATENATE("DO",REPLACE($AH43,1,3,""),"-",AK43)</f>
        <v>DO6-1A</v>
      </c>
      <c r="HV43" s="12" t="str">
        <f>CONCATENATE("DO",REPLACE($AH43,1,3,""),"-",AL43)</f>
        <v>DO6-1B</v>
      </c>
      <c r="HW43" s="12" t="str">
        <f>CONCATENATE("DO",REPLACE($AH43,1,3,""),"-",HE43)</f>
        <v>DO6-2A</v>
      </c>
      <c r="HX43" s="12" t="str">
        <f>CONCATENATE("DO",REPLACE($AH43,1,3,""),"-",HF43)</f>
        <v>DO6-2B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s="83" t="s">
        <v>415</v>
      </c>
      <c r="B44" s="83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SUM(IF(ISNUMBER(FIND("TmAi",$BE$1:$AAQ$1)),IF(IFERROR(ISODD(SUBSTITUTE($BE44:$AAQ44,"A","")),FALSE),IF(ISODD(SUBSTITUTE($BE44:$AAQ44,"A","")),1,0),0)))</f>
        <v>0</v>
      </c>
      <c r="AA44" t="str">
        <f t="shared" ref="AA44:AA55" si="91">CONCATENATE($Y44*2-1,"A")</f>
        <v>3A</v>
      </c>
      <c r="AB44" t="str">
        <f t="shared" ref="AB44:AB55" si="92">CONCATENATE($Y44*2-1,"B")</f>
        <v>3B</v>
      </c>
      <c r="AC44" t="s">
        <v>278</v>
      </c>
      <c r="AD44" s="46">
        <f t="array" ref="AD44">IF(COUNTIFS(AC$2:AC44,AC44)=1,"1",VALUE(SUBSTITUTE(INDEX(AD:AD,_xlfn.XMATCH(AC44,AC$1:AC43,0,-1)),"A",""))+INDEX(AE:AE,_xlfn.XMATCH(AC44,AC$1:AC43,0,-1))+1)</f>
        <v>7</v>
      </c>
      <c r="AE44" s="46">
        <f t="array" ref="AE44">SUM(IF(ISNUMBER(FIND("TmDi",$BE$1:$AAQ$1)),IF(IFERROR(ISNUMBER(VALUE(SUBSTITUTE($BE44:$AAQ44,"B",""))),FALSE),IF(ISNUMBER(VALUE(SUBSTITUTE($BE44:$AAQ44,"B",""))),1,0),0)))</f>
        <v>5</v>
      </c>
      <c r="AF44" t="s">
        <v>148</v>
      </c>
      <c r="AG44" t="s">
        <v>149</v>
      </c>
      <c r="AH44" t="s">
        <v>388</v>
      </c>
      <c r="AI44" s="69">
        <f t="array" ref="AI44">IF(COUNTIFS(AH$2:AH44,AH44)=1,"1",VALUE(SUBSTITUTE(INDEX(AI:AI,_xlfn.XMATCH(AH44,AH$1:AH43,0,-1)),"A",""))+INDEX(AJ:AJ,_xlfn.XMATCH(AH44,AH$1:AH43,0,-1))+1)</f>
        <v>3</v>
      </c>
      <c r="AJ44" s="69">
        <f t="array" ref="AJ44">SUM(IF(ISNUMBER(FIND("TmDo",$BE$1:$AAQ$1)),IF(IFERROR(ISNUMBER(VALUE(SUBSTITUTE($BE44:$AAQ44,"B",""))),FALSE),IF(ISNUMBER(VALUE(SUBSTITUTE($BE44:$AAQ44,"B",""))),1,0),0)))</f>
        <v>1</v>
      </c>
      <c r="AK44" t="str">
        <f t="shared" si="0"/>
        <v>3A</v>
      </c>
      <c r="AL44" t="str">
        <f t="shared" si="1"/>
        <v>3B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84"/>
        <v>XT43</v>
      </c>
      <c r="GU44" t="str">
        <f t="shared" si="85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 t="shared" si="86"/>
        <v>4A</v>
      </c>
      <c r="HF44" t="str">
        <f t="shared" si="87"/>
        <v>4B</v>
      </c>
      <c r="HG44" t="str">
        <f t="shared" si="88"/>
        <v>AI1-3A</v>
      </c>
      <c r="HH44" t="str">
        <f t="shared" si="89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90"/>
        <v>DI9-C8</v>
      </c>
      <c r="HL44" t="str">
        <f t="shared" si="90"/>
        <v>DI9-B8</v>
      </c>
      <c r="HM44" t="str">
        <f t="shared" si="90"/>
        <v>DI9-C9</v>
      </c>
      <c r="HN44" t="str">
        <f t="shared" si="90"/>
        <v>DI9-B9</v>
      </c>
      <c r="HO44" t="str">
        <f t="shared" si="90"/>
        <v>DI9-C10</v>
      </c>
      <c r="HP44" t="str">
        <f t="shared" si="90"/>
        <v>DI9-B10</v>
      </c>
      <c r="HQ44" t="str">
        <f t="shared" si="90"/>
        <v>DI9-C11</v>
      </c>
      <c r="HR44" t="str">
        <f t="shared" si="90"/>
        <v>DI9-B11</v>
      </c>
      <c r="HS44" t="str">
        <f t="shared" si="90"/>
        <v>DI9-C12</v>
      </c>
      <c r="HT44" t="str">
        <f t="shared" si="90"/>
        <v>DI9-B12</v>
      </c>
      <c r="HU44" t="str">
        <f>CONCATENATE("DO",REPLACE($AH44,1,3,""),"-",AK44)</f>
        <v>DO6-3A</v>
      </c>
      <c r="HV44" t="str">
        <f>CONCATENATE("DO",REPLACE($AH44,1,3,""),"-",AL44)</f>
        <v>DO6-3B</v>
      </c>
      <c r="HW44" t="str">
        <f>CONCATENATE("DO",REPLACE($AH44,1,3,""),"-",HE44)</f>
        <v>DO6-4A</v>
      </c>
      <c r="HX44" t="str">
        <f>CONCATENATE("DO",REPLACE($AH44,1,3,""),"-",HF44)</f>
        <v>DO6-4B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IY44" si="93">IR43</f>
        <v>A1</v>
      </c>
      <c r="IS44" t="str">
        <f t="shared" si="93"/>
        <v>A2</v>
      </c>
      <c r="IT44">
        <f t="shared" si="93"/>
        <v>11</v>
      </c>
      <c r="IU44">
        <f t="shared" si="93"/>
        <v>14</v>
      </c>
      <c r="IV44" t="str">
        <f t="shared" si="93"/>
        <v>24v6</v>
      </c>
      <c r="IW44" t="str">
        <f t="shared" si="93"/>
        <v>0v6</v>
      </c>
      <c r="IX44">
        <f t="shared" si="93"/>
        <v>1</v>
      </c>
      <c r="IY44">
        <f t="shared" si="93"/>
        <v>2</v>
      </c>
      <c r="IZ44">
        <f t="shared" ref="IZ44:JY44" si="94">IZ43</f>
        <v>3</v>
      </c>
      <c r="JA44">
        <f t="shared" si="94"/>
        <v>4</v>
      </c>
      <c r="JB44">
        <f t="shared" si="94"/>
        <v>5</v>
      </c>
      <c r="JC44">
        <f t="shared" si="94"/>
        <v>6</v>
      </c>
      <c r="JD44">
        <f t="shared" si="94"/>
        <v>7</v>
      </c>
      <c r="JE44">
        <f t="shared" si="94"/>
        <v>8</v>
      </c>
      <c r="JF44">
        <f t="shared" si="94"/>
        <v>9</v>
      </c>
      <c r="JG44">
        <f t="shared" si="94"/>
        <v>10</v>
      </c>
      <c r="JH44">
        <f t="shared" si="94"/>
        <v>11</v>
      </c>
      <c r="JI44">
        <f t="shared" si="94"/>
        <v>12</v>
      </c>
      <c r="JJ44">
        <f t="shared" si="94"/>
        <v>13</v>
      </c>
      <c r="JK44">
        <f t="shared" si="94"/>
        <v>14</v>
      </c>
      <c r="JL44">
        <f t="shared" si="94"/>
        <v>17</v>
      </c>
      <c r="JM44">
        <f t="shared" si="94"/>
        <v>15</v>
      </c>
      <c r="JN44">
        <f t="shared" si="94"/>
        <v>18</v>
      </c>
      <c r="JO44">
        <f t="shared" si="94"/>
        <v>11</v>
      </c>
      <c r="JP44">
        <f t="shared" si="94"/>
        <v>9</v>
      </c>
      <c r="JQ44">
        <f t="shared" si="94"/>
        <v>6</v>
      </c>
      <c r="JR44">
        <f t="shared" si="94"/>
        <v>20</v>
      </c>
      <c r="JS44">
        <f t="shared" si="94"/>
        <v>7</v>
      </c>
      <c r="JT44">
        <f t="shared" si="94"/>
        <v>10</v>
      </c>
      <c r="JU44">
        <f t="shared" si="94"/>
        <v>22</v>
      </c>
      <c r="JV44">
        <f t="shared" si="94"/>
        <v>23</v>
      </c>
      <c r="JW44">
        <f t="shared" si="94"/>
        <v>26</v>
      </c>
      <c r="JX44">
        <f t="shared" si="94"/>
        <v>27</v>
      </c>
      <c r="JY44" s="16">
        <f t="shared" si="94"/>
        <v>30</v>
      </c>
    </row>
    <row r="45" spans="1:285" x14ac:dyDescent="0.25">
      <c r="A45" s="83" t="s">
        <v>421</v>
      </c>
      <c r="B45" s="83" t="s">
        <v>423</v>
      </c>
      <c r="P45" t="s">
        <v>391</v>
      </c>
      <c r="T45" s="14" t="s">
        <v>554</v>
      </c>
      <c r="U45" s="15">
        <f t="shared" ref="U45:U55" si="9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SUM(IF(ISNUMBER(FIND("TmAi",$BE$1:$AAQ$1)),IF(IFERROR(ISODD(SUBSTITUTE($BE45:$AAQ45,"A","")),FALSE),IF(ISODD(SUBSTITUTE($BE45:$AAQ45,"A","")),1,0),0)))</f>
        <v>0</v>
      </c>
      <c r="AA45" t="str">
        <f t="shared" si="91"/>
        <v>5A</v>
      </c>
      <c r="AB45" t="str">
        <f t="shared" si="92"/>
        <v>5B</v>
      </c>
      <c r="AC45" s="15" t="s">
        <v>278</v>
      </c>
      <c r="AD45" s="79">
        <f t="array" ref="AD45">IF(COUNTIFS(AC$2:AC45,AC45)=1,"1",VALUE(SUBSTITUTE(INDEX(AD:AD,_xlfn.XMATCH(AC45,AC$1:AC44,0,-1)),"A",""))+INDEX(AE:AE,_xlfn.XMATCH(AC45,AC$1:AC44,0,-1))+1)</f>
        <v>13</v>
      </c>
      <c r="AE45" s="79">
        <f t="array" ref="AE45">SUM(IF(ISNUMBER(FIND("TmDi",$BE$1:$AAQ$1)),IF(IFERROR(ISNUMBER(VALUE(SUBSTITUTE($BE45:$AAQ45,"B",""))),FALSE),IF(ISNUMBER(VALUE(SUBSTITUTE($BE45:$AAQ45,"B",""))),1,0),0)))</f>
        <v>5</v>
      </c>
      <c r="AF45" s="15" t="s">
        <v>153</v>
      </c>
      <c r="AG45" s="15" t="s">
        <v>154</v>
      </c>
      <c r="AH45" s="15" t="s">
        <v>388</v>
      </c>
      <c r="AI45" s="73">
        <f t="array" ref="AI45">IF(COUNTIFS(AH$2:AH45,AH45)=1,"1",VALUE(SUBSTITUTE(INDEX(AI:AI,_xlfn.XMATCH(AH45,AH$1:AH44,0,-1)),"A",""))+INDEX(AJ:AJ,_xlfn.XMATCH(AH45,AH$1:AH44,0,-1))+1)</f>
        <v>5</v>
      </c>
      <c r="AJ45" s="73">
        <f t="array" ref="AJ45">SUM(IF(ISNUMBER(FIND("TmDo",$BE$1:$AAQ$1)),IF(IFERROR(ISNUMBER(VALUE(SUBSTITUTE($BE45:$AAQ45,"B",""))),FALSE),IF(ISNUMBER(VALUE(SUBSTITUTE($BE45:$AAQ45,"B",""))),1,0),0)))</f>
        <v>1</v>
      </c>
      <c r="AK45" s="15" t="str">
        <f t="shared" si="0"/>
        <v>5A</v>
      </c>
      <c r="AL45" s="15" t="str">
        <f t="shared" si="1"/>
        <v>5B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84"/>
        <v>XT44</v>
      </c>
      <c r="GU45" t="str">
        <f t="shared" si="85"/>
        <v>C14</v>
      </c>
      <c r="GV45" t="str">
        <f t="shared" ref="GV45:GV55" si="96">CONCATENATE("B",REPLACE(AG45,1,1,"")+1)</f>
        <v>B14</v>
      </c>
      <c r="GW45" t="str">
        <f t="shared" ref="GW45:GW55" si="97">CONCATENATE("C",REPLACE(GU45,1,1,"")+1)</f>
        <v>C15</v>
      </c>
      <c r="GX45" t="str">
        <f t="shared" ref="GX45:GX55" si="98">CONCATENATE("B",REPLACE(GV45,1,1,"")+1)</f>
        <v>B15</v>
      </c>
      <c r="GY45" t="str">
        <f t="shared" ref="GY45:GY55" si="99">CONCATENATE("C",REPLACE(GW45,1,1,"")+1)</f>
        <v>C16</v>
      </c>
      <c r="GZ45" t="str">
        <f t="shared" ref="GZ45:GZ55" si="100">CONCATENATE("B",REPLACE(GX45,1,1,"")+1)</f>
        <v>B16</v>
      </c>
      <c r="HA45" t="str">
        <f t="shared" ref="HA45:HA55" si="101">CONCATENATE("C",REPLACE(GY45,1,1,"")+1)</f>
        <v>C17</v>
      </c>
      <c r="HB45" t="str">
        <f t="shared" ref="HB45:HB55" si="102">CONCATENATE("B",REPLACE(GZ45,1,1,"")+1)</f>
        <v>B17</v>
      </c>
      <c r="HC45" t="str">
        <f t="shared" ref="HC45:HC55" si="103">CONCATENATE("C",REPLACE(HA45,1,1,"")+1)</f>
        <v>C18</v>
      </c>
      <c r="HD45" t="str">
        <f t="shared" ref="HD45:HD55" si="104">CONCATENATE("B",REPLACE(HB45,1,1,"")+1)</f>
        <v>B18</v>
      </c>
      <c r="HE45" t="str">
        <f t="shared" si="86"/>
        <v>6A</v>
      </c>
      <c r="HF45" t="str">
        <f t="shared" si="87"/>
        <v>6B</v>
      </c>
      <c r="HG45" t="str">
        <f t="shared" si="88"/>
        <v>AI1-5A</v>
      </c>
      <c r="HH45" t="str">
        <f t="shared" si="89"/>
        <v>AI1-5B</v>
      </c>
      <c r="HI45" t="str">
        <f t="shared" ref="HI45:HI55" si="105">CONCATENATE("DI",REPLACE($AC45,1,3,""),"-",AF45)</f>
        <v>DI9-C13</v>
      </c>
      <c r="HJ45" t="str">
        <f t="shared" ref="HJ45:HJ55" si="106">CONCATENATE("DI",REPLACE($AC45,1,3,""),"-",AG45)</f>
        <v>DI9-B13</v>
      </c>
      <c r="HK45" t="str">
        <f t="shared" ref="HK45:HK55" si="107">CONCATENATE("DI",REPLACE($AC45,1,3,""),"-",GU45)</f>
        <v>DI9-C14</v>
      </c>
      <c r="HL45" t="str">
        <f t="shared" ref="HL45:HL55" si="108">CONCATENATE("DI",REPLACE($AC45,1,3,""),"-",GV45)</f>
        <v>DI9-B14</v>
      </c>
      <c r="HM45" t="str">
        <f t="shared" ref="HM45:HM55" si="109">CONCATENATE("DI",REPLACE($AC45,1,3,""),"-",GW45)</f>
        <v>DI9-C15</v>
      </c>
      <c r="HN45" t="str">
        <f t="shared" ref="HN45:HN55" si="110">CONCATENATE("DI",REPLACE($AC45,1,3,""),"-",GX45)</f>
        <v>DI9-B15</v>
      </c>
      <c r="HO45" t="str">
        <f t="shared" ref="HO45:HO55" si="111">CONCATENATE("DI",REPLACE($AC45,1,3,""),"-",GY45)</f>
        <v>DI9-C16</v>
      </c>
      <c r="HP45" t="str">
        <f t="shared" ref="HP45:HP55" si="112">CONCATENATE("DI",REPLACE($AC45,1,3,""),"-",GZ45)</f>
        <v>DI9-B16</v>
      </c>
      <c r="HQ45" t="str">
        <f t="shared" ref="HQ45:HQ55" si="113">CONCATENATE("DI",REPLACE($AC45,1,3,""),"-",HA45)</f>
        <v>DI9-C17</v>
      </c>
      <c r="HR45" t="str">
        <f t="shared" ref="HR45:HR55" si="114">CONCATENATE("DI",REPLACE($AC45,1,3,""),"-",HB45)</f>
        <v>DI9-B17</v>
      </c>
      <c r="HS45" t="str">
        <f t="shared" ref="HS45:HS55" si="115">CONCATENATE("DI",REPLACE($AC45,1,3,""),"-",HC45)</f>
        <v>DI9-C18</v>
      </c>
      <c r="HT45" t="str">
        <f t="shared" ref="HT45:HT55" si="116">CONCATENATE("DI",REPLACE($AC45,1,3,""),"-",HD45)</f>
        <v>DI9-B18</v>
      </c>
      <c r="HU45" t="str">
        <f t="shared" ref="HU45:HU55" si="117">CONCATENATE("DO",REPLACE($AH45,1,3,""),"-",AK45)</f>
        <v>DO6-5A</v>
      </c>
      <c r="HV45" t="str">
        <f t="shared" ref="HV45:HV55" si="118">CONCATENATE("DO",REPLACE($AH45,1,3,""),"-",AL45)</f>
        <v>DO6-5B</v>
      </c>
      <c r="HW45" t="str">
        <f t="shared" ref="HW45:HW55" si="119">CONCATENATE("DO",REPLACE($AH45,1,3,""),"-",HE45)</f>
        <v>DO6-6A</v>
      </c>
      <c r="HX45" t="str">
        <f t="shared" ref="HX45:HX55" si="120">CONCATENATE("DO",REPLACE($AH45,1,3,""),"-",HF45)</f>
        <v>DO6-6B</v>
      </c>
      <c r="HY45" t="str">
        <f t="shared" ref="HY45:HY55" si="121">CONCATENATE("K",$U45,"-01")</f>
        <v>K44-01</v>
      </c>
      <c r="HZ45" t="str">
        <f t="shared" ref="HZ45:HZ55" si="122">CONCATENATE("K",$U45,"-02")</f>
        <v>K44-02</v>
      </c>
      <c r="IA45" t="str">
        <f t="shared" ref="IA45:IA55" si="123">CONCATENATE("K",$U45,"-03")</f>
        <v>K44-03</v>
      </c>
      <c r="IB45" t="str">
        <f t="shared" ref="IB45:IB55" si="124">CONCATENATE("K",$U45,"-04")</f>
        <v>K44-04</v>
      </c>
      <c r="IC45" t="str">
        <f t="shared" ref="IC45:IC55" si="125">CONCATENATE("K",$U45,"-05")</f>
        <v>K44-05</v>
      </c>
      <c r="ID45" t="str">
        <f t="shared" ref="ID45:ID55" si="126">CONCATENATE("K",$U45,"-06")</f>
        <v>K44-06</v>
      </c>
      <c r="IE45" t="str">
        <f t="shared" ref="IE45:IE55" si="127">CONCATENATE("K",$U45,"-07")</f>
        <v>K44-07</v>
      </c>
      <c r="IF45" t="str">
        <f t="shared" ref="IF45:IF55" si="128">CONCATENATE("K",$U45,"-08")</f>
        <v>K44-08</v>
      </c>
      <c r="IG45" t="str">
        <f t="shared" ref="IG45:IG55" si="129">CONCATENATE($T45,"-M",$U45,"-AMS-12")</f>
        <v>F0-M44-AMS-12</v>
      </c>
      <c r="IH45" t="str">
        <f t="shared" ref="IH45:IH55" si="130">CONCATENATE($T45,"-M",$U45,"-AMS-10")</f>
        <v>F0-M44-AMS-10</v>
      </c>
      <c r="II45" t="str">
        <f t="shared" ref="II45:II55" si="131">CONCATENATE($T45,"-M",$U45,"-AMS-11")</f>
        <v>F0-M44-AMS-11</v>
      </c>
      <c r="IJ45" t="str">
        <f t="shared" ref="IJ45:IJ55" si="132">CONCATENATE($T45,"-M",$U45,"-AMS-13")</f>
        <v>F0-M44-AMS-13</v>
      </c>
      <c r="IK45" t="str">
        <f t="shared" ref="IK45:IK55" si="133">CONCATENATE($T45,"-M",$U45,"-AMS-9")</f>
        <v>F0-M44-AMS-9</v>
      </c>
      <c r="IL45" t="str">
        <f t="shared" ref="IL45:IL55" si="134">CONCATENATE($T45,"-M",$U45,"-AMS-7")</f>
        <v>F0-M44-AMS-7</v>
      </c>
      <c r="IM45" t="str">
        <f t="shared" ref="IM45:IM55" si="135">CONCATENATE($T45,"-M",$U45,"-AMS-18")</f>
        <v>F0-M44-AMS-18</v>
      </c>
      <c r="IN45" t="str">
        <f t="shared" ref="IN45:IN55" si="136">CONCATENATE($T45,"-M",$U45,"-AMS-20")</f>
        <v>F0-M44-AMS-20</v>
      </c>
      <c r="IO45" t="str">
        <f t="shared" ref="IO45:IO55" si="137">CONCATENATE($T45,"-M",$U45,"-AMS-17")</f>
        <v>F0-M44-AMS-17</v>
      </c>
      <c r="IP45" t="str">
        <f t="shared" ref="IP45:IP55" si="138">CONCATENATE($T45,"-+24-M",$U45,)</f>
        <v>F0-+24-M44</v>
      </c>
      <c r="IQ45" t="str">
        <f t="shared" ref="IQ45:IQ55" si="139">CONCATENATE($T45,"-M",$U45,"-XM01")</f>
        <v>F0-M44-XM01</v>
      </c>
      <c r="IR45" t="str">
        <f t="shared" ref="IR45:JY45" si="140">IR44</f>
        <v>A1</v>
      </c>
      <c r="IS45" t="str">
        <f t="shared" si="140"/>
        <v>A2</v>
      </c>
      <c r="IT45">
        <f t="shared" si="140"/>
        <v>11</v>
      </c>
      <c r="IU45">
        <f t="shared" si="140"/>
        <v>14</v>
      </c>
      <c r="IV45" t="str">
        <f t="shared" si="140"/>
        <v>24v6</v>
      </c>
      <c r="IW45" t="str">
        <f t="shared" si="140"/>
        <v>0v6</v>
      </c>
      <c r="IX45">
        <f t="shared" si="140"/>
        <v>1</v>
      </c>
      <c r="IY45">
        <f t="shared" si="140"/>
        <v>2</v>
      </c>
      <c r="IZ45">
        <f t="shared" si="140"/>
        <v>3</v>
      </c>
      <c r="JA45">
        <f t="shared" si="140"/>
        <v>4</v>
      </c>
      <c r="JB45">
        <f t="shared" si="140"/>
        <v>5</v>
      </c>
      <c r="JC45">
        <f t="shared" si="140"/>
        <v>6</v>
      </c>
      <c r="JD45">
        <f t="shared" si="140"/>
        <v>7</v>
      </c>
      <c r="JE45">
        <f t="shared" si="140"/>
        <v>8</v>
      </c>
      <c r="JF45">
        <f t="shared" si="140"/>
        <v>9</v>
      </c>
      <c r="JG45">
        <f t="shared" si="140"/>
        <v>10</v>
      </c>
      <c r="JH45">
        <f t="shared" si="140"/>
        <v>11</v>
      </c>
      <c r="JI45">
        <f t="shared" si="140"/>
        <v>12</v>
      </c>
      <c r="JJ45">
        <f t="shared" si="140"/>
        <v>13</v>
      </c>
      <c r="JK45">
        <f t="shared" si="140"/>
        <v>14</v>
      </c>
      <c r="JL45">
        <f t="shared" si="140"/>
        <v>17</v>
      </c>
      <c r="JM45">
        <f t="shared" si="140"/>
        <v>15</v>
      </c>
      <c r="JN45">
        <f t="shared" si="140"/>
        <v>18</v>
      </c>
      <c r="JO45">
        <f t="shared" si="140"/>
        <v>11</v>
      </c>
      <c r="JP45">
        <f t="shared" si="140"/>
        <v>9</v>
      </c>
      <c r="JQ45">
        <f t="shared" si="140"/>
        <v>6</v>
      </c>
      <c r="JR45">
        <f t="shared" si="140"/>
        <v>20</v>
      </c>
      <c r="JS45">
        <f t="shared" si="140"/>
        <v>7</v>
      </c>
      <c r="JT45">
        <f t="shared" si="140"/>
        <v>10</v>
      </c>
      <c r="JU45">
        <f t="shared" si="140"/>
        <v>22</v>
      </c>
      <c r="JV45">
        <f t="shared" si="140"/>
        <v>23</v>
      </c>
      <c r="JW45">
        <f t="shared" si="140"/>
        <v>26</v>
      </c>
      <c r="JX45">
        <f t="shared" si="140"/>
        <v>27</v>
      </c>
      <c r="JY45" s="16">
        <f t="shared" si="140"/>
        <v>30</v>
      </c>
    </row>
    <row r="46" spans="1:285" x14ac:dyDescent="0.25">
      <c r="A46" s="83" t="s">
        <v>427</v>
      </c>
      <c r="B46" s="83" t="s">
        <v>426</v>
      </c>
      <c r="P46" t="s">
        <v>391</v>
      </c>
      <c r="T46" s="14" t="s">
        <v>554</v>
      </c>
      <c r="U46" s="15">
        <f t="shared" si="9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SUM(IF(ISNUMBER(FIND("TmAi",$BE$1:$AAQ$1)),IF(IFERROR(ISODD(SUBSTITUTE($BE46:$AAQ46,"A","")),FALSE),IF(ISODD(SUBSTITUTE($BE46:$AAQ46,"A","")),1,0),0)))</f>
        <v>0</v>
      </c>
      <c r="AA46" t="str">
        <f t="shared" si="91"/>
        <v>7A</v>
      </c>
      <c r="AB46" t="str">
        <f t="shared" si="92"/>
        <v>7B</v>
      </c>
      <c r="AC46" s="15" t="s">
        <v>278</v>
      </c>
      <c r="AD46" s="79">
        <f t="array" ref="AD46">IF(COUNTIFS(AC$2:AC46,AC46)=1,"1",VALUE(SUBSTITUTE(INDEX(AD:AD,_xlfn.XMATCH(AC46,AC$1:AC45,0,-1)),"A",""))+INDEX(AE:AE,_xlfn.XMATCH(AC46,AC$1:AC45,0,-1))+1)</f>
        <v>19</v>
      </c>
      <c r="AE46" s="79">
        <f t="array" ref="AE46">SUM(IF(ISNUMBER(FIND("TmDi",$BE$1:$AAQ$1)),IF(IFERROR(ISNUMBER(VALUE(SUBSTITUTE($BE46:$AAQ46,"B",""))),FALSE),IF(ISNUMBER(VALUE(SUBSTITUTE($BE46:$AAQ46,"B",""))),1,0),0)))</f>
        <v>5</v>
      </c>
      <c r="AF46" t="s">
        <v>239</v>
      </c>
      <c r="AG46" t="s">
        <v>241</v>
      </c>
      <c r="AH46" s="15" t="s">
        <v>388</v>
      </c>
      <c r="AI46" s="73">
        <f t="array" ref="AI46">IF(COUNTIFS(AH$2:AH46,AH46)=1,"1",VALUE(SUBSTITUTE(INDEX(AI:AI,_xlfn.XMATCH(AH46,AH$1:AH45,0,-1)),"A",""))+INDEX(AJ:AJ,_xlfn.XMATCH(AH46,AH$1:AH45,0,-1))+1)</f>
        <v>7</v>
      </c>
      <c r="AJ46" s="73">
        <f t="array" ref="AJ46">SUM(IF(ISNUMBER(FIND("TmDo",$BE$1:$AAQ$1)),IF(IFERROR(ISNUMBER(VALUE(SUBSTITUTE($BE46:$AAQ46,"B",""))),FALSE),IF(ISNUMBER(VALUE(SUBSTITUTE($BE46:$AAQ46,"B",""))),1,0),0)))</f>
        <v>1</v>
      </c>
      <c r="AK46" t="str">
        <f t="shared" si="0"/>
        <v>7A</v>
      </c>
      <c r="AL46" t="str">
        <f t="shared" si="1"/>
        <v>7B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84"/>
        <v>XT45</v>
      </c>
      <c r="GU46" t="str">
        <f t="shared" si="85"/>
        <v>C20</v>
      </c>
      <c r="GV46" t="str">
        <f t="shared" si="96"/>
        <v>B20</v>
      </c>
      <c r="GW46" t="str">
        <f t="shared" si="97"/>
        <v>C21</v>
      </c>
      <c r="GX46" t="str">
        <f t="shared" si="98"/>
        <v>B21</v>
      </c>
      <c r="GY46" t="str">
        <f t="shared" si="99"/>
        <v>C22</v>
      </c>
      <c r="GZ46" t="str">
        <f t="shared" si="100"/>
        <v>B22</v>
      </c>
      <c r="HA46" t="str">
        <f t="shared" si="101"/>
        <v>C23</v>
      </c>
      <c r="HB46" t="str">
        <f t="shared" si="102"/>
        <v>B23</v>
      </c>
      <c r="HC46" t="str">
        <f t="shared" si="103"/>
        <v>C24</v>
      </c>
      <c r="HD46" t="str">
        <f t="shared" si="104"/>
        <v>B24</v>
      </c>
      <c r="HE46" t="str">
        <f t="shared" si="86"/>
        <v>8A</v>
      </c>
      <c r="HF46" t="str">
        <f t="shared" si="87"/>
        <v>8B</v>
      </c>
      <c r="HG46" t="str">
        <f t="shared" si="88"/>
        <v>AI1-7A</v>
      </c>
      <c r="HH46" t="str">
        <f t="shared" si="89"/>
        <v>AI1-7B</v>
      </c>
      <c r="HI46" t="str">
        <f t="shared" si="105"/>
        <v>DI9-C19</v>
      </c>
      <c r="HJ46" t="str">
        <f t="shared" si="106"/>
        <v>DI9-B19</v>
      </c>
      <c r="HK46" t="str">
        <f t="shared" si="107"/>
        <v>DI9-C20</v>
      </c>
      <c r="HL46" t="str">
        <f t="shared" si="108"/>
        <v>DI9-B20</v>
      </c>
      <c r="HM46" t="str">
        <f t="shared" si="109"/>
        <v>DI9-C21</v>
      </c>
      <c r="HN46" t="str">
        <f t="shared" si="110"/>
        <v>DI9-B21</v>
      </c>
      <c r="HO46" t="str">
        <f t="shared" si="111"/>
        <v>DI9-C22</v>
      </c>
      <c r="HP46" t="str">
        <f t="shared" si="112"/>
        <v>DI9-B22</v>
      </c>
      <c r="HQ46" t="str">
        <f t="shared" si="113"/>
        <v>DI9-C23</v>
      </c>
      <c r="HR46" t="str">
        <f t="shared" si="114"/>
        <v>DI9-B23</v>
      </c>
      <c r="HS46" t="str">
        <f t="shared" si="115"/>
        <v>DI9-C24</v>
      </c>
      <c r="HT46" t="str">
        <f t="shared" si="116"/>
        <v>DI9-B24</v>
      </c>
      <c r="HU46" t="str">
        <f t="shared" si="117"/>
        <v>DO6-7A</v>
      </c>
      <c r="HV46" t="str">
        <f t="shared" si="118"/>
        <v>DO6-7B</v>
      </c>
      <c r="HW46" t="str">
        <f t="shared" si="119"/>
        <v>DO6-8A</v>
      </c>
      <c r="HX46" t="str">
        <f t="shared" si="120"/>
        <v>DO6-8B</v>
      </c>
      <c r="HY46" t="str">
        <f t="shared" si="121"/>
        <v>K45-01</v>
      </c>
      <c r="HZ46" t="str">
        <f t="shared" si="122"/>
        <v>K45-02</v>
      </c>
      <c r="IA46" t="str">
        <f t="shared" si="123"/>
        <v>K45-03</v>
      </c>
      <c r="IB46" t="str">
        <f t="shared" si="124"/>
        <v>K45-04</v>
      </c>
      <c r="IC46" t="str">
        <f t="shared" si="125"/>
        <v>K45-05</v>
      </c>
      <c r="ID46" t="str">
        <f t="shared" si="126"/>
        <v>K45-06</v>
      </c>
      <c r="IE46" t="str">
        <f t="shared" si="127"/>
        <v>K45-07</v>
      </c>
      <c r="IF46" t="str">
        <f t="shared" si="128"/>
        <v>K45-08</v>
      </c>
      <c r="IG46" t="str">
        <f t="shared" si="129"/>
        <v>F0-M45-AMS-12</v>
      </c>
      <c r="IH46" t="str">
        <f t="shared" si="130"/>
        <v>F0-M45-AMS-10</v>
      </c>
      <c r="II46" t="str">
        <f t="shared" si="131"/>
        <v>F0-M45-AMS-11</v>
      </c>
      <c r="IJ46" t="str">
        <f t="shared" si="132"/>
        <v>F0-M45-AMS-13</v>
      </c>
      <c r="IK46" t="str">
        <f t="shared" si="133"/>
        <v>F0-M45-AMS-9</v>
      </c>
      <c r="IL46" t="str">
        <f t="shared" si="134"/>
        <v>F0-M45-AMS-7</v>
      </c>
      <c r="IM46" t="str">
        <f t="shared" si="135"/>
        <v>F0-M45-AMS-18</v>
      </c>
      <c r="IN46" t="str">
        <f t="shared" si="136"/>
        <v>F0-M45-AMS-20</v>
      </c>
      <c r="IO46" t="str">
        <f t="shared" si="137"/>
        <v>F0-M45-AMS-17</v>
      </c>
      <c r="IP46" t="str">
        <f t="shared" si="138"/>
        <v>F0-+24-M45</v>
      </c>
      <c r="IQ46" t="str">
        <f t="shared" si="139"/>
        <v>F0-M45-XM01</v>
      </c>
      <c r="IR46" t="str">
        <f t="shared" ref="IR46:JY46" si="141">IR45</f>
        <v>A1</v>
      </c>
      <c r="IS46" t="str">
        <f t="shared" si="141"/>
        <v>A2</v>
      </c>
      <c r="IT46">
        <f t="shared" si="141"/>
        <v>11</v>
      </c>
      <c r="IU46">
        <f t="shared" si="141"/>
        <v>14</v>
      </c>
      <c r="IV46" t="str">
        <f t="shared" si="141"/>
        <v>24v6</v>
      </c>
      <c r="IW46" t="str">
        <f t="shared" si="141"/>
        <v>0v6</v>
      </c>
      <c r="IX46">
        <f t="shared" si="141"/>
        <v>1</v>
      </c>
      <c r="IY46">
        <f t="shared" si="141"/>
        <v>2</v>
      </c>
      <c r="IZ46">
        <f t="shared" si="141"/>
        <v>3</v>
      </c>
      <c r="JA46">
        <f t="shared" si="141"/>
        <v>4</v>
      </c>
      <c r="JB46">
        <f t="shared" si="141"/>
        <v>5</v>
      </c>
      <c r="JC46">
        <f t="shared" si="141"/>
        <v>6</v>
      </c>
      <c r="JD46">
        <f t="shared" si="141"/>
        <v>7</v>
      </c>
      <c r="JE46">
        <f t="shared" si="141"/>
        <v>8</v>
      </c>
      <c r="JF46">
        <f t="shared" si="141"/>
        <v>9</v>
      </c>
      <c r="JG46">
        <f t="shared" si="141"/>
        <v>10</v>
      </c>
      <c r="JH46">
        <f t="shared" si="141"/>
        <v>11</v>
      </c>
      <c r="JI46">
        <f t="shared" si="141"/>
        <v>12</v>
      </c>
      <c r="JJ46">
        <f t="shared" si="141"/>
        <v>13</v>
      </c>
      <c r="JK46">
        <f t="shared" si="141"/>
        <v>14</v>
      </c>
      <c r="JL46">
        <f t="shared" si="141"/>
        <v>17</v>
      </c>
      <c r="JM46">
        <f t="shared" si="141"/>
        <v>15</v>
      </c>
      <c r="JN46">
        <f t="shared" si="141"/>
        <v>18</v>
      </c>
      <c r="JO46">
        <f t="shared" si="141"/>
        <v>11</v>
      </c>
      <c r="JP46">
        <f t="shared" si="141"/>
        <v>9</v>
      </c>
      <c r="JQ46">
        <f t="shared" si="141"/>
        <v>6</v>
      </c>
      <c r="JR46">
        <f t="shared" si="141"/>
        <v>20</v>
      </c>
      <c r="JS46">
        <f t="shared" si="141"/>
        <v>7</v>
      </c>
      <c r="JT46">
        <f t="shared" si="141"/>
        <v>10</v>
      </c>
      <c r="JU46">
        <f t="shared" si="141"/>
        <v>22</v>
      </c>
      <c r="JV46">
        <f t="shared" si="141"/>
        <v>23</v>
      </c>
      <c r="JW46">
        <f t="shared" si="141"/>
        <v>26</v>
      </c>
      <c r="JX46">
        <f t="shared" si="141"/>
        <v>27</v>
      </c>
      <c r="JY46" s="16">
        <f t="shared" si="141"/>
        <v>30</v>
      </c>
    </row>
    <row r="47" spans="1:285" x14ac:dyDescent="0.25">
      <c r="A47" s="83" t="s">
        <v>463</v>
      </c>
      <c r="B47" s="83" t="s">
        <v>462</v>
      </c>
      <c r="P47" t="s">
        <v>391</v>
      </c>
      <c r="T47" s="14" t="s">
        <v>554</v>
      </c>
      <c r="U47" s="15">
        <f t="shared" si="9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SUM(IF(ISNUMBER(FIND("TmAi",$BE$1:$AAQ$1)),IF(IFERROR(ISODD(SUBSTITUTE($BE47:$AAQ47,"A","")),FALSE),IF(ISODD(SUBSTITUTE($BE47:$AAQ47,"A","")),1,0),0)))</f>
        <v>0</v>
      </c>
      <c r="AA47" t="str">
        <f t="shared" si="91"/>
        <v>9A</v>
      </c>
      <c r="AB47" t="str">
        <f t="shared" si="92"/>
        <v>9B</v>
      </c>
      <c r="AC47" s="15" t="s">
        <v>278</v>
      </c>
      <c r="AD47" s="79">
        <f t="array" ref="AD47">IF(COUNTIFS(AC$2:AC47,AC47)=1,"1",VALUE(SUBSTITUTE(INDEX(AD:AD,_xlfn.XMATCH(AC47,AC$1:AC46,0,-1)),"A",""))+INDEX(AE:AE,_xlfn.XMATCH(AC47,AC$1:AC46,0,-1))+1)</f>
        <v>25</v>
      </c>
      <c r="AE47" s="79">
        <f t="array" ref="AE47">SUM(IF(ISNUMBER(FIND("TmDi",$BE$1:$AAQ$1)),IF(IFERROR(ISNUMBER(VALUE(SUBSTITUTE($BE47:$AAQ47,"B",""))),FALSE),IF(ISNUMBER(VALUE(SUBSTITUTE($BE47:$AAQ47,"B",""))),1,0),0)))</f>
        <v>5</v>
      </c>
      <c r="AF47" t="s">
        <v>240</v>
      </c>
      <c r="AG47" t="s">
        <v>242</v>
      </c>
      <c r="AH47" s="15" t="s">
        <v>388</v>
      </c>
      <c r="AI47" s="73">
        <f t="array" ref="AI47">IF(COUNTIFS(AH$2:AH47,AH47)=1,"1",VALUE(SUBSTITUTE(INDEX(AI:AI,_xlfn.XMATCH(AH47,AH$1:AH46,0,-1)),"A",""))+INDEX(AJ:AJ,_xlfn.XMATCH(AH47,AH$1:AH46,0,-1))+1)</f>
        <v>9</v>
      </c>
      <c r="AJ47" s="73">
        <f t="array" ref="AJ47">SUM(IF(ISNUMBER(FIND("TmDo",$BE$1:$AAQ$1)),IF(IFERROR(ISNUMBER(VALUE(SUBSTITUTE($BE47:$AAQ47,"B",""))),FALSE),IF(ISNUMBER(VALUE(SUBSTITUTE($BE47:$AAQ47,"B",""))),1,0),0)))</f>
        <v>1</v>
      </c>
      <c r="AK47" s="15" t="str">
        <f t="shared" si="0"/>
        <v>9A</v>
      </c>
      <c r="AL47" s="15" t="str">
        <f t="shared" si="1"/>
        <v>9B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84"/>
        <v>XT46</v>
      </c>
      <c r="GU47" t="str">
        <f t="shared" si="85"/>
        <v>C26</v>
      </c>
      <c r="GV47" t="str">
        <f t="shared" si="96"/>
        <v>B26</v>
      </c>
      <c r="GW47" t="str">
        <f t="shared" si="97"/>
        <v>C27</v>
      </c>
      <c r="GX47" t="str">
        <f t="shared" si="98"/>
        <v>B27</v>
      </c>
      <c r="GY47" t="str">
        <f t="shared" si="99"/>
        <v>C28</v>
      </c>
      <c r="GZ47" t="str">
        <f t="shared" si="100"/>
        <v>B28</v>
      </c>
      <c r="HA47" t="str">
        <f t="shared" si="101"/>
        <v>C29</v>
      </c>
      <c r="HB47" t="str">
        <f t="shared" si="102"/>
        <v>B29</v>
      </c>
      <c r="HC47" t="str">
        <f t="shared" si="103"/>
        <v>C30</v>
      </c>
      <c r="HD47" t="str">
        <f t="shared" si="104"/>
        <v>B30</v>
      </c>
      <c r="HE47" t="str">
        <f t="shared" si="86"/>
        <v>10A</v>
      </c>
      <c r="HF47" t="str">
        <f t="shared" si="87"/>
        <v>10B</v>
      </c>
      <c r="HG47" t="str">
        <f t="shared" si="88"/>
        <v>AI1-9A</v>
      </c>
      <c r="HH47" t="str">
        <f t="shared" si="89"/>
        <v>AI1-9B</v>
      </c>
      <c r="HI47" t="str">
        <f t="shared" si="105"/>
        <v>DI9-C25</v>
      </c>
      <c r="HJ47" t="str">
        <f t="shared" si="106"/>
        <v>DI9-B25</v>
      </c>
      <c r="HK47" t="str">
        <f t="shared" si="107"/>
        <v>DI9-C26</v>
      </c>
      <c r="HL47" t="str">
        <f t="shared" si="108"/>
        <v>DI9-B26</v>
      </c>
      <c r="HM47" t="str">
        <f t="shared" si="109"/>
        <v>DI9-C27</v>
      </c>
      <c r="HN47" t="str">
        <f t="shared" si="110"/>
        <v>DI9-B27</v>
      </c>
      <c r="HO47" t="str">
        <f t="shared" si="111"/>
        <v>DI9-C28</v>
      </c>
      <c r="HP47" t="str">
        <f t="shared" si="112"/>
        <v>DI9-B28</v>
      </c>
      <c r="HQ47" t="str">
        <f t="shared" si="113"/>
        <v>DI9-C29</v>
      </c>
      <c r="HR47" t="str">
        <f t="shared" si="114"/>
        <v>DI9-B29</v>
      </c>
      <c r="HS47" t="str">
        <f t="shared" si="115"/>
        <v>DI9-C30</v>
      </c>
      <c r="HT47" t="str">
        <f t="shared" si="116"/>
        <v>DI9-B30</v>
      </c>
      <c r="HU47" t="str">
        <f t="shared" si="117"/>
        <v>DO6-9A</v>
      </c>
      <c r="HV47" t="str">
        <f t="shared" si="118"/>
        <v>DO6-9B</v>
      </c>
      <c r="HW47" t="str">
        <f t="shared" si="119"/>
        <v>DO6-10A</v>
      </c>
      <c r="HX47" t="str">
        <f t="shared" si="120"/>
        <v>DO6-10B</v>
      </c>
      <c r="HY47" t="str">
        <f t="shared" si="121"/>
        <v>K46-01</v>
      </c>
      <c r="HZ47" t="str">
        <f t="shared" si="122"/>
        <v>K46-02</v>
      </c>
      <c r="IA47" t="str">
        <f t="shared" si="123"/>
        <v>K46-03</v>
      </c>
      <c r="IB47" t="str">
        <f t="shared" si="124"/>
        <v>K46-04</v>
      </c>
      <c r="IC47" t="str">
        <f t="shared" si="125"/>
        <v>K46-05</v>
      </c>
      <c r="ID47" t="str">
        <f t="shared" si="126"/>
        <v>K46-06</v>
      </c>
      <c r="IE47" t="str">
        <f t="shared" si="127"/>
        <v>K46-07</v>
      </c>
      <c r="IF47" t="str">
        <f t="shared" si="128"/>
        <v>K46-08</v>
      </c>
      <c r="IG47" t="str">
        <f t="shared" si="129"/>
        <v>F0-M46-AMS-12</v>
      </c>
      <c r="IH47" t="str">
        <f t="shared" si="130"/>
        <v>F0-M46-AMS-10</v>
      </c>
      <c r="II47" t="str">
        <f t="shared" si="131"/>
        <v>F0-M46-AMS-11</v>
      </c>
      <c r="IJ47" t="str">
        <f t="shared" si="132"/>
        <v>F0-M46-AMS-13</v>
      </c>
      <c r="IK47" t="str">
        <f t="shared" si="133"/>
        <v>F0-M46-AMS-9</v>
      </c>
      <c r="IL47" t="str">
        <f t="shared" si="134"/>
        <v>F0-M46-AMS-7</v>
      </c>
      <c r="IM47" t="str">
        <f t="shared" si="135"/>
        <v>F0-M46-AMS-18</v>
      </c>
      <c r="IN47" t="str">
        <f t="shared" si="136"/>
        <v>F0-M46-AMS-20</v>
      </c>
      <c r="IO47" t="str">
        <f t="shared" si="137"/>
        <v>F0-M46-AMS-17</v>
      </c>
      <c r="IP47" t="str">
        <f t="shared" si="138"/>
        <v>F0-+24-M46</v>
      </c>
      <c r="IQ47" t="str">
        <f t="shared" si="139"/>
        <v>F0-M46-XM01</v>
      </c>
      <c r="IR47" t="str">
        <f t="shared" ref="IR47:JY47" si="142">IR46</f>
        <v>A1</v>
      </c>
      <c r="IS47" t="str">
        <f t="shared" si="142"/>
        <v>A2</v>
      </c>
      <c r="IT47">
        <f t="shared" si="142"/>
        <v>11</v>
      </c>
      <c r="IU47">
        <f t="shared" si="142"/>
        <v>14</v>
      </c>
      <c r="IV47" t="str">
        <f t="shared" si="142"/>
        <v>24v6</v>
      </c>
      <c r="IW47" t="str">
        <f t="shared" si="142"/>
        <v>0v6</v>
      </c>
      <c r="IX47">
        <f t="shared" si="142"/>
        <v>1</v>
      </c>
      <c r="IY47">
        <f t="shared" si="142"/>
        <v>2</v>
      </c>
      <c r="IZ47">
        <f t="shared" si="142"/>
        <v>3</v>
      </c>
      <c r="JA47">
        <f t="shared" si="142"/>
        <v>4</v>
      </c>
      <c r="JB47">
        <f t="shared" si="142"/>
        <v>5</v>
      </c>
      <c r="JC47">
        <f t="shared" si="142"/>
        <v>6</v>
      </c>
      <c r="JD47">
        <f t="shared" si="142"/>
        <v>7</v>
      </c>
      <c r="JE47">
        <f t="shared" si="142"/>
        <v>8</v>
      </c>
      <c r="JF47">
        <f t="shared" si="142"/>
        <v>9</v>
      </c>
      <c r="JG47">
        <f t="shared" si="142"/>
        <v>10</v>
      </c>
      <c r="JH47">
        <f t="shared" si="142"/>
        <v>11</v>
      </c>
      <c r="JI47">
        <f t="shared" si="142"/>
        <v>12</v>
      </c>
      <c r="JJ47">
        <f t="shared" si="142"/>
        <v>13</v>
      </c>
      <c r="JK47">
        <f t="shared" si="142"/>
        <v>14</v>
      </c>
      <c r="JL47">
        <f t="shared" si="142"/>
        <v>17</v>
      </c>
      <c r="JM47">
        <f t="shared" si="142"/>
        <v>15</v>
      </c>
      <c r="JN47">
        <f t="shared" si="142"/>
        <v>18</v>
      </c>
      <c r="JO47">
        <f t="shared" si="142"/>
        <v>11</v>
      </c>
      <c r="JP47">
        <f t="shared" si="142"/>
        <v>9</v>
      </c>
      <c r="JQ47">
        <f t="shared" si="142"/>
        <v>6</v>
      </c>
      <c r="JR47">
        <f t="shared" si="142"/>
        <v>20</v>
      </c>
      <c r="JS47">
        <f t="shared" si="142"/>
        <v>7</v>
      </c>
      <c r="JT47">
        <f t="shared" si="142"/>
        <v>10</v>
      </c>
      <c r="JU47">
        <f t="shared" si="142"/>
        <v>22</v>
      </c>
      <c r="JV47">
        <f t="shared" si="142"/>
        <v>23</v>
      </c>
      <c r="JW47">
        <f t="shared" si="142"/>
        <v>26</v>
      </c>
      <c r="JX47">
        <f t="shared" si="142"/>
        <v>27</v>
      </c>
      <c r="JY47" s="16">
        <f t="shared" si="142"/>
        <v>30</v>
      </c>
    </row>
    <row r="48" spans="1:285" x14ac:dyDescent="0.25">
      <c r="A48" s="83" t="s">
        <v>465</v>
      </c>
      <c r="B48" s="83" t="s">
        <v>464</v>
      </c>
      <c r="P48" t="s">
        <v>391</v>
      </c>
      <c r="T48" s="14" t="s">
        <v>554</v>
      </c>
      <c r="U48" s="15">
        <f t="shared" si="9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SUM(IF(ISNUMBER(FIND("TmAi",$BE$1:$AAQ$1)),IF(IFERROR(ISODD(SUBSTITUTE($BE48:$AAQ48,"A","")),FALSE),IF(ISODD(SUBSTITUTE($BE48:$AAQ48,"A","")),1,0),0)))</f>
        <v>0</v>
      </c>
      <c r="AA48" t="str">
        <f t="shared" si="91"/>
        <v>11A</v>
      </c>
      <c r="AB48" t="str">
        <f t="shared" si="92"/>
        <v>11B</v>
      </c>
      <c r="AC48" s="15" t="s">
        <v>441</v>
      </c>
      <c r="AD48" s="79" t="str">
        <f t="array" ref="AD48">IF(COUNTIFS(AC$2:AC48,AC48)=1,"1",VALUE(SUBSTITUTE(INDEX(AD:AD,_xlfn.XMATCH(AC48,AC$1:AC47,0,-1)),"A",""))+INDEX(AE:AE,_xlfn.XMATCH(AC48,AC$1:AC47,0,-1))+1)</f>
        <v>1</v>
      </c>
      <c r="AE48" s="79">
        <f t="array" ref="AE48">SUM(IF(ISNUMBER(FIND("TmDi",$BE$1:$AAQ$1)),IF(IFERROR(ISNUMBER(VALUE(SUBSTITUTE($BE48:$AAQ48,"B",""))),FALSE),IF(ISNUMBER(VALUE(SUBSTITUTE($BE48:$AAQ48,"B",""))),1,0),0)))</f>
        <v>5</v>
      </c>
      <c r="AF48" t="s">
        <v>133</v>
      </c>
      <c r="AG48" t="s">
        <v>134</v>
      </c>
      <c r="AH48" s="15" t="s">
        <v>388</v>
      </c>
      <c r="AI48" s="73">
        <f t="array" ref="AI48">IF(COUNTIFS(AH$2:AH48,AH48)=1,"1",VALUE(SUBSTITUTE(INDEX(AI:AI,_xlfn.XMATCH(AH48,AH$1:AH47,0,-1)),"A",""))+INDEX(AJ:AJ,_xlfn.XMATCH(AH48,AH$1:AH47,0,-1))+1)</f>
        <v>11</v>
      </c>
      <c r="AJ48" s="73">
        <f t="array" ref="AJ48">SUM(IF(ISNUMBER(FIND("TmDo",$BE$1:$AAQ$1)),IF(IFERROR(ISNUMBER(VALUE(SUBSTITUTE($BE48:$AAQ48,"B",""))),FALSE),IF(ISNUMBER(VALUE(SUBSTITUTE($BE48:$AAQ48,"B",""))),1,0),0)))</f>
        <v>1</v>
      </c>
      <c r="AK48" t="str">
        <f t="shared" si="0"/>
        <v>11A</v>
      </c>
      <c r="AL48" t="str">
        <f t="shared" si="1"/>
        <v>11B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84"/>
        <v>XT47</v>
      </c>
      <c r="GU48" t="str">
        <f t="shared" si="85"/>
        <v>C2</v>
      </c>
      <c r="GV48" t="str">
        <f t="shared" si="96"/>
        <v>B2</v>
      </c>
      <c r="GW48" t="str">
        <f t="shared" si="97"/>
        <v>C3</v>
      </c>
      <c r="GX48" t="str">
        <f t="shared" si="98"/>
        <v>B3</v>
      </c>
      <c r="GY48" t="str">
        <f t="shared" si="99"/>
        <v>C4</v>
      </c>
      <c r="GZ48" t="str">
        <f t="shared" si="100"/>
        <v>B4</v>
      </c>
      <c r="HA48" t="str">
        <f t="shared" si="101"/>
        <v>C5</v>
      </c>
      <c r="HB48" t="str">
        <f t="shared" si="102"/>
        <v>B5</v>
      </c>
      <c r="HC48" t="str">
        <f t="shared" si="103"/>
        <v>C6</v>
      </c>
      <c r="HD48" t="str">
        <f t="shared" si="104"/>
        <v>B6</v>
      </c>
      <c r="HE48" t="str">
        <f t="shared" si="86"/>
        <v>12A</v>
      </c>
      <c r="HF48" t="str">
        <f t="shared" si="87"/>
        <v>12B</v>
      </c>
      <c r="HG48" t="str">
        <f t="shared" si="88"/>
        <v>AI1-11A</v>
      </c>
      <c r="HH48" t="str">
        <f t="shared" si="89"/>
        <v>AI1-11B</v>
      </c>
      <c r="HI48" t="str">
        <f t="shared" si="105"/>
        <v>DI10-C1</v>
      </c>
      <c r="HJ48" t="str">
        <f t="shared" si="106"/>
        <v>DI10-B1</v>
      </c>
      <c r="HK48" t="str">
        <f t="shared" si="107"/>
        <v>DI10-C2</v>
      </c>
      <c r="HL48" t="str">
        <f t="shared" si="108"/>
        <v>DI10-B2</v>
      </c>
      <c r="HM48" t="str">
        <f t="shared" si="109"/>
        <v>DI10-C3</v>
      </c>
      <c r="HN48" t="str">
        <f t="shared" si="110"/>
        <v>DI10-B3</v>
      </c>
      <c r="HO48" t="str">
        <f t="shared" si="111"/>
        <v>DI10-C4</v>
      </c>
      <c r="HP48" t="str">
        <f t="shared" si="112"/>
        <v>DI10-B4</v>
      </c>
      <c r="HQ48" t="str">
        <f t="shared" si="113"/>
        <v>DI10-C5</v>
      </c>
      <c r="HR48" t="str">
        <f t="shared" si="114"/>
        <v>DI10-B5</v>
      </c>
      <c r="HS48" t="str">
        <f t="shared" si="115"/>
        <v>DI10-C6</v>
      </c>
      <c r="HT48" t="str">
        <f t="shared" si="116"/>
        <v>DI10-B6</v>
      </c>
      <c r="HU48" t="str">
        <f t="shared" si="117"/>
        <v>DO6-11A</v>
      </c>
      <c r="HV48" t="str">
        <f t="shared" si="118"/>
        <v>DO6-11B</v>
      </c>
      <c r="HW48" t="str">
        <f t="shared" si="119"/>
        <v>DO6-12A</v>
      </c>
      <c r="HX48" t="str">
        <f t="shared" si="120"/>
        <v>DO6-12B</v>
      </c>
      <c r="HY48" t="str">
        <f t="shared" si="121"/>
        <v>K47-01</v>
      </c>
      <c r="HZ48" t="str">
        <f t="shared" si="122"/>
        <v>K47-02</v>
      </c>
      <c r="IA48" t="str">
        <f t="shared" si="123"/>
        <v>K47-03</v>
      </c>
      <c r="IB48" t="str">
        <f t="shared" si="124"/>
        <v>K47-04</v>
      </c>
      <c r="IC48" t="str">
        <f t="shared" si="125"/>
        <v>K47-05</v>
      </c>
      <c r="ID48" t="str">
        <f t="shared" si="126"/>
        <v>K47-06</v>
      </c>
      <c r="IE48" t="str">
        <f t="shared" si="127"/>
        <v>K47-07</v>
      </c>
      <c r="IF48" t="str">
        <f t="shared" si="128"/>
        <v>K47-08</v>
      </c>
      <c r="IG48" t="str">
        <f t="shared" si="129"/>
        <v>F0-M47-AMS-12</v>
      </c>
      <c r="IH48" t="str">
        <f t="shared" si="130"/>
        <v>F0-M47-AMS-10</v>
      </c>
      <c r="II48" t="str">
        <f t="shared" si="131"/>
        <v>F0-M47-AMS-11</v>
      </c>
      <c r="IJ48" t="str">
        <f t="shared" si="132"/>
        <v>F0-M47-AMS-13</v>
      </c>
      <c r="IK48" t="str">
        <f t="shared" si="133"/>
        <v>F0-M47-AMS-9</v>
      </c>
      <c r="IL48" t="str">
        <f t="shared" si="134"/>
        <v>F0-M47-AMS-7</v>
      </c>
      <c r="IM48" t="str">
        <f t="shared" si="135"/>
        <v>F0-M47-AMS-18</v>
      </c>
      <c r="IN48" t="str">
        <f t="shared" si="136"/>
        <v>F0-M47-AMS-20</v>
      </c>
      <c r="IO48" t="str">
        <f t="shared" si="137"/>
        <v>F0-M47-AMS-17</v>
      </c>
      <c r="IP48" t="str">
        <f t="shared" si="138"/>
        <v>F0-+24-M47</v>
      </c>
      <c r="IQ48" t="str">
        <f t="shared" si="139"/>
        <v>F0-M47-XM01</v>
      </c>
      <c r="IR48" t="str">
        <f t="shared" ref="IR48:JY48" si="143">IR47</f>
        <v>A1</v>
      </c>
      <c r="IS48" t="str">
        <f t="shared" si="143"/>
        <v>A2</v>
      </c>
      <c r="IT48">
        <f t="shared" si="143"/>
        <v>11</v>
      </c>
      <c r="IU48">
        <f t="shared" si="143"/>
        <v>14</v>
      </c>
      <c r="IV48" t="str">
        <f t="shared" si="143"/>
        <v>24v6</v>
      </c>
      <c r="IW48" t="str">
        <f t="shared" si="143"/>
        <v>0v6</v>
      </c>
      <c r="IX48">
        <f t="shared" si="143"/>
        <v>1</v>
      </c>
      <c r="IY48">
        <f t="shared" si="143"/>
        <v>2</v>
      </c>
      <c r="IZ48">
        <f t="shared" si="143"/>
        <v>3</v>
      </c>
      <c r="JA48">
        <f t="shared" si="143"/>
        <v>4</v>
      </c>
      <c r="JB48">
        <f t="shared" si="143"/>
        <v>5</v>
      </c>
      <c r="JC48">
        <f t="shared" si="143"/>
        <v>6</v>
      </c>
      <c r="JD48">
        <f t="shared" si="143"/>
        <v>7</v>
      </c>
      <c r="JE48">
        <f t="shared" si="143"/>
        <v>8</v>
      </c>
      <c r="JF48">
        <f t="shared" si="143"/>
        <v>9</v>
      </c>
      <c r="JG48">
        <f t="shared" si="143"/>
        <v>10</v>
      </c>
      <c r="JH48">
        <f t="shared" si="143"/>
        <v>11</v>
      </c>
      <c r="JI48">
        <f t="shared" si="143"/>
        <v>12</v>
      </c>
      <c r="JJ48">
        <f t="shared" si="143"/>
        <v>13</v>
      </c>
      <c r="JK48">
        <f t="shared" si="143"/>
        <v>14</v>
      </c>
      <c r="JL48">
        <f t="shared" si="143"/>
        <v>17</v>
      </c>
      <c r="JM48">
        <f t="shared" si="143"/>
        <v>15</v>
      </c>
      <c r="JN48">
        <f t="shared" si="143"/>
        <v>18</v>
      </c>
      <c r="JO48">
        <f t="shared" si="143"/>
        <v>11</v>
      </c>
      <c r="JP48">
        <f t="shared" si="143"/>
        <v>9</v>
      </c>
      <c r="JQ48">
        <f t="shared" si="143"/>
        <v>6</v>
      </c>
      <c r="JR48">
        <f t="shared" si="143"/>
        <v>20</v>
      </c>
      <c r="JS48">
        <f t="shared" si="143"/>
        <v>7</v>
      </c>
      <c r="JT48">
        <f t="shared" si="143"/>
        <v>10</v>
      </c>
      <c r="JU48">
        <f t="shared" si="143"/>
        <v>22</v>
      </c>
      <c r="JV48">
        <f t="shared" si="143"/>
        <v>23</v>
      </c>
      <c r="JW48">
        <f t="shared" si="143"/>
        <v>26</v>
      </c>
      <c r="JX48">
        <f t="shared" si="143"/>
        <v>27</v>
      </c>
      <c r="JY48" s="16">
        <f t="shared" si="143"/>
        <v>30</v>
      </c>
    </row>
    <row r="49" spans="1:305" x14ac:dyDescent="0.25">
      <c r="A49" s="83" t="s">
        <v>467</v>
      </c>
      <c r="B49" s="83" t="s">
        <v>466</v>
      </c>
      <c r="P49" t="s">
        <v>391</v>
      </c>
      <c r="T49" s="14" t="s">
        <v>554</v>
      </c>
      <c r="U49" s="15">
        <f t="shared" si="9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SUM(IF(ISNUMBER(FIND("TmAi",$BE$1:$AAQ$1)),IF(IFERROR(ISODD(SUBSTITUTE($BE49:$AAQ49,"A","")),FALSE),IF(ISODD(SUBSTITUTE($BE49:$AAQ49,"A","")),1,0),0)))</f>
        <v>0</v>
      </c>
      <c r="AA49" t="str">
        <f t="shared" si="91"/>
        <v>13A</v>
      </c>
      <c r="AB49" t="str">
        <f t="shared" si="92"/>
        <v>13B</v>
      </c>
      <c r="AC49" s="15" t="s">
        <v>441</v>
      </c>
      <c r="AD49" s="79">
        <f t="array" ref="AD49">IF(COUNTIFS(AC$2:AC49,AC49)=1,"1",VALUE(SUBSTITUTE(INDEX(AD:AD,_xlfn.XMATCH(AC49,AC$1:AC48,0,-1)),"A",""))+INDEX(AE:AE,_xlfn.XMATCH(AC49,AC$1:AC48,0,-1))+1)</f>
        <v>7</v>
      </c>
      <c r="AE49" s="79">
        <f t="array" ref="AE49">SUM(IF(ISNUMBER(FIND("TmDi",$BE$1:$AAQ$1)),IF(IFERROR(ISNUMBER(VALUE(SUBSTITUTE($BE49:$AAQ49,"B",""))),FALSE),IF(ISNUMBER(VALUE(SUBSTITUTE($BE49:$AAQ49,"B",""))),1,0),0)))</f>
        <v>5</v>
      </c>
      <c r="AF49" t="s">
        <v>148</v>
      </c>
      <c r="AG49" t="s">
        <v>149</v>
      </c>
      <c r="AH49" s="15" t="s">
        <v>388</v>
      </c>
      <c r="AI49" s="73">
        <f t="array" ref="AI49">IF(COUNTIFS(AH$2:AH49,AH49)=1,"1",VALUE(SUBSTITUTE(INDEX(AI:AI,_xlfn.XMATCH(AH49,AH$1:AH48,0,-1)),"A",""))+INDEX(AJ:AJ,_xlfn.XMATCH(AH49,AH$1:AH48,0,-1))+1)</f>
        <v>13</v>
      </c>
      <c r="AJ49" s="73">
        <f t="array" ref="AJ49">SUM(IF(ISNUMBER(FIND("TmDo",$BE$1:$AAQ$1)),IF(IFERROR(ISNUMBER(VALUE(SUBSTITUTE($BE49:$AAQ49,"B",""))),FALSE),IF(ISNUMBER(VALUE(SUBSTITUTE($BE49:$AAQ49,"B",""))),1,0),0)))</f>
        <v>1</v>
      </c>
      <c r="AK49" s="15" t="str">
        <f t="shared" si="0"/>
        <v>13A</v>
      </c>
      <c r="AL49" s="15" t="str">
        <f t="shared" si="1"/>
        <v>13B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84"/>
        <v>XT48</v>
      </c>
      <c r="GU49" t="str">
        <f t="shared" si="85"/>
        <v>C8</v>
      </c>
      <c r="GV49" t="str">
        <f t="shared" si="96"/>
        <v>B8</v>
      </c>
      <c r="GW49" t="str">
        <f t="shared" si="97"/>
        <v>C9</v>
      </c>
      <c r="GX49" t="str">
        <f t="shared" si="98"/>
        <v>B9</v>
      </c>
      <c r="GY49" t="str">
        <f t="shared" si="99"/>
        <v>C10</v>
      </c>
      <c r="GZ49" t="str">
        <f t="shared" si="100"/>
        <v>B10</v>
      </c>
      <c r="HA49" t="str">
        <f t="shared" si="101"/>
        <v>C11</v>
      </c>
      <c r="HB49" t="str">
        <f t="shared" si="102"/>
        <v>B11</v>
      </c>
      <c r="HC49" t="str">
        <f t="shared" si="103"/>
        <v>C12</v>
      </c>
      <c r="HD49" t="str">
        <f t="shared" si="104"/>
        <v>B12</v>
      </c>
      <c r="HE49" t="str">
        <f t="shared" si="86"/>
        <v>14A</v>
      </c>
      <c r="HF49" t="str">
        <f t="shared" si="87"/>
        <v>14B</v>
      </c>
      <c r="HG49" t="str">
        <f t="shared" si="88"/>
        <v>AI1-13A</v>
      </c>
      <c r="HH49" t="str">
        <f t="shared" si="89"/>
        <v>AI1-13B</v>
      </c>
      <c r="HI49" t="str">
        <f t="shared" si="105"/>
        <v>DI10-C7</v>
      </c>
      <c r="HJ49" t="str">
        <f t="shared" si="106"/>
        <v>DI10-B7</v>
      </c>
      <c r="HK49" t="str">
        <f t="shared" si="107"/>
        <v>DI10-C8</v>
      </c>
      <c r="HL49" t="str">
        <f t="shared" si="108"/>
        <v>DI10-B8</v>
      </c>
      <c r="HM49" t="str">
        <f t="shared" si="109"/>
        <v>DI10-C9</v>
      </c>
      <c r="HN49" t="str">
        <f t="shared" si="110"/>
        <v>DI10-B9</v>
      </c>
      <c r="HO49" t="str">
        <f t="shared" si="111"/>
        <v>DI10-C10</v>
      </c>
      <c r="HP49" t="str">
        <f t="shared" si="112"/>
        <v>DI10-B10</v>
      </c>
      <c r="HQ49" t="str">
        <f t="shared" si="113"/>
        <v>DI10-C11</v>
      </c>
      <c r="HR49" t="str">
        <f t="shared" si="114"/>
        <v>DI10-B11</v>
      </c>
      <c r="HS49" t="str">
        <f t="shared" si="115"/>
        <v>DI10-C12</v>
      </c>
      <c r="HT49" t="str">
        <f t="shared" si="116"/>
        <v>DI10-B12</v>
      </c>
      <c r="HU49" t="str">
        <f t="shared" si="117"/>
        <v>DO6-13A</v>
      </c>
      <c r="HV49" t="str">
        <f t="shared" si="118"/>
        <v>DO6-13B</v>
      </c>
      <c r="HW49" t="str">
        <f t="shared" si="119"/>
        <v>DO6-14A</v>
      </c>
      <c r="HX49" t="str">
        <f t="shared" si="120"/>
        <v>DO6-14B</v>
      </c>
      <c r="HY49" t="str">
        <f t="shared" si="121"/>
        <v>K48-01</v>
      </c>
      <c r="HZ49" t="str">
        <f t="shared" si="122"/>
        <v>K48-02</v>
      </c>
      <c r="IA49" t="str">
        <f t="shared" si="123"/>
        <v>K48-03</v>
      </c>
      <c r="IB49" t="str">
        <f t="shared" si="124"/>
        <v>K48-04</v>
      </c>
      <c r="IC49" t="str">
        <f t="shared" si="125"/>
        <v>K48-05</v>
      </c>
      <c r="ID49" t="str">
        <f t="shared" si="126"/>
        <v>K48-06</v>
      </c>
      <c r="IE49" t="str">
        <f t="shared" si="127"/>
        <v>K48-07</v>
      </c>
      <c r="IF49" t="str">
        <f t="shared" si="128"/>
        <v>K48-08</v>
      </c>
      <c r="IG49" t="str">
        <f t="shared" si="129"/>
        <v>F0-M48-AMS-12</v>
      </c>
      <c r="IH49" t="str">
        <f t="shared" si="130"/>
        <v>F0-M48-AMS-10</v>
      </c>
      <c r="II49" t="str">
        <f t="shared" si="131"/>
        <v>F0-M48-AMS-11</v>
      </c>
      <c r="IJ49" t="str">
        <f t="shared" si="132"/>
        <v>F0-M48-AMS-13</v>
      </c>
      <c r="IK49" t="str">
        <f t="shared" si="133"/>
        <v>F0-M48-AMS-9</v>
      </c>
      <c r="IL49" t="str">
        <f t="shared" si="134"/>
        <v>F0-M48-AMS-7</v>
      </c>
      <c r="IM49" t="str">
        <f t="shared" si="135"/>
        <v>F0-M48-AMS-18</v>
      </c>
      <c r="IN49" t="str">
        <f t="shared" si="136"/>
        <v>F0-M48-AMS-20</v>
      </c>
      <c r="IO49" t="str">
        <f t="shared" si="137"/>
        <v>F0-M48-AMS-17</v>
      </c>
      <c r="IP49" t="str">
        <f t="shared" si="138"/>
        <v>F0-+24-M48</v>
      </c>
      <c r="IQ49" t="str">
        <f t="shared" si="139"/>
        <v>F0-M48-XM01</v>
      </c>
      <c r="IR49" t="str">
        <f t="shared" ref="IR49:JY49" si="144">IR48</f>
        <v>A1</v>
      </c>
      <c r="IS49" t="str">
        <f t="shared" si="144"/>
        <v>A2</v>
      </c>
      <c r="IT49">
        <f t="shared" si="144"/>
        <v>11</v>
      </c>
      <c r="IU49">
        <f t="shared" si="144"/>
        <v>14</v>
      </c>
      <c r="IV49" t="str">
        <f t="shared" si="144"/>
        <v>24v6</v>
      </c>
      <c r="IW49" t="str">
        <f t="shared" si="144"/>
        <v>0v6</v>
      </c>
      <c r="IX49">
        <f t="shared" si="144"/>
        <v>1</v>
      </c>
      <c r="IY49">
        <f t="shared" si="144"/>
        <v>2</v>
      </c>
      <c r="IZ49">
        <f t="shared" si="144"/>
        <v>3</v>
      </c>
      <c r="JA49">
        <f t="shared" si="144"/>
        <v>4</v>
      </c>
      <c r="JB49">
        <f t="shared" si="144"/>
        <v>5</v>
      </c>
      <c r="JC49">
        <f t="shared" si="144"/>
        <v>6</v>
      </c>
      <c r="JD49">
        <f t="shared" si="144"/>
        <v>7</v>
      </c>
      <c r="JE49">
        <f t="shared" si="144"/>
        <v>8</v>
      </c>
      <c r="JF49">
        <f t="shared" si="144"/>
        <v>9</v>
      </c>
      <c r="JG49">
        <f t="shared" si="144"/>
        <v>10</v>
      </c>
      <c r="JH49">
        <f t="shared" si="144"/>
        <v>11</v>
      </c>
      <c r="JI49">
        <f t="shared" si="144"/>
        <v>12</v>
      </c>
      <c r="JJ49">
        <f t="shared" si="144"/>
        <v>13</v>
      </c>
      <c r="JK49">
        <f t="shared" si="144"/>
        <v>14</v>
      </c>
      <c r="JL49">
        <f t="shared" si="144"/>
        <v>17</v>
      </c>
      <c r="JM49">
        <f t="shared" si="144"/>
        <v>15</v>
      </c>
      <c r="JN49">
        <f t="shared" si="144"/>
        <v>18</v>
      </c>
      <c r="JO49">
        <f t="shared" si="144"/>
        <v>11</v>
      </c>
      <c r="JP49">
        <f t="shared" si="144"/>
        <v>9</v>
      </c>
      <c r="JQ49">
        <f t="shared" si="144"/>
        <v>6</v>
      </c>
      <c r="JR49">
        <f t="shared" si="144"/>
        <v>20</v>
      </c>
      <c r="JS49">
        <f t="shared" si="144"/>
        <v>7</v>
      </c>
      <c r="JT49">
        <f t="shared" si="144"/>
        <v>10</v>
      </c>
      <c r="JU49">
        <f t="shared" si="144"/>
        <v>22</v>
      </c>
      <c r="JV49">
        <f t="shared" si="144"/>
        <v>23</v>
      </c>
      <c r="JW49">
        <f t="shared" si="144"/>
        <v>26</v>
      </c>
      <c r="JX49">
        <f t="shared" si="144"/>
        <v>27</v>
      </c>
      <c r="JY49" s="16">
        <f t="shared" si="144"/>
        <v>30</v>
      </c>
    </row>
    <row r="50" spans="1:305" x14ac:dyDescent="0.25">
      <c r="A50" s="83" t="s">
        <v>469</v>
      </c>
      <c r="B50" s="83" t="s">
        <v>468</v>
      </c>
      <c r="P50" t="s">
        <v>391</v>
      </c>
      <c r="T50" s="14" t="s">
        <v>554</v>
      </c>
      <c r="U50" s="15">
        <f t="shared" si="9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SUM(IF(ISNUMBER(FIND("TmAi",$BE$1:$AAQ$1)),IF(IFERROR(ISODD(SUBSTITUTE($BE50:$AAQ50,"A","")),FALSE),IF(ISODD(SUBSTITUTE($BE50:$AAQ50,"A","")),1,0),0)))</f>
        <v>0</v>
      </c>
      <c r="AA50" t="str">
        <f t="shared" si="91"/>
        <v>15A</v>
      </c>
      <c r="AB50" t="str">
        <f t="shared" si="92"/>
        <v>15B</v>
      </c>
      <c r="AC50" s="15" t="s">
        <v>441</v>
      </c>
      <c r="AD50" s="79">
        <f t="array" ref="AD50">IF(COUNTIFS(AC$2:AC50,AC50)=1,"1",VALUE(SUBSTITUTE(INDEX(AD:AD,_xlfn.XMATCH(AC50,AC$1:AC49,0,-1)),"A",""))+INDEX(AE:AE,_xlfn.XMATCH(AC50,AC$1:AC49,0,-1))+1)</f>
        <v>13</v>
      </c>
      <c r="AE50" s="79">
        <f t="array" ref="AE50">SUM(IF(ISNUMBER(FIND("TmDi",$BE$1:$AAQ$1)),IF(IFERROR(ISNUMBER(VALUE(SUBSTITUTE($BE50:$AAQ50,"B",""))),FALSE),IF(ISNUMBER(VALUE(SUBSTITUTE($BE50:$AAQ50,"B",""))),1,0),0)))</f>
        <v>5</v>
      </c>
      <c r="AF50" t="s">
        <v>153</v>
      </c>
      <c r="AG50" t="s">
        <v>154</v>
      </c>
      <c r="AH50" s="15" t="s">
        <v>388</v>
      </c>
      <c r="AI50" s="73">
        <f t="array" ref="AI50">IF(COUNTIFS(AH$2:AH50,AH50)=1,"1",VALUE(SUBSTITUTE(INDEX(AI:AI,_xlfn.XMATCH(AH50,AH$1:AH49,0,-1)),"A",""))+INDEX(AJ:AJ,_xlfn.XMATCH(AH50,AH$1:AH49,0,-1))+1)</f>
        <v>15</v>
      </c>
      <c r="AJ50" s="73">
        <f t="array" ref="AJ50">SUM(IF(ISNUMBER(FIND("TmDo",$BE$1:$AAQ$1)),IF(IFERROR(ISNUMBER(VALUE(SUBSTITUTE($BE50:$AAQ50,"B",""))),FALSE),IF(ISNUMBER(VALUE(SUBSTITUTE($BE50:$AAQ50,"B",""))),1,0),0)))</f>
        <v>1</v>
      </c>
      <c r="AK50" t="str">
        <f t="shared" si="0"/>
        <v>15A</v>
      </c>
      <c r="AL50" t="str">
        <f t="shared" si="1"/>
        <v>15B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84"/>
        <v>XT49</v>
      </c>
      <c r="GU50" t="str">
        <f t="shared" si="85"/>
        <v>C14</v>
      </c>
      <c r="GV50" t="str">
        <f t="shared" si="96"/>
        <v>B14</v>
      </c>
      <c r="GW50" t="str">
        <f t="shared" si="97"/>
        <v>C15</v>
      </c>
      <c r="GX50" t="str">
        <f t="shared" si="98"/>
        <v>B15</v>
      </c>
      <c r="GY50" t="str">
        <f t="shared" si="99"/>
        <v>C16</v>
      </c>
      <c r="GZ50" t="str">
        <f t="shared" si="100"/>
        <v>B16</v>
      </c>
      <c r="HA50" t="str">
        <f t="shared" si="101"/>
        <v>C17</v>
      </c>
      <c r="HB50" t="str">
        <f t="shared" si="102"/>
        <v>B17</v>
      </c>
      <c r="HC50" t="str">
        <f t="shared" si="103"/>
        <v>C18</v>
      </c>
      <c r="HD50" t="str">
        <f t="shared" si="104"/>
        <v>B18</v>
      </c>
      <c r="HE50" t="str">
        <f t="shared" si="86"/>
        <v>16A</v>
      </c>
      <c r="HF50" t="str">
        <f t="shared" si="87"/>
        <v>16B</v>
      </c>
      <c r="HG50" t="str">
        <f t="shared" si="88"/>
        <v>AI1-15A</v>
      </c>
      <c r="HH50" t="str">
        <f t="shared" si="89"/>
        <v>AI1-15B</v>
      </c>
      <c r="HI50" t="str">
        <f t="shared" si="105"/>
        <v>DI10-C13</v>
      </c>
      <c r="HJ50" t="str">
        <f t="shared" si="106"/>
        <v>DI10-B13</v>
      </c>
      <c r="HK50" t="str">
        <f t="shared" si="107"/>
        <v>DI10-C14</v>
      </c>
      <c r="HL50" t="str">
        <f t="shared" si="108"/>
        <v>DI10-B14</v>
      </c>
      <c r="HM50" t="str">
        <f t="shared" si="109"/>
        <v>DI10-C15</v>
      </c>
      <c r="HN50" t="str">
        <f t="shared" si="110"/>
        <v>DI10-B15</v>
      </c>
      <c r="HO50" t="str">
        <f t="shared" si="111"/>
        <v>DI10-C16</v>
      </c>
      <c r="HP50" t="str">
        <f t="shared" si="112"/>
        <v>DI10-B16</v>
      </c>
      <c r="HQ50" t="str">
        <f t="shared" si="113"/>
        <v>DI10-C17</v>
      </c>
      <c r="HR50" t="str">
        <f t="shared" si="114"/>
        <v>DI10-B17</v>
      </c>
      <c r="HS50" t="str">
        <f t="shared" si="115"/>
        <v>DI10-C18</v>
      </c>
      <c r="HT50" t="str">
        <f t="shared" si="116"/>
        <v>DI10-B18</v>
      </c>
      <c r="HU50" t="str">
        <f t="shared" si="117"/>
        <v>DO6-15A</v>
      </c>
      <c r="HV50" t="str">
        <f t="shared" si="118"/>
        <v>DO6-15B</v>
      </c>
      <c r="HW50" t="str">
        <f t="shared" si="119"/>
        <v>DO6-16A</v>
      </c>
      <c r="HX50" t="str">
        <f t="shared" si="120"/>
        <v>DO6-16B</v>
      </c>
      <c r="HY50" t="str">
        <f t="shared" si="121"/>
        <v>K49-01</v>
      </c>
      <c r="HZ50" t="str">
        <f t="shared" si="122"/>
        <v>K49-02</v>
      </c>
      <c r="IA50" t="str">
        <f t="shared" si="123"/>
        <v>K49-03</v>
      </c>
      <c r="IB50" t="str">
        <f t="shared" si="124"/>
        <v>K49-04</v>
      </c>
      <c r="IC50" t="str">
        <f t="shared" si="125"/>
        <v>K49-05</v>
      </c>
      <c r="ID50" t="str">
        <f t="shared" si="126"/>
        <v>K49-06</v>
      </c>
      <c r="IE50" t="str">
        <f t="shared" si="127"/>
        <v>K49-07</v>
      </c>
      <c r="IF50" t="str">
        <f t="shared" si="128"/>
        <v>K49-08</v>
      </c>
      <c r="IG50" t="str">
        <f t="shared" si="129"/>
        <v>F0-M49-AMS-12</v>
      </c>
      <c r="IH50" t="str">
        <f t="shared" si="130"/>
        <v>F0-M49-AMS-10</v>
      </c>
      <c r="II50" t="str">
        <f t="shared" si="131"/>
        <v>F0-M49-AMS-11</v>
      </c>
      <c r="IJ50" t="str">
        <f t="shared" si="132"/>
        <v>F0-M49-AMS-13</v>
      </c>
      <c r="IK50" t="str">
        <f t="shared" si="133"/>
        <v>F0-M49-AMS-9</v>
      </c>
      <c r="IL50" t="str">
        <f t="shared" si="134"/>
        <v>F0-M49-AMS-7</v>
      </c>
      <c r="IM50" t="str">
        <f t="shared" si="135"/>
        <v>F0-M49-AMS-18</v>
      </c>
      <c r="IN50" t="str">
        <f t="shared" si="136"/>
        <v>F0-M49-AMS-20</v>
      </c>
      <c r="IO50" t="str">
        <f t="shared" si="137"/>
        <v>F0-M49-AMS-17</v>
      </c>
      <c r="IP50" t="str">
        <f t="shared" si="138"/>
        <v>F0-+24-M49</v>
      </c>
      <c r="IQ50" t="str">
        <f t="shared" si="139"/>
        <v>F0-M49-XM01</v>
      </c>
      <c r="IR50" t="str">
        <f t="shared" ref="IR50:JY50" si="145">IR49</f>
        <v>A1</v>
      </c>
      <c r="IS50" t="str">
        <f t="shared" si="145"/>
        <v>A2</v>
      </c>
      <c r="IT50">
        <f t="shared" si="145"/>
        <v>11</v>
      </c>
      <c r="IU50">
        <f t="shared" si="145"/>
        <v>14</v>
      </c>
      <c r="IV50" t="str">
        <f t="shared" si="145"/>
        <v>24v6</v>
      </c>
      <c r="IW50" t="str">
        <f t="shared" si="145"/>
        <v>0v6</v>
      </c>
      <c r="IX50">
        <f t="shared" si="145"/>
        <v>1</v>
      </c>
      <c r="IY50">
        <f t="shared" si="145"/>
        <v>2</v>
      </c>
      <c r="IZ50">
        <f t="shared" si="145"/>
        <v>3</v>
      </c>
      <c r="JA50">
        <f t="shared" si="145"/>
        <v>4</v>
      </c>
      <c r="JB50">
        <f t="shared" si="145"/>
        <v>5</v>
      </c>
      <c r="JC50">
        <f t="shared" si="145"/>
        <v>6</v>
      </c>
      <c r="JD50">
        <f t="shared" si="145"/>
        <v>7</v>
      </c>
      <c r="JE50">
        <f t="shared" si="145"/>
        <v>8</v>
      </c>
      <c r="JF50">
        <f t="shared" si="145"/>
        <v>9</v>
      </c>
      <c r="JG50">
        <f t="shared" si="145"/>
        <v>10</v>
      </c>
      <c r="JH50">
        <f t="shared" si="145"/>
        <v>11</v>
      </c>
      <c r="JI50">
        <f t="shared" si="145"/>
        <v>12</v>
      </c>
      <c r="JJ50">
        <f t="shared" si="145"/>
        <v>13</v>
      </c>
      <c r="JK50">
        <f t="shared" si="145"/>
        <v>14</v>
      </c>
      <c r="JL50">
        <f t="shared" si="145"/>
        <v>17</v>
      </c>
      <c r="JM50">
        <f t="shared" si="145"/>
        <v>15</v>
      </c>
      <c r="JN50">
        <f t="shared" si="145"/>
        <v>18</v>
      </c>
      <c r="JO50">
        <f t="shared" si="145"/>
        <v>11</v>
      </c>
      <c r="JP50">
        <f t="shared" si="145"/>
        <v>9</v>
      </c>
      <c r="JQ50">
        <f t="shared" si="145"/>
        <v>6</v>
      </c>
      <c r="JR50">
        <f t="shared" si="145"/>
        <v>20</v>
      </c>
      <c r="JS50">
        <f t="shared" si="145"/>
        <v>7</v>
      </c>
      <c r="JT50">
        <f t="shared" si="145"/>
        <v>10</v>
      </c>
      <c r="JU50">
        <f t="shared" si="145"/>
        <v>22</v>
      </c>
      <c r="JV50">
        <f t="shared" si="145"/>
        <v>23</v>
      </c>
      <c r="JW50">
        <f t="shared" si="145"/>
        <v>26</v>
      </c>
      <c r="JX50">
        <f t="shared" si="145"/>
        <v>27</v>
      </c>
      <c r="JY50" s="16">
        <f t="shared" si="145"/>
        <v>30</v>
      </c>
    </row>
    <row r="51" spans="1:305" x14ac:dyDescent="0.25">
      <c r="A51" s="83" t="s">
        <v>471</v>
      </c>
      <c r="B51" s="84" t="s">
        <v>470</v>
      </c>
      <c r="P51" t="s">
        <v>391</v>
      </c>
      <c r="T51" s="14" t="s">
        <v>554</v>
      </c>
      <c r="U51" s="15">
        <f t="shared" si="9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SUM(IF(ISNUMBER(FIND("TmAi",$BE$1:$AAQ$1)),IF(IFERROR(ISODD(SUBSTITUTE($BE51:$AAQ51,"A","")),FALSE),IF(ISODD(SUBSTITUTE($BE51:$AAQ51,"A","")),1,0),0)))</f>
        <v>0</v>
      </c>
      <c r="AA51" t="str">
        <f t="shared" si="91"/>
        <v>1A</v>
      </c>
      <c r="AB51" t="str">
        <f t="shared" si="92"/>
        <v>1B</v>
      </c>
      <c r="AC51" s="15" t="s">
        <v>441</v>
      </c>
      <c r="AD51" s="79">
        <f t="array" ref="AD51">IF(COUNTIFS(AC$2:AC51,AC51)=1,"1",VALUE(SUBSTITUTE(INDEX(AD:AD,_xlfn.XMATCH(AC51,AC$1:AC50,0,-1)),"A",""))+INDEX(AE:AE,_xlfn.XMATCH(AC51,AC$1:AC50,0,-1))+1)</f>
        <v>19</v>
      </c>
      <c r="AE51" s="79">
        <f t="array" ref="AE51">SUM(IF(ISNUMBER(FIND("TmDi",$BE$1:$AAQ$1)),IF(IFERROR(ISNUMBER(VALUE(SUBSTITUTE($BE51:$AAQ51,"B",""))),FALSE),IF(ISNUMBER(VALUE(SUBSTITUTE($BE51:$AAQ51,"B",""))),1,0),0)))</f>
        <v>5</v>
      </c>
      <c r="AF51" t="s">
        <v>239</v>
      </c>
      <c r="AG51" t="s">
        <v>241</v>
      </c>
      <c r="AH51" s="15" t="s">
        <v>388</v>
      </c>
      <c r="AI51" s="73">
        <f t="array" ref="AI51">IF(COUNTIFS(AH$2:AH51,AH51)=1,"1",VALUE(SUBSTITUTE(INDEX(AI:AI,_xlfn.XMATCH(AH51,AH$1:AH50,0,-1)),"A",""))+INDEX(AJ:AJ,_xlfn.XMATCH(AH51,AH$1:AH50,0,-1))+1)</f>
        <v>17</v>
      </c>
      <c r="AJ51" s="73">
        <f t="array" ref="AJ51">SUM(IF(ISNUMBER(FIND("TmDo",$BE$1:$AAQ$1)),IF(IFERROR(ISNUMBER(VALUE(SUBSTITUTE($BE51:$AAQ51,"B",""))),FALSE),IF(ISNUMBER(VALUE(SUBSTITUTE($BE51:$AAQ51,"B",""))),1,0),0)))</f>
        <v>1</v>
      </c>
      <c r="AK51" s="15" t="str">
        <f t="shared" si="0"/>
        <v>17A</v>
      </c>
      <c r="AL51" s="15" t="str">
        <f t="shared" si="1"/>
        <v>17B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84"/>
        <v>XT50</v>
      </c>
      <c r="GU51" t="str">
        <f t="shared" si="85"/>
        <v>C20</v>
      </c>
      <c r="GV51" t="str">
        <f t="shared" si="96"/>
        <v>B20</v>
      </c>
      <c r="GW51" t="str">
        <f t="shared" si="97"/>
        <v>C21</v>
      </c>
      <c r="GX51" t="str">
        <f t="shared" si="98"/>
        <v>B21</v>
      </c>
      <c r="GY51" t="str">
        <f t="shared" si="99"/>
        <v>C22</v>
      </c>
      <c r="GZ51" t="str">
        <f t="shared" si="100"/>
        <v>B22</v>
      </c>
      <c r="HA51" t="str">
        <f t="shared" si="101"/>
        <v>C23</v>
      </c>
      <c r="HB51" t="str">
        <f t="shared" si="102"/>
        <v>B23</v>
      </c>
      <c r="HC51" t="str">
        <f t="shared" si="103"/>
        <v>C24</v>
      </c>
      <c r="HD51" t="str">
        <f t="shared" si="104"/>
        <v>B24</v>
      </c>
      <c r="HE51" t="str">
        <f t="shared" si="86"/>
        <v>18A</v>
      </c>
      <c r="HF51" t="str">
        <f t="shared" si="87"/>
        <v>18B</v>
      </c>
      <c r="HG51" t="str">
        <f t="shared" si="88"/>
        <v>AI2-1A</v>
      </c>
      <c r="HH51" t="str">
        <f t="shared" si="89"/>
        <v>AI2-1B</v>
      </c>
      <c r="HI51" t="str">
        <f t="shared" si="105"/>
        <v>DI10-C19</v>
      </c>
      <c r="HJ51" t="str">
        <f t="shared" si="106"/>
        <v>DI10-B19</v>
      </c>
      <c r="HK51" t="str">
        <f t="shared" si="107"/>
        <v>DI10-C20</v>
      </c>
      <c r="HL51" t="str">
        <f t="shared" si="108"/>
        <v>DI10-B20</v>
      </c>
      <c r="HM51" t="str">
        <f t="shared" si="109"/>
        <v>DI10-C21</v>
      </c>
      <c r="HN51" t="str">
        <f t="shared" si="110"/>
        <v>DI10-B21</v>
      </c>
      <c r="HO51" t="str">
        <f t="shared" si="111"/>
        <v>DI10-C22</v>
      </c>
      <c r="HP51" t="str">
        <f t="shared" si="112"/>
        <v>DI10-B22</v>
      </c>
      <c r="HQ51" t="str">
        <f t="shared" si="113"/>
        <v>DI10-C23</v>
      </c>
      <c r="HR51" t="str">
        <f t="shared" si="114"/>
        <v>DI10-B23</v>
      </c>
      <c r="HS51" t="str">
        <f t="shared" si="115"/>
        <v>DI10-C24</v>
      </c>
      <c r="HT51" t="str">
        <f t="shared" si="116"/>
        <v>DI10-B24</v>
      </c>
      <c r="HU51" t="str">
        <f t="shared" si="117"/>
        <v>DO6-17A</v>
      </c>
      <c r="HV51" t="str">
        <f t="shared" si="118"/>
        <v>DO6-17B</v>
      </c>
      <c r="HW51" t="str">
        <f t="shared" si="119"/>
        <v>DO6-18A</v>
      </c>
      <c r="HX51" t="str">
        <f t="shared" si="120"/>
        <v>DO6-18B</v>
      </c>
      <c r="HY51" t="str">
        <f t="shared" si="121"/>
        <v>K50-01</v>
      </c>
      <c r="HZ51" t="str">
        <f t="shared" si="122"/>
        <v>K50-02</v>
      </c>
      <c r="IA51" t="str">
        <f t="shared" si="123"/>
        <v>K50-03</v>
      </c>
      <c r="IB51" t="str">
        <f t="shared" si="124"/>
        <v>K50-04</v>
      </c>
      <c r="IC51" t="str">
        <f t="shared" si="125"/>
        <v>K50-05</v>
      </c>
      <c r="ID51" t="str">
        <f t="shared" si="126"/>
        <v>K50-06</v>
      </c>
      <c r="IE51" t="str">
        <f t="shared" si="127"/>
        <v>K50-07</v>
      </c>
      <c r="IF51" t="str">
        <f t="shared" si="128"/>
        <v>K50-08</v>
      </c>
      <c r="IG51" t="str">
        <f t="shared" si="129"/>
        <v>F0-M50-AMS-12</v>
      </c>
      <c r="IH51" t="str">
        <f t="shared" si="130"/>
        <v>F0-M50-AMS-10</v>
      </c>
      <c r="II51" t="str">
        <f t="shared" si="131"/>
        <v>F0-M50-AMS-11</v>
      </c>
      <c r="IJ51" t="str">
        <f t="shared" si="132"/>
        <v>F0-M50-AMS-13</v>
      </c>
      <c r="IK51" t="str">
        <f t="shared" si="133"/>
        <v>F0-M50-AMS-9</v>
      </c>
      <c r="IL51" t="str">
        <f t="shared" si="134"/>
        <v>F0-M50-AMS-7</v>
      </c>
      <c r="IM51" t="str">
        <f t="shared" si="135"/>
        <v>F0-M50-AMS-18</v>
      </c>
      <c r="IN51" t="str">
        <f t="shared" si="136"/>
        <v>F0-M50-AMS-20</v>
      </c>
      <c r="IO51" t="str">
        <f t="shared" si="137"/>
        <v>F0-M50-AMS-17</v>
      </c>
      <c r="IP51" t="str">
        <f t="shared" si="138"/>
        <v>F0-+24-M50</v>
      </c>
      <c r="IQ51" t="str">
        <f t="shared" si="139"/>
        <v>F0-M50-XM01</v>
      </c>
      <c r="IR51" t="str">
        <f t="shared" ref="IR51:JY51" si="146">IR50</f>
        <v>A1</v>
      </c>
      <c r="IS51" t="str">
        <f t="shared" si="146"/>
        <v>A2</v>
      </c>
      <c r="IT51">
        <f t="shared" si="146"/>
        <v>11</v>
      </c>
      <c r="IU51">
        <f t="shared" si="146"/>
        <v>14</v>
      </c>
      <c r="IV51" t="str">
        <f t="shared" si="146"/>
        <v>24v6</v>
      </c>
      <c r="IW51" t="str">
        <f t="shared" si="146"/>
        <v>0v6</v>
      </c>
      <c r="IX51">
        <f t="shared" si="146"/>
        <v>1</v>
      </c>
      <c r="IY51">
        <f t="shared" si="146"/>
        <v>2</v>
      </c>
      <c r="IZ51">
        <f t="shared" si="146"/>
        <v>3</v>
      </c>
      <c r="JA51">
        <f t="shared" si="146"/>
        <v>4</v>
      </c>
      <c r="JB51">
        <f t="shared" si="146"/>
        <v>5</v>
      </c>
      <c r="JC51">
        <f t="shared" si="146"/>
        <v>6</v>
      </c>
      <c r="JD51">
        <f t="shared" si="146"/>
        <v>7</v>
      </c>
      <c r="JE51">
        <f t="shared" si="146"/>
        <v>8</v>
      </c>
      <c r="JF51">
        <f t="shared" si="146"/>
        <v>9</v>
      </c>
      <c r="JG51">
        <f t="shared" si="146"/>
        <v>10</v>
      </c>
      <c r="JH51">
        <f t="shared" si="146"/>
        <v>11</v>
      </c>
      <c r="JI51">
        <f t="shared" si="146"/>
        <v>12</v>
      </c>
      <c r="JJ51">
        <f t="shared" si="146"/>
        <v>13</v>
      </c>
      <c r="JK51">
        <f t="shared" si="146"/>
        <v>14</v>
      </c>
      <c r="JL51">
        <f t="shared" si="146"/>
        <v>17</v>
      </c>
      <c r="JM51">
        <f t="shared" si="146"/>
        <v>15</v>
      </c>
      <c r="JN51">
        <f t="shared" si="146"/>
        <v>18</v>
      </c>
      <c r="JO51">
        <f t="shared" si="146"/>
        <v>11</v>
      </c>
      <c r="JP51">
        <f t="shared" si="146"/>
        <v>9</v>
      </c>
      <c r="JQ51">
        <f t="shared" si="146"/>
        <v>6</v>
      </c>
      <c r="JR51">
        <f t="shared" si="146"/>
        <v>20</v>
      </c>
      <c r="JS51">
        <f t="shared" si="146"/>
        <v>7</v>
      </c>
      <c r="JT51">
        <f t="shared" si="146"/>
        <v>10</v>
      </c>
      <c r="JU51">
        <f t="shared" si="146"/>
        <v>22</v>
      </c>
      <c r="JV51">
        <f t="shared" si="146"/>
        <v>23</v>
      </c>
      <c r="JW51">
        <f t="shared" si="146"/>
        <v>26</v>
      </c>
      <c r="JX51">
        <f t="shared" si="146"/>
        <v>27</v>
      </c>
      <c r="JY51" s="16">
        <f t="shared" si="146"/>
        <v>30</v>
      </c>
    </row>
    <row r="52" spans="1:305" x14ac:dyDescent="0.25">
      <c r="A52" s="83" t="s">
        <v>473</v>
      </c>
      <c r="B52" s="83" t="s">
        <v>472</v>
      </c>
      <c r="P52" t="s">
        <v>391</v>
      </c>
      <c r="T52" s="14" t="s">
        <v>554</v>
      </c>
      <c r="U52" s="15">
        <f t="shared" si="9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SUM(IF(ISNUMBER(FIND("TmAi",$BE$1:$AAQ$1)),IF(IFERROR(ISODD(SUBSTITUTE($BE52:$AAQ52,"A","")),FALSE),IF(ISODD(SUBSTITUTE($BE52:$AAQ52,"A","")),1,0),0)))</f>
        <v>0</v>
      </c>
      <c r="AA52" t="str">
        <f t="shared" si="91"/>
        <v>3A</v>
      </c>
      <c r="AB52" t="str">
        <f t="shared" si="92"/>
        <v>3B</v>
      </c>
      <c r="AC52" s="15" t="s">
        <v>441</v>
      </c>
      <c r="AD52" s="79">
        <f t="array" ref="AD52">IF(COUNTIFS(AC$2:AC52,AC52)=1,"1",VALUE(SUBSTITUTE(INDEX(AD:AD,_xlfn.XMATCH(AC52,AC$1:AC51,0,-1)),"A",""))+INDEX(AE:AE,_xlfn.XMATCH(AC52,AC$1:AC51,0,-1))+1)</f>
        <v>25</v>
      </c>
      <c r="AE52" s="79">
        <f t="array" ref="AE52">SUM(IF(ISNUMBER(FIND("TmDi",$BE$1:$AAQ$1)),IF(IFERROR(ISNUMBER(VALUE(SUBSTITUTE($BE52:$AAQ52,"B",""))),FALSE),IF(ISNUMBER(VALUE(SUBSTITUTE($BE52:$AAQ52,"B",""))),1,0),0)))</f>
        <v>5</v>
      </c>
      <c r="AF52" t="s">
        <v>240</v>
      </c>
      <c r="AG52" t="s">
        <v>242</v>
      </c>
      <c r="AH52" s="15" t="s">
        <v>388</v>
      </c>
      <c r="AI52" s="73">
        <f t="array" ref="AI52">IF(COUNTIFS(AH$2:AH52,AH52)=1,"1",VALUE(SUBSTITUTE(INDEX(AI:AI,_xlfn.XMATCH(AH52,AH$1:AH51,0,-1)),"A",""))+INDEX(AJ:AJ,_xlfn.XMATCH(AH52,AH$1:AH51,0,-1))+1)</f>
        <v>19</v>
      </c>
      <c r="AJ52" s="73">
        <f t="array" ref="AJ52">SUM(IF(ISNUMBER(FIND("TmDo",$BE$1:$AAQ$1)),IF(IFERROR(ISNUMBER(VALUE(SUBSTITUTE($BE52:$AAQ52,"B",""))),FALSE),IF(ISNUMBER(VALUE(SUBSTITUTE($BE52:$AAQ52,"B",""))),1,0),0)))</f>
        <v>1</v>
      </c>
      <c r="AK52" t="str">
        <f t="shared" si="0"/>
        <v>19A</v>
      </c>
      <c r="AL52" t="str">
        <f t="shared" si="1"/>
        <v>19B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84"/>
        <v>XT51</v>
      </c>
      <c r="GU52" t="str">
        <f t="shared" si="85"/>
        <v>C26</v>
      </c>
      <c r="GV52" t="str">
        <f t="shared" si="96"/>
        <v>B26</v>
      </c>
      <c r="GW52" t="str">
        <f t="shared" si="97"/>
        <v>C27</v>
      </c>
      <c r="GX52" t="str">
        <f t="shared" si="98"/>
        <v>B27</v>
      </c>
      <c r="GY52" t="str">
        <f t="shared" si="99"/>
        <v>C28</v>
      </c>
      <c r="GZ52" t="str">
        <f t="shared" si="100"/>
        <v>B28</v>
      </c>
      <c r="HA52" t="str">
        <f t="shared" si="101"/>
        <v>C29</v>
      </c>
      <c r="HB52" t="str">
        <f t="shared" si="102"/>
        <v>B29</v>
      </c>
      <c r="HC52" t="str">
        <f t="shared" si="103"/>
        <v>C30</v>
      </c>
      <c r="HD52" t="str">
        <f t="shared" si="104"/>
        <v>B30</v>
      </c>
      <c r="HE52" t="str">
        <f t="shared" si="86"/>
        <v>20A</v>
      </c>
      <c r="HF52" t="str">
        <f t="shared" si="87"/>
        <v>20B</v>
      </c>
      <c r="HG52" t="str">
        <f t="shared" si="88"/>
        <v>AI2-3A</v>
      </c>
      <c r="HH52" t="str">
        <f t="shared" si="89"/>
        <v>AI2-3B</v>
      </c>
      <c r="HI52" t="str">
        <f t="shared" si="105"/>
        <v>DI10-C25</v>
      </c>
      <c r="HJ52" t="str">
        <f t="shared" si="106"/>
        <v>DI10-B25</v>
      </c>
      <c r="HK52" t="str">
        <f t="shared" si="107"/>
        <v>DI10-C26</v>
      </c>
      <c r="HL52" t="str">
        <f t="shared" si="108"/>
        <v>DI10-B26</v>
      </c>
      <c r="HM52" t="str">
        <f t="shared" si="109"/>
        <v>DI10-C27</v>
      </c>
      <c r="HN52" t="str">
        <f t="shared" si="110"/>
        <v>DI10-B27</v>
      </c>
      <c r="HO52" t="str">
        <f t="shared" si="111"/>
        <v>DI10-C28</v>
      </c>
      <c r="HP52" t="str">
        <f t="shared" si="112"/>
        <v>DI10-B28</v>
      </c>
      <c r="HQ52" t="str">
        <f t="shared" si="113"/>
        <v>DI10-C29</v>
      </c>
      <c r="HR52" t="str">
        <f t="shared" si="114"/>
        <v>DI10-B29</v>
      </c>
      <c r="HS52" t="str">
        <f t="shared" si="115"/>
        <v>DI10-C30</v>
      </c>
      <c r="HT52" t="str">
        <f t="shared" si="116"/>
        <v>DI10-B30</v>
      </c>
      <c r="HU52" t="str">
        <f t="shared" si="117"/>
        <v>DO6-19A</v>
      </c>
      <c r="HV52" t="str">
        <f t="shared" si="118"/>
        <v>DO6-19B</v>
      </c>
      <c r="HW52" t="str">
        <f t="shared" si="119"/>
        <v>DO6-20A</v>
      </c>
      <c r="HX52" t="str">
        <f t="shared" si="120"/>
        <v>DO6-20B</v>
      </c>
      <c r="HY52" t="str">
        <f t="shared" si="121"/>
        <v>K51-01</v>
      </c>
      <c r="HZ52" t="str">
        <f t="shared" si="122"/>
        <v>K51-02</v>
      </c>
      <c r="IA52" t="str">
        <f t="shared" si="123"/>
        <v>K51-03</v>
      </c>
      <c r="IB52" t="str">
        <f t="shared" si="124"/>
        <v>K51-04</v>
      </c>
      <c r="IC52" t="str">
        <f t="shared" si="125"/>
        <v>K51-05</v>
      </c>
      <c r="ID52" t="str">
        <f t="shared" si="126"/>
        <v>K51-06</v>
      </c>
      <c r="IE52" t="str">
        <f t="shared" si="127"/>
        <v>K51-07</v>
      </c>
      <c r="IF52" t="str">
        <f t="shared" si="128"/>
        <v>K51-08</v>
      </c>
      <c r="IG52" t="str">
        <f t="shared" si="129"/>
        <v>F0-M51-AMS-12</v>
      </c>
      <c r="IH52" t="str">
        <f t="shared" si="130"/>
        <v>F0-M51-AMS-10</v>
      </c>
      <c r="II52" t="str">
        <f t="shared" si="131"/>
        <v>F0-M51-AMS-11</v>
      </c>
      <c r="IJ52" t="str">
        <f t="shared" si="132"/>
        <v>F0-M51-AMS-13</v>
      </c>
      <c r="IK52" t="str">
        <f t="shared" si="133"/>
        <v>F0-M51-AMS-9</v>
      </c>
      <c r="IL52" t="str">
        <f t="shared" si="134"/>
        <v>F0-M51-AMS-7</v>
      </c>
      <c r="IM52" t="str">
        <f t="shared" si="135"/>
        <v>F0-M51-AMS-18</v>
      </c>
      <c r="IN52" t="str">
        <f t="shared" si="136"/>
        <v>F0-M51-AMS-20</v>
      </c>
      <c r="IO52" t="str">
        <f t="shared" si="137"/>
        <v>F0-M51-AMS-17</v>
      </c>
      <c r="IP52" t="str">
        <f t="shared" si="138"/>
        <v>F0-+24-M51</v>
      </c>
      <c r="IQ52" t="str">
        <f t="shared" si="139"/>
        <v>F0-M51-XM01</v>
      </c>
      <c r="IR52" t="str">
        <f t="shared" ref="IR52:JY52" si="147">IR51</f>
        <v>A1</v>
      </c>
      <c r="IS52" t="str">
        <f t="shared" si="147"/>
        <v>A2</v>
      </c>
      <c r="IT52">
        <f t="shared" si="147"/>
        <v>11</v>
      </c>
      <c r="IU52">
        <f t="shared" si="147"/>
        <v>14</v>
      </c>
      <c r="IV52" t="str">
        <f t="shared" si="147"/>
        <v>24v6</v>
      </c>
      <c r="IW52" t="str">
        <f t="shared" si="147"/>
        <v>0v6</v>
      </c>
      <c r="IX52">
        <f t="shared" si="147"/>
        <v>1</v>
      </c>
      <c r="IY52">
        <f t="shared" si="147"/>
        <v>2</v>
      </c>
      <c r="IZ52">
        <f t="shared" si="147"/>
        <v>3</v>
      </c>
      <c r="JA52">
        <f t="shared" si="147"/>
        <v>4</v>
      </c>
      <c r="JB52">
        <f t="shared" si="147"/>
        <v>5</v>
      </c>
      <c r="JC52">
        <f t="shared" si="147"/>
        <v>6</v>
      </c>
      <c r="JD52">
        <f t="shared" si="147"/>
        <v>7</v>
      </c>
      <c r="JE52">
        <f t="shared" si="147"/>
        <v>8</v>
      </c>
      <c r="JF52">
        <f t="shared" si="147"/>
        <v>9</v>
      </c>
      <c r="JG52">
        <f t="shared" si="147"/>
        <v>10</v>
      </c>
      <c r="JH52">
        <f t="shared" si="147"/>
        <v>11</v>
      </c>
      <c r="JI52">
        <f t="shared" si="147"/>
        <v>12</v>
      </c>
      <c r="JJ52">
        <f t="shared" si="147"/>
        <v>13</v>
      </c>
      <c r="JK52">
        <f t="shared" si="147"/>
        <v>14</v>
      </c>
      <c r="JL52">
        <f t="shared" si="147"/>
        <v>17</v>
      </c>
      <c r="JM52">
        <f t="shared" si="147"/>
        <v>15</v>
      </c>
      <c r="JN52">
        <f t="shared" si="147"/>
        <v>18</v>
      </c>
      <c r="JO52">
        <f t="shared" si="147"/>
        <v>11</v>
      </c>
      <c r="JP52">
        <f t="shared" si="147"/>
        <v>9</v>
      </c>
      <c r="JQ52">
        <f t="shared" si="147"/>
        <v>6</v>
      </c>
      <c r="JR52">
        <f t="shared" si="147"/>
        <v>20</v>
      </c>
      <c r="JS52">
        <f t="shared" si="147"/>
        <v>7</v>
      </c>
      <c r="JT52">
        <f t="shared" si="147"/>
        <v>10</v>
      </c>
      <c r="JU52">
        <f t="shared" si="147"/>
        <v>22</v>
      </c>
      <c r="JV52">
        <f t="shared" si="147"/>
        <v>23</v>
      </c>
      <c r="JW52">
        <f t="shared" si="147"/>
        <v>26</v>
      </c>
      <c r="JX52">
        <f t="shared" si="147"/>
        <v>27</v>
      </c>
      <c r="JY52" s="16">
        <f t="shared" si="147"/>
        <v>30</v>
      </c>
    </row>
    <row r="53" spans="1:305" x14ac:dyDescent="0.25">
      <c r="A53" s="83" t="s">
        <v>477</v>
      </c>
      <c r="B53" s="83" t="s">
        <v>476</v>
      </c>
      <c r="P53" t="s">
        <v>391</v>
      </c>
      <c r="T53" s="14" t="s">
        <v>554</v>
      </c>
      <c r="U53" s="15">
        <f t="shared" si="9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SUM(IF(ISNUMBER(FIND("TmAi",$BE$1:$AAQ$1)),IF(IFERROR(ISODD(SUBSTITUTE($BE53:$AAQ53,"A","")),FALSE),IF(ISODD(SUBSTITUTE($BE53:$AAQ53,"A","")),1,0),0)))</f>
        <v>0</v>
      </c>
      <c r="AA53" t="str">
        <f t="shared" si="91"/>
        <v>5A</v>
      </c>
      <c r="AB53" t="str">
        <f t="shared" si="92"/>
        <v>5B</v>
      </c>
      <c r="AC53" s="15" t="s">
        <v>442</v>
      </c>
      <c r="AD53" s="79" t="str">
        <f t="array" ref="AD53">IF(COUNTIFS(AC$2:AC53,AC53)=1,"1",VALUE(SUBSTITUTE(INDEX(AD:AD,_xlfn.XMATCH(AC53,AC$1:AC52,0,-1)),"A",""))+INDEX(AE:AE,_xlfn.XMATCH(AC53,AC$1:AC52,0,-1))+1)</f>
        <v>1</v>
      </c>
      <c r="AE53" s="79">
        <f t="array" ref="AE53">SUM(IF(ISNUMBER(FIND("TmDi",$BE$1:$AAQ$1)),IF(IFERROR(ISNUMBER(VALUE(SUBSTITUTE($BE53:$AAQ53,"B",""))),FALSE),IF(ISNUMBER(VALUE(SUBSTITUTE($BE53:$AAQ53,"B",""))),1,0),0)))</f>
        <v>5</v>
      </c>
      <c r="AF53" t="s">
        <v>133</v>
      </c>
      <c r="AG53" t="s">
        <v>134</v>
      </c>
      <c r="AH53" s="15" t="s">
        <v>388</v>
      </c>
      <c r="AI53" s="73">
        <f t="array" ref="AI53">IF(COUNTIFS(AH$2:AH53,AH53)=1,"1",VALUE(SUBSTITUTE(INDEX(AI:AI,_xlfn.XMATCH(AH53,AH$1:AH52,0,-1)),"A",""))+INDEX(AJ:AJ,_xlfn.XMATCH(AH53,AH$1:AH52,0,-1))+1)</f>
        <v>21</v>
      </c>
      <c r="AJ53" s="73">
        <f t="array" ref="AJ53">SUM(IF(ISNUMBER(FIND("TmDo",$BE$1:$AAQ$1)),IF(IFERROR(ISNUMBER(VALUE(SUBSTITUTE($BE53:$AAQ53,"B",""))),FALSE),IF(ISNUMBER(VALUE(SUBSTITUTE($BE53:$AAQ53,"B",""))),1,0),0)))</f>
        <v>1</v>
      </c>
      <c r="AK53" s="15" t="str">
        <f t="shared" si="0"/>
        <v>21A</v>
      </c>
      <c r="AL53" s="15" t="str">
        <f t="shared" si="1"/>
        <v>21B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84"/>
        <v>XT52</v>
      </c>
      <c r="GU53" t="str">
        <f t="shared" si="85"/>
        <v>C2</v>
      </c>
      <c r="GV53" t="str">
        <f t="shared" si="96"/>
        <v>B2</v>
      </c>
      <c r="GW53" t="str">
        <f t="shared" si="97"/>
        <v>C3</v>
      </c>
      <c r="GX53" t="str">
        <f t="shared" si="98"/>
        <v>B3</v>
      </c>
      <c r="GY53" t="str">
        <f t="shared" si="99"/>
        <v>C4</v>
      </c>
      <c r="GZ53" t="str">
        <f t="shared" si="100"/>
        <v>B4</v>
      </c>
      <c r="HA53" t="str">
        <f t="shared" si="101"/>
        <v>C5</v>
      </c>
      <c r="HB53" t="str">
        <f t="shared" si="102"/>
        <v>B5</v>
      </c>
      <c r="HC53" t="str">
        <f t="shared" si="103"/>
        <v>C6</v>
      </c>
      <c r="HD53" t="str">
        <f t="shared" si="104"/>
        <v>B6</v>
      </c>
      <c r="HE53" t="str">
        <f t="shared" si="86"/>
        <v>22A</v>
      </c>
      <c r="HF53" t="str">
        <f t="shared" si="87"/>
        <v>22B</v>
      </c>
      <c r="HG53" t="str">
        <f t="shared" si="88"/>
        <v>AI2-5A</v>
      </c>
      <c r="HH53" t="str">
        <f t="shared" si="89"/>
        <v>AI2-5B</v>
      </c>
      <c r="HI53" t="str">
        <f t="shared" si="105"/>
        <v>DI11-C1</v>
      </c>
      <c r="HJ53" t="str">
        <f t="shared" si="106"/>
        <v>DI11-B1</v>
      </c>
      <c r="HK53" t="str">
        <f t="shared" si="107"/>
        <v>DI11-C2</v>
      </c>
      <c r="HL53" t="str">
        <f t="shared" si="108"/>
        <v>DI11-B2</v>
      </c>
      <c r="HM53" t="str">
        <f t="shared" si="109"/>
        <v>DI11-C3</v>
      </c>
      <c r="HN53" t="str">
        <f t="shared" si="110"/>
        <v>DI11-B3</v>
      </c>
      <c r="HO53" t="str">
        <f t="shared" si="111"/>
        <v>DI11-C4</v>
      </c>
      <c r="HP53" t="str">
        <f t="shared" si="112"/>
        <v>DI11-B4</v>
      </c>
      <c r="HQ53" t="str">
        <f t="shared" si="113"/>
        <v>DI11-C5</v>
      </c>
      <c r="HR53" t="str">
        <f t="shared" si="114"/>
        <v>DI11-B5</v>
      </c>
      <c r="HS53" t="str">
        <f t="shared" si="115"/>
        <v>DI11-C6</v>
      </c>
      <c r="HT53" t="str">
        <f t="shared" si="116"/>
        <v>DI11-B6</v>
      </c>
      <c r="HU53" t="str">
        <f t="shared" si="117"/>
        <v>DO6-21A</v>
      </c>
      <c r="HV53" t="str">
        <f t="shared" si="118"/>
        <v>DO6-21B</v>
      </c>
      <c r="HW53" t="str">
        <f t="shared" si="119"/>
        <v>DO6-22A</v>
      </c>
      <c r="HX53" t="str">
        <f t="shared" si="120"/>
        <v>DO6-22B</v>
      </c>
      <c r="HY53" t="str">
        <f t="shared" si="121"/>
        <v>K52-01</v>
      </c>
      <c r="HZ53" t="str">
        <f t="shared" si="122"/>
        <v>K52-02</v>
      </c>
      <c r="IA53" t="str">
        <f t="shared" si="123"/>
        <v>K52-03</v>
      </c>
      <c r="IB53" t="str">
        <f t="shared" si="124"/>
        <v>K52-04</v>
      </c>
      <c r="IC53" t="str">
        <f t="shared" si="125"/>
        <v>K52-05</v>
      </c>
      <c r="ID53" t="str">
        <f t="shared" si="126"/>
        <v>K52-06</v>
      </c>
      <c r="IE53" t="str">
        <f t="shared" si="127"/>
        <v>K52-07</v>
      </c>
      <c r="IF53" t="str">
        <f t="shared" si="128"/>
        <v>K52-08</v>
      </c>
      <c r="IG53" t="str">
        <f t="shared" si="129"/>
        <v>F0-M52-AMS-12</v>
      </c>
      <c r="IH53" t="str">
        <f t="shared" si="130"/>
        <v>F0-M52-AMS-10</v>
      </c>
      <c r="II53" t="str">
        <f t="shared" si="131"/>
        <v>F0-M52-AMS-11</v>
      </c>
      <c r="IJ53" t="str">
        <f t="shared" si="132"/>
        <v>F0-M52-AMS-13</v>
      </c>
      <c r="IK53" t="str">
        <f t="shared" si="133"/>
        <v>F0-M52-AMS-9</v>
      </c>
      <c r="IL53" t="str">
        <f t="shared" si="134"/>
        <v>F0-M52-AMS-7</v>
      </c>
      <c r="IM53" t="str">
        <f t="shared" si="135"/>
        <v>F0-M52-AMS-18</v>
      </c>
      <c r="IN53" t="str">
        <f t="shared" si="136"/>
        <v>F0-M52-AMS-20</v>
      </c>
      <c r="IO53" t="str">
        <f t="shared" si="137"/>
        <v>F0-M52-AMS-17</v>
      </c>
      <c r="IP53" t="str">
        <f t="shared" si="138"/>
        <v>F0-+24-M52</v>
      </c>
      <c r="IQ53" t="str">
        <f t="shared" si="139"/>
        <v>F0-M52-XM01</v>
      </c>
      <c r="IR53" t="str">
        <f t="shared" ref="IR53:JY53" si="148">IR52</f>
        <v>A1</v>
      </c>
      <c r="IS53" t="str">
        <f t="shared" si="148"/>
        <v>A2</v>
      </c>
      <c r="IT53">
        <f t="shared" si="148"/>
        <v>11</v>
      </c>
      <c r="IU53">
        <f t="shared" si="148"/>
        <v>14</v>
      </c>
      <c r="IV53" t="str">
        <f t="shared" si="148"/>
        <v>24v6</v>
      </c>
      <c r="IW53" t="str">
        <f t="shared" si="148"/>
        <v>0v6</v>
      </c>
      <c r="IX53">
        <f t="shared" si="148"/>
        <v>1</v>
      </c>
      <c r="IY53">
        <f t="shared" si="148"/>
        <v>2</v>
      </c>
      <c r="IZ53">
        <f t="shared" si="148"/>
        <v>3</v>
      </c>
      <c r="JA53">
        <f t="shared" si="148"/>
        <v>4</v>
      </c>
      <c r="JB53">
        <f t="shared" si="148"/>
        <v>5</v>
      </c>
      <c r="JC53">
        <f t="shared" si="148"/>
        <v>6</v>
      </c>
      <c r="JD53">
        <f t="shared" si="148"/>
        <v>7</v>
      </c>
      <c r="JE53">
        <f t="shared" si="148"/>
        <v>8</v>
      </c>
      <c r="JF53">
        <f t="shared" si="148"/>
        <v>9</v>
      </c>
      <c r="JG53">
        <f t="shared" si="148"/>
        <v>10</v>
      </c>
      <c r="JH53">
        <f t="shared" si="148"/>
        <v>11</v>
      </c>
      <c r="JI53">
        <f t="shared" si="148"/>
        <v>12</v>
      </c>
      <c r="JJ53">
        <f t="shared" si="148"/>
        <v>13</v>
      </c>
      <c r="JK53">
        <f t="shared" si="148"/>
        <v>14</v>
      </c>
      <c r="JL53">
        <f t="shared" si="148"/>
        <v>17</v>
      </c>
      <c r="JM53">
        <f t="shared" si="148"/>
        <v>15</v>
      </c>
      <c r="JN53">
        <f t="shared" si="148"/>
        <v>18</v>
      </c>
      <c r="JO53">
        <f t="shared" si="148"/>
        <v>11</v>
      </c>
      <c r="JP53">
        <f t="shared" si="148"/>
        <v>9</v>
      </c>
      <c r="JQ53">
        <f t="shared" si="148"/>
        <v>6</v>
      </c>
      <c r="JR53">
        <f t="shared" si="148"/>
        <v>20</v>
      </c>
      <c r="JS53">
        <f t="shared" si="148"/>
        <v>7</v>
      </c>
      <c r="JT53">
        <f t="shared" si="148"/>
        <v>10</v>
      </c>
      <c r="JU53">
        <f t="shared" si="148"/>
        <v>22</v>
      </c>
      <c r="JV53">
        <f t="shared" si="148"/>
        <v>23</v>
      </c>
      <c r="JW53">
        <f t="shared" si="148"/>
        <v>26</v>
      </c>
      <c r="JX53">
        <f t="shared" si="148"/>
        <v>27</v>
      </c>
      <c r="JY53" s="16">
        <f t="shared" si="148"/>
        <v>30</v>
      </c>
    </row>
    <row r="54" spans="1:305" x14ac:dyDescent="0.25">
      <c r="A54" s="83" t="s">
        <v>479</v>
      </c>
      <c r="B54" s="83" t="s">
        <v>478</v>
      </c>
      <c r="P54" t="s">
        <v>391</v>
      </c>
      <c r="T54" s="14" t="s">
        <v>554</v>
      </c>
      <c r="U54" s="15">
        <f t="shared" si="9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SUM(IF(ISNUMBER(FIND("TmAi",$BE$1:$AAQ$1)),IF(IFERROR(ISODD(SUBSTITUTE($BE54:$AAQ54,"A","")),FALSE),IF(ISODD(SUBSTITUTE($BE54:$AAQ54,"A","")),1,0),0)))</f>
        <v>0</v>
      </c>
      <c r="AA54" t="str">
        <f t="shared" si="91"/>
        <v>7A</v>
      </c>
      <c r="AB54" t="str">
        <f t="shared" si="92"/>
        <v>7B</v>
      </c>
      <c r="AC54" s="15" t="s">
        <v>442</v>
      </c>
      <c r="AD54" s="79">
        <f t="array" ref="AD54">IF(COUNTIFS(AC$2:AC54,AC54)=1,"1",VALUE(SUBSTITUTE(INDEX(AD:AD,_xlfn.XMATCH(AC54,AC$1:AC53,0,-1)),"A",""))+INDEX(AE:AE,_xlfn.XMATCH(AC54,AC$1:AC53,0,-1))+1)</f>
        <v>7</v>
      </c>
      <c r="AE54" s="79">
        <f t="array" ref="AE54">SUM(IF(ISNUMBER(FIND("TmDi",$BE$1:$AAQ$1)),IF(IFERROR(ISNUMBER(VALUE(SUBSTITUTE($BE54:$AAQ54,"B",""))),FALSE),IF(ISNUMBER(VALUE(SUBSTITUTE($BE54:$AAQ54,"B",""))),1,0),0)))</f>
        <v>5</v>
      </c>
      <c r="AF54" t="s">
        <v>148</v>
      </c>
      <c r="AG54" t="s">
        <v>149</v>
      </c>
      <c r="AH54" s="15" t="s">
        <v>388</v>
      </c>
      <c r="AI54" s="73">
        <f t="array" ref="AI54">IF(COUNTIFS(AH$2:AH54,AH54)=1,"1",VALUE(SUBSTITUTE(INDEX(AI:AI,_xlfn.XMATCH(AH54,AH$1:AH53,0,-1)),"A",""))+INDEX(AJ:AJ,_xlfn.XMATCH(AH54,AH$1:AH53,0,-1))+1)</f>
        <v>23</v>
      </c>
      <c r="AJ54" s="73">
        <f t="array" ref="AJ54">SUM(IF(ISNUMBER(FIND("TmDo",$BE$1:$AAQ$1)),IF(IFERROR(ISNUMBER(VALUE(SUBSTITUTE($BE54:$AAQ54,"B",""))),FALSE),IF(ISNUMBER(VALUE(SUBSTITUTE($BE54:$AAQ54,"B",""))),1,0),0)))</f>
        <v>1</v>
      </c>
      <c r="AK54" t="str">
        <f t="shared" si="0"/>
        <v>23A</v>
      </c>
      <c r="AL54" t="str">
        <f t="shared" si="1"/>
        <v>23B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84"/>
        <v>XT53</v>
      </c>
      <c r="GU54" t="str">
        <f t="shared" si="85"/>
        <v>C8</v>
      </c>
      <c r="GV54" t="str">
        <f t="shared" si="96"/>
        <v>B8</v>
      </c>
      <c r="GW54" t="str">
        <f t="shared" si="97"/>
        <v>C9</v>
      </c>
      <c r="GX54" t="str">
        <f t="shared" si="98"/>
        <v>B9</v>
      </c>
      <c r="GY54" t="str">
        <f t="shared" si="99"/>
        <v>C10</v>
      </c>
      <c r="GZ54" t="str">
        <f t="shared" si="100"/>
        <v>B10</v>
      </c>
      <c r="HA54" t="str">
        <f t="shared" si="101"/>
        <v>C11</v>
      </c>
      <c r="HB54" t="str">
        <f t="shared" si="102"/>
        <v>B11</v>
      </c>
      <c r="HC54" t="str">
        <f t="shared" si="103"/>
        <v>C12</v>
      </c>
      <c r="HD54" t="str">
        <f t="shared" si="104"/>
        <v>B12</v>
      </c>
      <c r="HE54" t="str">
        <f t="shared" si="86"/>
        <v>24A</v>
      </c>
      <c r="HF54" t="str">
        <f t="shared" si="87"/>
        <v>24B</v>
      </c>
      <c r="HG54" t="str">
        <f t="shared" si="88"/>
        <v>AI2-7A</v>
      </c>
      <c r="HH54" t="str">
        <f t="shared" si="89"/>
        <v>AI2-7B</v>
      </c>
      <c r="HI54" t="str">
        <f t="shared" si="105"/>
        <v>DI11-C7</v>
      </c>
      <c r="HJ54" t="str">
        <f t="shared" si="106"/>
        <v>DI11-B7</v>
      </c>
      <c r="HK54" t="str">
        <f t="shared" si="107"/>
        <v>DI11-C8</v>
      </c>
      <c r="HL54" t="str">
        <f t="shared" si="108"/>
        <v>DI11-B8</v>
      </c>
      <c r="HM54" t="str">
        <f t="shared" si="109"/>
        <v>DI11-C9</v>
      </c>
      <c r="HN54" t="str">
        <f t="shared" si="110"/>
        <v>DI11-B9</v>
      </c>
      <c r="HO54" t="str">
        <f t="shared" si="111"/>
        <v>DI11-C10</v>
      </c>
      <c r="HP54" t="str">
        <f t="shared" si="112"/>
        <v>DI11-B10</v>
      </c>
      <c r="HQ54" t="str">
        <f t="shared" si="113"/>
        <v>DI11-C11</v>
      </c>
      <c r="HR54" t="str">
        <f t="shared" si="114"/>
        <v>DI11-B11</v>
      </c>
      <c r="HS54" t="str">
        <f t="shared" si="115"/>
        <v>DI11-C12</v>
      </c>
      <c r="HT54" t="str">
        <f t="shared" si="116"/>
        <v>DI11-B12</v>
      </c>
      <c r="HU54" t="str">
        <f t="shared" si="117"/>
        <v>DO6-23A</v>
      </c>
      <c r="HV54" t="str">
        <f t="shared" si="118"/>
        <v>DO6-23B</v>
      </c>
      <c r="HW54" t="str">
        <f t="shared" si="119"/>
        <v>DO6-24A</v>
      </c>
      <c r="HX54" t="str">
        <f t="shared" si="120"/>
        <v>DO6-24B</v>
      </c>
      <c r="HY54" t="str">
        <f t="shared" si="121"/>
        <v>K53-01</v>
      </c>
      <c r="HZ54" t="str">
        <f t="shared" si="122"/>
        <v>K53-02</v>
      </c>
      <c r="IA54" t="str">
        <f t="shared" si="123"/>
        <v>K53-03</v>
      </c>
      <c r="IB54" t="str">
        <f t="shared" si="124"/>
        <v>K53-04</v>
      </c>
      <c r="IC54" t="str">
        <f t="shared" si="125"/>
        <v>K53-05</v>
      </c>
      <c r="ID54" t="str">
        <f t="shared" si="126"/>
        <v>K53-06</v>
      </c>
      <c r="IE54" t="str">
        <f t="shared" si="127"/>
        <v>K53-07</v>
      </c>
      <c r="IF54" t="str">
        <f t="shared" si="128"/>
        <v>K53-08</v>
      </c>
      <c r="IG54" t="str">
        <f t="shared" si="129"/>
        <v>F0-M53-AMS-12</v>
      </c>
      <c r="IH54" t="str">
        <f t="shared" si="130"/>
        <v>F0-M53-AMS-10</v>
      </c>
      <c r="II54" t="str">
        <f t="shared" si="131"/>
        <v>F0-M53-AMS-11</v>
      </c>
      <c r="IJ54" t="str">
        <f t="shared" si="132"/>
        <v>F0-M53-AMS-13</v>
      </c>
      <c r="IK54" t="str">
        <f t="shared" si="133"/>
        <v>F0-M53-AMS-9</v>
      </c>
      <c r="IL54" t="str">
        <f t="shared" si="134"/>
        <v>F0-M53-AMS-7</v>
      </c>
      <c r="IM54" t="str">
        <f t="shared" si="135"/>
        <v>F0-M53-AMS-18</v>
      </c>
      <c r="IN54" t="str">
        <f t="shared" si="136"/>
        <v>F0-M53-AMS-20</v>
      </c>
      <c r="IO54" t="str">
        <f t="shared" si="137"/>
        <v>F0-M53-AMS-17</v>
      </c>
      <c r="IP54" t="str">
        <f t="shared" si="138"/>
        <v>F0-+24-M53</v>
      </c>
      <c r="IQ54" t="str">
        <f t="shared" si="139"/>
        <v>F0-M53-XM01</v>
      </c>
      <c r="IR54" t="str">
        <f t="shared" ref="IR54:JY54" si="149">IR53</f>
        <v>A1</v>
      </c>
      <c r="IS54" t="str">
        <f t="shared" si="149"/>
        <v>A2</v>
      </c>
      <c r="IT54">
        <f t="shared" si="149"/>
        <v>11</v>
      </c>
      <c r="IU54">
        <f t="shared" si="149"/>
        <v>14</v>
      </c>
      <c r="IV54" t="str">
        <f t="shared" si="149"/>
        <v>24v6</v>
      </c>
      <c r="IW54" t="str">
        <f t="shared" si="149"/>
        <v>0v6</v>
      </c>
      <c r="IX54">
        <f t="shared" si="149"/>
        <v>1</v>
      </c>
      <c r="IY54">
        <f t="shared" si="149"/>
        <v>2</v>
      </c>
      <c r="IZ54">
        <f t="shared" si="149"/>
        <v>3</v>
      </c>
      <c r="JA54">
        <f t="shared" si="149"/>
        <v>4</v>
      </c>
      <c r="JB54">
        <f t="shared" si="149"/>
        <v>5</v>
      </c>
      <c r="JC54">
        <f t="shared" si="149"/>
        <v>6</v>
      </c>
      <c r="JD54">
        <f t="shared" si="149"/>
        <v>7</v>
      </c>
      <c r="JE54">
        <f t="shared" si="149"/>
        <v>8</v>
      </c>
      <c r="JF54">
        <f t="shared" si="149"/>
        <v>9</v>
      </c>
      <c r="JG54">
        <f t="shared" si="149"/>
        <v>10</v>
      </c>
      <c r="JH54">
        <f t="shared" si="149"/>
        <v>11</v>
      </c>
      <c r="JI54">
        <f t="shared" si="149"/>
        <v>12</v>
      </c>
      <c r="JJ54">
        <f t="shared" si="149"/>
        <v>13</v>
      </c>
      <c r="JK54">
        <f t="shared" si="149"/>
        <v>14</v>
      </c>
      <c r="JL54">
        <f t="shared" si="149"/>
        <v>17</v>
      </c>
      <c r="JM54">
        <f t="shared" si="149"/>
        <v>15</v>
      </c>
      <c r="JN54">
        <f t="shared" si="149"/>
        <v>18</v>
      </c>
      <c r="JO54">
        <f t="shared" si="149"/>
        <v>11</v>
      </c>
      <c r="JP54">
        <f t="shared" si="149"/>
        <v>9</v>
      </c>
      <c r="JQ54">
        <f t="shared" si="149"/>
        <v>6</v>
      </c>
      <c r="JR54">
        <f t="shared" si="149"/>
        <v>20</v>
      </c>
      <c r="JS54">
        <f t="shared" si="149"/>
        <v>7</v>
      </c>
      <c r="JT54">
        <f t="shared" si="149"/>
        <v>10</v>
      </c>
      <c r="JU54">
        <f t="shared" si="149"/>
        <v>22</v>
      </c>
      <c r="JV54">
        <f t="shared" si="149"/>
        <v>23</v>
      </c>
      <c r="JW54">
        <f t="shared" si="149"/>
        <v>26</v>
      </c>
      <c r="JX54">
        <f t="shared" si="149"/>
        <v>27</v>
      </c>
      <c r="JY54" s="16">
        <f t="shared" si="149"/>
        <v>30</v>
      </c>
    </row>
    <row r="55" spans="1:305" ht="15.75" thickBot="1" x14ac:dyDescent="0.3">
      <c r="A55" s="83" t="s">
        <v>481</v>
      </c>
      <c r="B55" s="83" t="s">
        <v>480</v>
      </c>
      <c r="P55" t="s">
        <v>391</v>
      </c>
      <c r="T55" s="17" t="s">
        <v>554</v>
      </c>
      <c r="U55" s="18">
        <f t="shared" si="9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SUM(IF(ISNUMBER(FIND("TmAi",$BE$1:$AAQ$1)),IF(IFERROR(ISODD(SUBSTITUTE($BE55:$AAQ55,"A","")),FALSE),IF(ISODD(SUBSTITUTE($BE55:$AAQ55,"A","")),1,0),0)))</f>
        <v>0</v>
      </c>
      <c r="AA55" s="19" t="str">
        <f t="shared" si="91"/>
        <v>9A</v>
      </c>
      <c r="AB55" s="19" t="str">
        <f t="shared" si="92"/>
        <v>9B</v>
      </c>
      <c r="AC55" s="18" t="s">
        <v>442</v>
      </c>
      <c r="AD55" s="80">
        <f t="array" ref="AD55">IF(COUNTIFS(AC$2:AC55,AC55)=1,"1",VALUE(SUBSTITUTE(INDEX(AD:AD,_xlfn.XMATCH(AC55,AC$1:AC54,0,-1)),"A",""))+INDEX(AE:AE,_xlfn.XMATCH(AC55,AC$1:AC54,0,-1))+1)</f>
        <v>13</v>
      </c>
      <c r="AE55" s="80">
        <f t="array" ref="AE55">SUM(IF(ISNUMBER(FIND("TmDi",$BE$1:$AAQ$1)),IF(IFERROR(ISNUMBER(VALUE(SUBSTITUTE($BE55:$AAQ55,"B",""))),FALSE),IF(ISNUMBER(VALUE(SUBSTITUTE($BE55:$AAQ55,"B",""))),1,0),0)))</f>
        <v>5</v>
      </c>
      <c r="AF55" s="19" t="s">
        <v>153</v>
      </c>
      <c r="AG55" s="19" t="s">
        <v>154</v>
      </c>
      <c r="AH55" s="18" t="s">
        <v>388</v>
      </c>
      <c r="AI55" s="74">
        <f t="array" ref="AI55">IF(COUNTIFS(AH$2:AH55,AH55)=1,"1",VALUE(SUBSTITUTE(INDEX(AI:AI,_xlfn.XMATCH(AH55,AH$1:AH54,0,-1)),"A",""))+INDEX(AJ:AJ,_xlfn.XMATCH(AH55,AH$1:AH54,0,-1))+1)</f>
        <v>25</v>
      </c>
      <c r="AJ55" s="74">
        <f t="array" ref="AJ55">SUM(IF(ISNUMBER(FIND("TmDo",$BE$1:$AAQ$1)),IF(IFERROR(ISNUMBER(VALUE(SUBSTITUTE($BE55:$AAQ55,"B",""))),FALSE),IF(ISNUMBER(VALUE(SUBSTITUTE($BE55:$AAQ55,"B",""))),1,0),0)))</f>
        <v>1</v>
      </c>
      <c r="AK55" s="18" t="str">
        <f t="shared" si="0"/>
        <v>25A</v>
      </c>
      <c r="AL55" s="18" t="str">
        <f t="shared" si="1"/>
        <v>25B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84"/>
        <v>XT54</v>
      </c>
      <c r="GU55" s="19" t="str">
        <f t="shared" si="85"/>
        <v>C14</v>
      </c>
      <c r="GV55" s="19" t="str">
        <f t="shared" si="96"/>
        <v>B14</v>
      </c>
      <c r="GW55" s="19" t="str">
        <f t="shared" si="97"/>
        <v>C15</v>
      </c>
      <c r="GX55" s="19" t="str">
        <f t="shared" si="98"/>
        <v>B15</v>
      </c>
      <c r="GY55" s="19" t="str">
        <f t="shared" si="99"/>
        <v>C16</v>
      </c>
      <c r="GZ55" s="19" t="str">
        <f t="shared" si="100"/>
        <v>B16</v>
      </c>
      <c r="HA55" s="19" t="str">
        <f t="shared" si="101"/>
        <v>C17</v>
      </c>
      <c r="HB55" s="19" t="str">
        <f t="shared" si="102"/>
        <v>B17</v>
      </c>
      <c r="HC55" s="19" t="str">
        <f t="shared" si="103"/>
        <v>C18</v>
      </c>
      <c r="HD55" s="19" t="str">
        <f t="shared" si="104"/>
        <v>B18</v>
      </c>
      <c r="HE55" s="19" t="str">
        <f t="shared" si="86"/>
        <v>26A</v>
      </c>
      <c r="HF55" s="19" t="str">
        <f t="shared" si="87"/>
        <v>26B</v>
      </c>
      <c r="HG55" s="19" t="str">
        <f t="shared" si="88"/>
        <v>AI2-9A</v>
      </c>
      <c r="HH55" s="19" t="str">
        <f t="shared" si="89"/>
        <v>AI2-9B</v>
      </c>
      <c r="HI55" s="19" t="str">
        <f t="shared" si="105"/>
        <v>DI11-C13</v>
      </c>
      <c r="HJ55" s="19" t="str">
        <f t="shared" si="106"/>
        <v>DI11-B13</v>
      </c>
      <c r="HK55" s="19" t="str">
        <f t="shared" si="107"/>
        <v>DI11-C14</v>
      </c>
      <c r="HL55" s="19" t="str">
        <f t="shared" si="108"/>
        <v>DI11-B14</v>
      </c>
      <c r="HM55" s="19" t="str">
        <f t="shared" si="109"/>
        <v>DI11-C15</v>
      </c>
      <c r="HN55" s="19" t="str">
        <f t="shared" si="110"/>
        <v>DI11-B15</v>
      </c>
      <c r="HO55" s="19" t="str">
        <f t="shared" si="111"/>
        <v>DI11-C16</v>
      </c>
      <c r="HP55" s="19" t="str">
        <f t="shared" si="112"/>
        <v>DI11-B16</v>
      </c>
      <c r="HQ55" s="19" t="str">
        <f t="shared" si="113"/>
        <v>DI11-C17</v>
      </c>
      <c r="HR55" s="19" t="str">
        <f t="shared" si="114"/>
        <v>DI11-B17</v>
      </c>
      <c r="HS55" s="19" t="str">
        <f t="shared" si="115"/>
        <v>DI11-C18</v>
      </c>
      <c r="HT55" s="19" t="str">
        <f t="shared" si="116"/>
        <v>DI11-B18</v>
      </c>
      <c r="HU55" s="19" t="str">
        <f t="shared" si="117"/>
        <v>DO6-25A</v>
      </c>
      <c r="HV55" s="19" t="str">
        <f t="shared" si="118"/>
        <v>DO6-25B</v>
      </c>
      <c r="HW55" s="19" t="str">
        <f t="shared" si="119"/>
        <v>DO6-26A</v>
      </c>
      <c r="HX55" s="19" t="str">
        <f t="shared" si="120"/>
        <v>DO6-26B</v>
      </c>
      <c r="HY55" s="19" t="str">
        <f t="shared" si="121"/>
        <v>K54-01</v>
      </c>
      <c r="HZ55" s="19" t="str">
        <f t="shared" si="122"/>
        <v>K54-02</v>
      </c>
      <c r="IA55" s="19" t="str">
        <f t="shared" si="123"/>
        <v>K54-03</v>
      </c>
      <c r="IB55" s="19" t="str">
        <f t="shared" si="124"/>
        <v>K54-04</v>
      </c>
      <c r="IC55" s="19" t="str">
        <f t="shared" si="125"/>
        <v>K54-05</v>
      </c>
      <c r="ID55" s="19" t="str">
        <f t="shared" si="126"/>
        <v>K54-06</v>
      </c>
      <c r="IE55" s="19" t="str">
        <f t="shared" si="127"/>
        <v>K54-07</v>
      </c>
      <c r="IF55" s="19" t="str">
        <f t="shared" si="128"/>
        <v>K54-08</v>
      </c>
      <c r="IG55" s="19" t="str">
        <f t="shared" si="129"/>
        <v>F0-M54-AMS-12</v>
      </c>
      <c r="IH55" s="19" t="str">
        <f t="shared" si="130"/>
        <v>F0-M54-AMS-10</v>
      </c>
      <c r="II55" s="19" t="str">
        <f t="shared" si="131"/>
        <v>F0-M54-AMS-11</v>
      </c>
      <c r="IJ55" s="19" t="str">
        <f t="shared" si="132"/>
        <v>F0-M54-AMS-13</v>
      </c>
      <c r="IK55" s="19" t="str">
        <f t="shared" si="133"/>
        <v>F0-M54-AMS-9</v>
      </c>
      <c r="IL55" s="19" t="str">
        <f t="shared" si="134"/>
        <v>F0-M54-AMS-7</v>
      </c>
      <c r="IM55" s="19" t="str">
        <f t="shared" si="135"/>
        <v>F0-M54-AMS-18</v>
      </c>
      <c r="IN55" s="19" t="str">
        <f t="shared" si="136"/>
        <v>F0-M54-AMS-20</v>
      </c>
      <c r="IO55" s="19" t="str">
        <f t="shared" si="137"/>
        <v>F0-M54-AMS-17</v>
      </c>
      <c r="IP55" s="19" t="str">
        <f t="shared" si="138"/>
        <v>F0-+24-M54</v>
      </c>
      <c r="IQ55" s="19" t="str">
        <f t="shared" si="139"/>
        <v>F0-M54-XM01</v>
      </c>
      <c r="IR55" s="19" t="str">
        <f t="shared" ref="IR55:JY55" si="150">IR54</f>
        <v>A1</v>
      </c>
      <c r="IS55" s="19" t="str">
        <f t="shared" si="150"/>
        <v>A2</v>
      </c>
      <c r="IT55" s="19">
        <f t="shared" si="150"/>
        <v>11</v>
      </c>
      <c r="IU55" s="19">
        <f t="shared" si="150"/>
        <v>14</v>
      </c>
      <c r="IV55" s="19" t="str">
        <f t="shared" si="150"/>
        <v>24v6</v>
      </c>
      <c r="IW55" s="19" t="str">
        <f t="shared" si="150"/>
        <v>0v6</v>
      </c>
      <c r="IX55" s="19">
        <f t="shared" si="150"/>
        <v>1</v>
      </c>
      <c r="IY55" s="19">
        <f t="shared" si="150"/>
        <v>2</v>
      </c>
      <c r="IZ55" s="19">
        <f t="shared" si="150"/>
        <v>3</v>
      </c>
      <c r="JA55" s="19">
        <f t="shared" si="150"/>
        <v>4</v>
      </c>
      <c r="JB55" s="19">
        <f t="shared" si="150"/>
        <v>5</v>
      </c>
      <c r="JC55" s="19">
        <f t="shared" si="150"/>
        <v>6</v>
      </c>
      <c r="JD55" s="19">
        <f t="shared" si="150"/>
        <v>7</v>
      </c>
      <c r="JE55" s="19">
        <f t="shared" si="150"/>
        <v>8</v>
      </c>
      <c r="JF55" s="19">
        <f t="shared" si="150"/>
        <v>9</v>
      </c>
      <c r="JG55" s="19">
        <f t="shared" si="150"/>
        <v>10</v>
      </c>
      <c r="JH55" s="19">
        <f t="shared" si="150"/>
        <v>11</v>
      </c>
      <c r="JI55" s="19">
        <f t="shared" si="150"/>
        <v>12</v>
      </c>
      <c r="JJ55" s="19">
        <f t="shared" si="150"/>
        <v>13</v>
      </c>
      <c r="JK55" s="19">
        <f t="shared" si="150"/>
        <v>14</v>
      </c>
      <c r="JL55" s="19">
        <f t="shared" si="150"/>
        <v>17</v>
      </c>
      <c r="JM55" s="19">
        <f t="shared" si="150"/>
        <v>15</v>
      </c>
      <c r="JN55" s="19">
        <f t="shared" si="150"/>
        <v>18</v>
      </c>
      <c r="JO55" s="19">
        <f t="shared" si="150"/>
        <v>11</v>
      </c>
      <c r="JP55" s="19">
        <f t="shared" si="150"/>
        <v>9</v>
      </c>
      <c r="JQ55" s="19">
        <f t="shared" si="150"/>
        <v>6</v>
      </c>
      <c r="JR55" s="19">
        <f t="shared" si="150"/>
        <v>20</v>
      </c>
      <c r="JS55" s="19">
        <f t="shared" si="150"/>
        <v>7</v>
      </c>
      <c r="JT55" s="19">
        <f t="shared" si="150"/>
        <v>10</v>
      </c>
      <c r="JU55" s="19">
        <f t="shared" si="150"/>
        <v>22</v>
      </c>
      <c r="JV55" s="19">
        <f t="shared" si="150"/>
        <v>23</v>
      </c>
      <c r="JW55" s="19">
        <f t="shared" si="150"/>
        <v>26</v>
      </c>
      <c r="JX55" s="19">
        <f t="shared" si="150"/>
        <v>27</v>
      </c>
      <c r="JY55" s="20">
        <f t="shared" si="150"/>
        <v>30</v>
      </c>
    </row>
    <row r="56" spans="1:305" x14ac:dyDescent="0.25">
      <c r="A56" s="83" t="s">
        <v>486</v>
      </c>
      <c r="B56" s="83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SUM(IF(ISNUMBER(FIND("TmAi",$BE$1:$AAQ$1)),IF(IFERROR(ISODD(SUBSTITUTE($BE56:$AAQ56,"A","")),FALSE),IF(ISODD(SUBSTITUTE($BE56:$AAQ56,"A","")),1,0),0)))</f>
        <v>0</v>
      </c>
      <c r="AA56" t="str">
        <f>CONCATENATE($Y56*2-1,"B")</f>
        <v>1B</v>
      </c>
      <c r="AB56" t="str">
        <f>CONCATENATE($Y56*2,"B")</f>
        <v>2B</v>
      </c>
      <c r="AD56" s="46"/>
      <c r="AE56" s="46">
        <f t="array" ref="AE56">SUM(IF(ISNUMBER(FIND("TmDi",$BE$1:$AAQ$1)),IF(IFERROR(ISNUMBER(VALUE(SUBSTITUTE($BE56:$AAQ56,"B",""))),FALSE),IF(ISNUMBER(VALUE(SUBSTITUTE($BE56:$AAQ56,"B",""))),1,0),0)))</f>
        <v>0</v>
      </c>
      <c r="AP56" t="s">
        <v>137</v>
      </c>
      <c r="AS56" t="s">
        <v>396</v>
      </c>
      <c r="JZ56" s="25" t="str">
        <f t="shared" ref="JZ56:JZ87" si="151">CONCATENATE("XT",U56)</f>
        <v>XT55</v>
      </c>
      <c r="KA56" s="12"/>
      <c r="KB56" s="12"/>
      <c r="KC56" s="12" t="str">
        <f t="shared" ref="KC56:KC87" si="152">CONCATENATE(T56,"-AI",REPLACE($X56,1,3,""),"-",AA56)</f>
        <v>F0-AI3-1B</v>
      </c>
      <c r="KD56" s="12" t="str">
        <f t="shared" ref="KD56:KD87" si="153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 t="shared" ref="KJ56:KK75" si="154">KI56+1</f>
        <v>2</v>
      </c>
      <c r="KK56" s="12">
        <f t="shared" si="154"/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s="83" t="s">
        <v>494</v>
      </c>
      <c r="B57" s="83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SUM(IF(ISNUMBER(FIND("TmAi",$BE$1:$AAQ$1)),IF(IFERROR(ISODD(SUBSTITUTE($BE57:$AAQ57,"A","")),FALSE),IF(ISODD(SUBSTITUTE($BE57:$AAQ57,"A","")),1,0),0)))</f>
        <v>0</v>
      </c>
      <c r="AA57" t="str">
        <f t="shared" ref="AA57:AA67" si="155">CONCATENATE($Y57*2-1,"B")</f>
        <v>3B</v>
      </c>
      <c r="AB57" t="str">
        <f t="shared" ref="AB57:AB67" si="156">CONCATENATE($Y57*2,"B")</f>
        <v>4B</v>
      </c>
      <c r="AD57" s="46"/>
      <c r="AE57" s="46">
        <f t="array" ref="AE57">SUM(IF(ISNUMBER(FIND("TmDi",$BE$1:$AAQ$1)),IF(IFERROR(ISNUMBER(VALUE(SUBSTITUTE($BE57:$AAQ57,"B",""))),FALSE),IF(ISNUMBER(VALUE(SUBSTITUTE($BE57:$AAQ57,"B",""))),1,0),0)))</f>
        <v>0</v>
      </c>
      <c r="AP57" t="s">
        <v>137</v>
      </c>
      <c r="AS57" t="s">
        <v>396</v>
      </c>
      <c r="JZ57" s="27" t="str">
        <f t="shared" si="151"/>
        <v>XT55</v>
      </c>
      <c r="KC57" t="str">
        <f t="shared" si="152"/>
        <v>F0-AI3-3B</v>
      </c>
      <c r="KD57" t="str">
        <f t="shared" si="153"/>
        <v>F0-AI3-4B</v>
      </c>
      <c r="KI57">
        <f t="array" ref="KI57">IF(COUNTIFS($U$2:$U57,$U57)=1,1,INDEX(KI:KI,_xlfn.XMATCH(U57,U$1:U56,0,-1))+COUNT(KI56:KM56))</f>
        <v>4</v>
      </c>
      <c r="KJ57">
        <f t="shared" si="154"/>
        <v>5</v>
      </c>
      <c r="KK57">
        <f t="shared" si="154"/>
        <v>6</v>
      </c>
      <c r="KN57">
        <v>1</v>
      </c>
      <c r="KO57" s="16">
        <v>2</v>
      </c>
      <c r="KS57" s="16"/>
    </row>
    <row r="58" spans="1:305" x14ac:dyDescent="0.25">
      <c r="A58" s="83" t="s">
        <v>500</v>
      </c>
      <c r="B58" s="83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SUM(IF(ISNUMBER(FIND("TmAi",$BE$1:$AAQ$1)),IF(IFERROR(ISODD(SUBSTITUTE($BE58:$AAQ58,"A","")),FALSE),IF(ISODD(SUBSTITUTE($BE58:$AAQ58,"A","")),1,0),0)))</f>
        <v>0</v>
      </c>
      <c r="AA58" t="str">
        <f t="shared" si="155"/>
        <v>5B</v>
      </c>
      <c r="AB58" t="str">
        <f t="shared" si="156"/>
        <v>6B</v>
      </c>
      <c r="AD58" s="46"/>
      <c r="AE58" s="46">
        <f t="array" ref="AE58">SUM(IF(ISNUMBER(FIND("TmDi",$BE$1:$AAQ$1)),IF(IFERROR(ISNUMBER(VALUE(SUBSTITUTE($BE58:$AAQ58,"B",""))),FALSE),IF(ISNUMBER(VALUE(SUBSTITUTE($BE58:$AAQ58,"B",""))),1,0),0)))</f>
        <v>0</v>
      </c>
      <c r="AP58" t="s">
        <v>137</v>
      </c>
      <c r="AS58" t="s">
        <v>396</v>
      </c>
      <c r="JZ58" s="27" t="str">
        <f t="shared" si="151"/>
        <v>XT55</v>
      </c>
      <c r="KC58" t="str">
        <f t="shared" si="152"/>
        <v>F0-AI3-5B</v>
      </c>
      <c r="KD58" t="str">
        <f t="shared" si="153"/>
        <v>F0-AI3-6B</v>
      </c>
      <c r="KI58">
        <f t="array" ref="KI58">IF(COUNTIFS($U$2:$U58,$U58)=1,1,INDEX(KI:KI,_xlfn.XMATCH(U58,U$1:U57,0,-1))+COUNT(KI57:KM57))</f>
        <v>7</v>
      </c>
      <c r="KJ58">
        <f t="shared" si="154"/>
        <v>8</v>
      </c>
      <c r="KK58">
        <f t="shared" si="154"/>
        <v>9</v>
      </c>
      <c r="KN58">
        <v>1</v>
      </c>
      <c r="KO58" s="16">
        <v>2</v>
      </c>
      <c r="KS58" s="16"/>
    </row>
    <row r="59" spans="1:305" x14ac:dyDescent="0.25">
      <c r="A59" s="83" t="s">
        <v>502</v>
      </c>
      <c r="B59" s="85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SUM(IF(ISNUMBER(FIND("TmAi",$BE$1:$AAQ$1)),IF(IFERROR(ISODD(SUBSTITUTE($BE59:$AAQ59,"A","")),FALSE),IF(ISODD(SUBSTITUTE($BE59:$AAQ59,"A","")),1,0),0)))</f>
        <v>0</v>
      </c>
      <c r="AA59" t="str">
        <f t="shared" si="155"/>
        <v>7B</v>
      </c>
      <c r="AB59" t="str">
        <f t="shared" si="156"/>
        <v>8B</v>
      </c>
      <c r="AD59" s="46"/>
      <c r="AE59" s="46">
        <f t="array" ref="AE59">SUM(IF(ISNUMBER(FIND("TmDi",$BE$1:$AAQ$1)),IF(IFERROR(ISNUMBER(VALUE(SUBSTITUTE($BE59:$AAQ59,"B",""))),FALSE),IF(ISNUMBER(VALUE(SUBSTITUTE($BE59:$AAQ59,"B",""))),1,0),0)))</f>
        <v>0</v>
      </c>
      <c r="AP59" t="s">
        <v>137</v>
      </c>
      <c r="AS59" t="s">
        <v>396</v>
      </c>
      <c r="JZ59" s="27" t="str">
        <f t="shared" si="151"/>
        <v>XT55</v>
      </c>
      <c r="KC59" t="str">
        <f t="shared" si="152"/>
        <v>F0-AI3-7B</v>
      </c>
      <c r="KD59" t="str">
        <f t="shared" si="153"/>
        <v>F0-AI3-8B</v>
      </c>
      <c r="KI59">
        <f t="array" ref="KI59">IF(COUNTIFS($U$2:$U59,$U59)=1,1,INDEX(KI:KI,_xlfn.XMATCH(U59,U$1:U58,0,-1))+COUNT(KI58:KM58))</f>
        <v>10</v>
      </c>
      <c r="KJ59">
        <f t="shared" si="154"/>
        <v>11</v>
      </c>
      <c r="KK59">
        <f t="shared" si="154"/>
        <v>12</v>
      </c>
      <c r="KN59">
        <v>1</v>
      </c>
      <c r="KO59" s="16">
        <v>2</v>
      </c>
      <c r="KS59" s="16"/>
    </row>
    <row r="60" spans="1:305" x14ac:dyDescent="0.25">
      <c r="A60" s="83" t="s">
        <v>511</v>
      </c>
      <c r="B60" s="86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">
        <v>509</v>
      </c>
      <c r="Y60" s="43" t="str">
        <f t="array" ref="Y60">IF(COUNTIFS($X$2:$X60,$X60)=1,"1",VALUE(SUBSTITUTE(INDEX(Y:Y,_xlfn.XMATCH($X60,$X$1:$X59,0,-1)),"A",""))+INDEX(Z:Z,_xlfn.XMATCH($X60,$X$1:$X59,0,-1))+1)</f>
        <v>1</v>
      </c>
      <c r="Z60" s="43">
        <f t="array" ref="Z60">SUM(IF(ISNUMBER(FIND("TmAi",$BE$1:$AAQ$1)),IF(IFERROR(ISODD(SUBSTITUTE($BE60:$AAQ60,"A","")),FALSE),IF(ISODD(SUBSTITUTE($BE60:$AAQ60,"A","")),1,0),0)))</f>
        <v>0</v>
      </c>
      <c r="AA60" t="str">
        <f t="shared" si="155"/>
        <v>1B</v>
      </c>
      <c r="AB60" t="str">
        <f t="shared" si="156"/>
        <v>2B</v>
      </c>
      <c r="AD60" s="46"/>
      <c r="AE60" s="46">
        <f t="array" ref="AE60">SUM(IF(ISNUMBER(FIND("TmDi",$BE$1:$AAQ$1)),IF(IFERROR(ISNUMBER(VALUE(SUBSTITUTE($BE60:$AAQ60,"B",""))),FALSE),IF(ISNUMBER(VALUE(SUBSTITUTE($BE60:$AAQ60,"B",""))),1,0),0)))</f>
        <v>0</v>
      </c>
      <c r="AP60" t="s">
        <v>137</v>
      </c>
      <c r="AS60" t="s">
        <v>396</v>
      </c>
      <c r="JZ60" s="27" t="str">
        <f t="shared" si="151"/>
        <v>XT55</v>
      </c>
      <c r="KC60" t="str">
        <f t="shared" si="152"/>
        <v>F0-AI4-1B</v>
      </c>
      <c r="KD60" t="str">
        <f t="shared" si="153"/>
        <v>F0-AI4-2B</v>
      </c>
      <c r="KI60">
        <f t="array" ref="KI60">IF(COUNTIFS($U$2:$U60,$U60)=1,1,INDEX(KI:KI,_xlfn.XMATCH(U60,U$1:U59,0,-1))+COUNT(KI59:KM59))</f>
        <v>13</v>
      </c>
      <c r="KJ60">
        <f t="shared" si="154"/>
        <v>14</v>
      </c>
      <c r="KK60">
        <f t="shared" si="154"/>
        <v>15</v>
      </c>
      <c r="KN60">
        <v>1</v>
      </c>
      <c r="KO60" s="16">
        <v>2</v>
      </c>
      <c r="KS60" s="16"/>
    </row>
    <row r="61" spans="1:305" x14ac:dyDescent="0.25">
      <c r="A61" s="83" t="s">
        <v>513</v>
      </c>
      <c r="B61" s="83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A3.4</v>
      </c>
      <c r="Y61" s="43">
        <f t="array" ref="Y61">IF(COUNTIFS($X$2:$X61,$X61)=1,"1",VALUE(SUBSTITUTE(INDEX(Y:Y,_xlfn.XMATCH($X61,$X$1:$X60,0,-1)),"A",""))+INDEX(Z:Z,_xlfn.XMATCH($X61,$X$1:$X60,0,-1))+1)</f>
        <v>2</v>
      </c>
      <c r="Z61" s="43">
        <f t="array" ref="Z61">SUM(IF(ISNUMBER(FIND("TmAi",$BE$1:$AAQ$1)),IF(IFERROR(ISODD(SUBSTITUTE($BE61:$AAQ61,"A","")),FALSE),IF(ISODD(SUBSTITUTE($BE61:$AAQ61,"A","")),1,0),0)))</f>
        <v>0</v>
      </c>
      <c r="AA61" t="str">
        <f t="shared" si="155"/>
        <v>3B</v>
      </c>
      <c r="AB61" t="str">
        <f t="shared" si="156"/>
        <v>4B</v>
      </c>
      <c r="AD61" s="46"/>
      <c r="AE61" s="46">
        <f t="array" ref="AE61">SUM(IF(ISNUMBER(FIND("TmDi",$BE$1:$AAQ$1)),IF(IFERROR(ISNUMBER(VALUE(SUBSTITUTE($BE61:$AAQ61,"B",""))),FALSE),IF(ISNUMBER(VALUE(SUBSTITUTE($BE61:$AAQ61,"B",""))),1,0),0)))</f>
        <v>0</v>
      </c>
      <c r="AP61" t="s">
        <v>137</v>
      </c>
      <c r="AS61" t="s">
        <v>396</v>
      </c>
      <c r="JZ61" s="27" t="str">
        <f t="shared" si="151"/>
        <v>XT55</v>
      </c>
      <c r="KC61" t="str">
        <f t="shared" si="152"/>
        <v>F0-AI4-3B</v>
      </c>
      <c r="KD61" t="str">
        <f t="shared" si="153"/>
        <v>F0-AI4-4B</v>
      </c>
      <c r="KI61">
        <f t="array" ref="KI61">IF(COUNTIFS($U$2:$U61,$U61)=1,1,INDEX(KI:KI,_xlfn.XMATCH(U61,U$1:U60,0,-1))+COUNT(KI60:KM60))</f>
        <v>16</v>
      </c>
      <c r="KJ61">
        <f t="shared" si="154"/>
        <v>17</v>
      </c>
      <c r="KK61">
        <f t="shared" si="154"/>
        <v>18</v>
      </c>
      <c r="KN61">
        <v>1</v>
      </c>
      <c r="KO61" s="16">
        <v>2</v>
      </c>
      <c r="KS61" s="16"/>
    </row>
    <row r="62" spans="1:305" x14ac:dyDescent="0.25">
      <c r="A62" s="83" t="s">
        <v>517</v>
      </c>
      <c r="B62" s="83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A3.4</v>
      </c>
      <c r="Y62" s="43">
        <f t="array" ref="Y62">IF(COUNTIFS($X$2:$X62,$X62)=1,"1",VALUE(SUBSTITUTE(INDEX(Y:Y,_xlfn.XMATCH($X62,$X$1:$X61,0,-1)),"A",""))+INDEX(Z:Z,_xlfn.XMATCH($X62,$X$1:$X61,0,-1))+1)</f>
        <v>3</v>
      </c>
      <c r="Z62" s="43">
        <f t="array" ref="Z62">SUM(IF(ISNUMBER(FIND("TmAi",$BE$1:$AAQ$1)),IF(IFERROR(ISODD(SUBSTITUTE($BE62:$AAQ62,"A","")),FALSE),IF(ISODD(SUBSTITUTE($BE62:$AAQ62,"A","")),1,0),0)))</f>
        <v>0</v>
      </c>
      <c r="AA62" t="str">
        <f t="shared" si="155"/>
        <v>5B</v>
      </c>
      <c r="AB62" t="str">
        <f t="shared" si="156"/>
        <v>6B</v>
      </c>
      <c r="AD62" s="46"/>
      <c r="AE62" s="46">
        <f t="array" ref="AE62">SUM(IF(ISNUMBER(FIND("TmDi",$BE$1:$AAQ$1)),IF(IFERROR(ISNUMBER(VALUE(SUBSTITUTE($BE62:$AAQ62,"B",""))),FALSE),IF(ISNUMBER(VALUE(SUBSTITUTE($BE62:$AAQ62,"B",""))),1,0),0)))</f>
        <v>0</v>
      </c>
      <c r="AP62" t="s">
        <v>137</v>
      </c>
      <c r="AS62" t="s">
        <v>396</v>
      </c>
      <c r="JZ62" s="27" t="str">
        <f t="shared" si="151"/>
        <v>XT55</v>
      </c>
      <c r="KC62" t="str">
        <f t="shared" si="152"/>
        <v>F0-AI4-5B</v>
      </c>
      <c r="KD62" t="str">
        <f t="shared" si="153"/>
        <v>F0-AI4-6B</v>
      </c>
      <c r="KI62">
        <f t="array" ref="KI62">IF(COUNTIFS($U$2:$U62,$U62)=1,1,INDEX(KI:KI,_xlfn.XMATCH(U62,U$1:U61,0,-1))+COUNT(KI61:KM61))</f>
        <v>19</v>
      </c>
      <c r="KJ62">
        <f t="shared" si="154"/>
        <v>20</v>
      </c>
      <c r="KK62">
        <f t="shared" si="154"/>
        <v>21</v>
      </c>
      <c r="KN62">
        <v>1</v>
      </c>
      <c r="KO62" s="16">
        <v>2</v>
      </c>
      <c r="KS62" s="16"/>
    </row>
    <row r="63" spans="1:305" x14ac:dyDescent="0.25">
      <c r="A63" s="83" t="s">
        <v>516</v>
      </c>
      <c r="B63" s="8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A3.4</v>
      </c>
      <c r="Y63" s="45">
        <f t="array" ref="Y63">IF(COUNTIFS($X$2:$X63,$X63)=1,"1",VALUE(SUBSTITUTE(INDEX(Y:Y,_xlfn.XMATCH($X63,$X$1:$X62,0,-1)),"A",""))+INDEX(Z:Z,_xlfn.XMATCH($X63,$X$1:$X62,0,-1))+1)</f>
        <v>4</v>
      </c>
      <c r="Z63" s="43">
        <f t="array" ref="Z63">SUM(IF(ISNUMBER(FIND("TmAi",$BE$1:$AAQ$1)),IF(IFERROR(ISODD(SUBSTITUTE($BE63:$AAQ63,"A","")),FALSE),IF(ISODD(SUBSTITUTE($BE63:$AAQ63,"A","")),1,0),0)))</f>
        <v>0</v>
      </c>
      <c r="AA63" t="str">
        <f t="shared" si="155"/>
        <v>7B</v>
      </c>
      <c r="AB63" t="str">
        <f t="shared" si="156"/>
        <v>8B</v>
      </c>
      <c r="AD63" s="46"/>
      <c r="AE63" s="46">
        <f t="array" ref="AE63">SUM(IF(ISNUMBER(FIND("TmDi",$BE$1:$AAQ$1)),IF(IFERROR(ISNUMBER(VALUE(SUBSTITUTE($BE63:$AAQ63,"B",""))),FALSE),IF(ISNUMBER(VALUE(SUBSTITUTE($BE63:$AAQ63,"B",""))),1,0),0)))</f>
        <v>0</v>
      </c>
      <c r="AP63" t="s">
        <v>137</v>
      </c>
      <c r="AS63" t="s">
        <v>396</v>
      </c>
      <c r="JZ63" s="27" t="str">
        <f t="shared" si="151"/>
        <v>XT55</v>
      </c>
      <c r="KC63" t="str">
        <f t="shared" si="152"/>
        <v>F0-AI4-7B</v>
      </c>
      <c r="KD63" t="str">
        <f t="shared" si="153"/>
        <v>F0-AI4-8B</v>
      </c>
      <c r="KI63">
        <f t="array" ref="KI63">IF(COUNTIFS($U$2:$U63,$U63)=1,1,INDEX(KI:KI,_xlfn.XMATCH(U63,U$1:U62,0,-1))+COUNT(KI62:KM62))</f>
        <v>22</v>
      </c>
      <c r="KJ63">
        <f t="shared" si="154"/>
        <v>23</v>
      </c>
      <c r="KK63">
        <f t="shared" si="154"/>
        <v>24</v>
      </c>
      <c r="KN63">
        <v>1</v>
      </c>
      <c r="KO63" s="16">
        <v>2</v>
      </c>
      <c r="KS63" s="16"/>
    </row>
    <row r="64" spans="1:305" x14ac:dyDescent="0.25">
      <c r="A64" s="83" t="s">
        <v>519</v>
      </c>
      <c r="B64" s="83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>
        <f t="array" ref="Y64">IF(COUNTIFS($X$2:$X64,$X64)=1,"1",VALUE(SUBSTITUTE(INDEX(Y:Y,_xlfn.XMATCH($X64,$X$1:$X63,0,-1)),"A",""))+INDEX(Z:Z,_xlfn.XMATCH($X64,$X$1:$X63,0,-1))+1)</f>
        <v>5</v>
      </c>
      <c r="Z64" s="43">
        <f t="array" ref="Z64">SUM(IF(ISNUMBER(FIND("TmAi",$BE$1:$AAQ$1)),IF(IFERROR(ISODD(SUBSTITUTE($BE64:$AAQ64,"A","")),FALSE),IF(ISODD(SUBSTITUTE($BE64:$AAQ64,"A","")),1,0),0)))</f>
        <v>0</v>
      </c>
      <c r="AA64" t="str">
        <f t="shared" si="155"/>
        <v>9B</v>
      </c>
      <c r="AB64" t="str">
        <f t="shared" si="156"/>
        <v>10B</v>
      </c>
      <c r="AD64" s="46"/>
      <c r="AE64" s="46">
        <f t="array" ref="AE64">SUM(IF(ISNUMBER(FIND("TmDi",$BE$1:$AAQ$1)),IF(IFERROR(ISNUMBER(VALUE(SUBSTITUTE($BE64:$AAQ64,"B",""))),FALSE),IF(ISNUMBER(VALUE(SUBSTITUTE($BE64:$AAQ64,"B",""))),1,0),0)))</f>
        <v>0</v>
      </c>
      <c r="AP64" t="s">
        <v>137</v>
      </c>
      <c r="AS64" t="s">
        <v>396</v>
      </c>
      <c r="JZ64" s="27" t="str">
        <f t="shared" si="151"/>
        <v>XT55</v>
      </c>
      <c r="KC64" t="str">
        <f t="shared" si="152"/>
        <v>F0-AI4-9B</v>
      </c>
      <c r="KD64" t="str">
        <f t="shared" si="153"/>
        <v>F0-AI4-10B</v>
      </c>
      <c r="KI64">
        <f t="array" ref="KI64">IF(COUNTIFS($U$2:$U64,$U64)=1,1,INDEX(KI:KI,_xlfn.XMATCH(U64,U$1:U63,0,-1))+COUNT(KI63:KM63))</f>
        <v>25</v>
      </c>
      <c r="KJ64">
        <f t="shared" si="154"/>
        <v>26</v>
      </c>
      <c r="KK64">
        <f t="shared" si="154"/>
        <v>27</v>
      </c>
      <c r="KN64">
        <v>1</v>
      </c>
      <c r="KO64" s="16">
        <v>2</v>
      </c>
      <c r="KS64" s="16"/>
    </row>
    <row r="65" spans="1:305" x14ac:dyDescent="0.25">
      <c r="A65" s="83" t="s">
        <v>521</v>
      </c>
      <c r="B65" s="85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6</v>
      </c>
      <c r="Z65" s="43">
        <f t="array" ref="Z65">SUM(IF(ISNUMBER(FIND("TmAi",$BE$1:$AAQ$1)),IF(IFERROR(ISODD(SUBSTITUTE($BE65:$AAQ65,"A","")),FALSE),IF(ISODD(SUBSTITUTE($BE65:$AAQ65,"A","")),1,0),0)))</f>
        <v>0</v>
      </c>
      <c r="AA65" t="str">
        <f t="shared" si="155"/>
        <v>11B</v>
      </c>
      <c r="AB65" t="str">
        <f t="shared" si="156"/>
        <v>12B</v>
      </c>
      <c r="AD65" s="46"/>
      <c r="AE65" s="46">
        <f t="array" ref="AE65">SUM(IF(ISNUMBER(FIND("TmDi",$BE$1:$AAQ$1)),IF(IFERROR(ISNUMBER(VALUE(SUBSTITUTE($BE65:$AAQ65,"B",""))),FALSE),IF(ISNUMBER(VALUE(SUBSTITUTE($BE65:$AAQ65,"B",""))),1,0),0)))</f>
        <v>0</v>
      </c>
      <c r="AP65" t="s">
        <v>137</v>
      </c>
      <c r="AS65" t="s">
        <v>396</v>
      </c>
      <c r="JZ65" s="27" t="str">
        <f t="shared" si="151"/>
        <v>XT55</v>
      </c>
      <c r="KC65" t="str">
        <f t="shared" si="152"/>
        <v>F0-AI4-11B</v>
      </c>
      <c r="KD65" t="str">
        <f t="shared" si="153"/>
        <v>F0-AI4-12B</v>
      </c>
      <c r="KI65">
        <f t="array" ref="KI65">IF(COUNTIFS($U$2:$U65,$U65)=1,1,INDEX(KI:KI,_xlfn.XMATCH(U65,U$1:U64,0,-1))+COUNT(KI64:KM64))</f>
        <v>28</v>
      </c>
      <c r="KJ65">
        <f t="shared" si="154"/>
        <v>29</v>
      </c>
      <c r="KK65">
        <f t="shared" si="154"/>
        <v>30</v>
      </c>
      <c r="KN65">
        <v>1</v>
      </c>
      <c r="KO65" s="16">
        <v>2</v>
      </c>
      <c r="KS65" s="16"/>
    </row>
    <row r="66" spans="1:305" x14ac:dyDescent="0.25">
      <c r="A66" s="83" t="s">
        <v>525</v>
      </c>
      <c r="B66" s="86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">
        <v>2324</v>
      </c>
      <c r="Y66" s="43" t="str">
        <f t="array" ref="Y66">IF(COUNTIFS($X$2:$X66,$X66)=1,"1",VALUE(SUBSTITUTE(INDEX(Y:Y,_xlfn.XMATCH($X66,$X$1:$X65,0,-1)),"A",""))+INDEX(Z:Z,_xlfn.XMATCH($X66,$X$1:$X65,0,-1))+1)</f>
        <v>1</v>
      </c>
      <c r="Z66" s="43">
        <f t="array" ref="Z66">SUM(IF(ISNUMBER(FIND("TmAi",$BE$1:$AAQ$1)),IF(IFERROR(ISODD(SUBSTITUTE($BE66:$AAQ66,"A","")),FALSE),IF(ISODD(SUBSTITUTE($BE66:$AAQ66,"A","")),1,0),0)))</f>
        <v>0</v>
      </c>
      <c r="AA66" t="str">
        <f t="shared" si="155"/>
        <v>1B</v>
      </c>
      <c r="AB66" t="str">
        <f t="shared" si="156"/>
        <v>2B</v>
      </c>
      <c r="AD66" s="46"/>
      <c r="AE66" s="46">
        <f t="array" ref="AE66">SUM(IF(ISNUMBER(FIND("TmDi",$BE$1:$AAQ$1)),IF(IFERROR(ISNUMBER(VALUE(SUBSTITUTE($BE66:$AAQ66,"B",""))),FALSE),IF(ISNUMBER(VALUE(SUBSTITUTE($BE66:$AAQ66,"B",""))),1,0),0)))</f>
        <v>0</v>
      </c>
      <c r="AP66" t="s">
        <v>137</v>
      </c>
      <c r="AS66" t="s">
        <v>396</v>
      </c>
      <c r="JZ66" s="27" t="str">
        <f t="shared" si="151"/>
        <v>XT55</v>
      </c>
      <c r="KC66" t="str">
        <f t="shared" si="152"/>
        <v>F0-AI5-1B</v>
      </c>
      <c r="KD66" t="str">
        <f t="shared" si="153"/>
        <v>F0-AI5-2B</v>
      </c>
      <c r="KI66">
        <f t="array" ref="KI66">IF(COUNTIFS($U$2:$U66,$U66)=1,1,INDEX(KI:KI,_xlfn.XMATCH(U66,U$1:U65,0,-1))+COUNT(KI65:KM65))</f>
        <v>31</v>
      </c>
      <c r="KJ66">
        <f t="shared" si="154"/>
        <v>32</v>
      </c>
      <c r="KK66">
        <f t="shared" si="154"/>
        <v>33</v>
      </c>
      <c r="KN66">
        <v>1</v>
      </c>
      <c r="KO66" s="16">
        <v>2</v>
      </c>
      <c r="KS66" s="16"/>
    </row>
    <row r="67" spans="1:305" x14ac:dyDescent="0.25">
      <c r="A67" s="83" t="s">
        <v>527</v>
      </c>
      <c r="B67" s="85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A3.5</v>
      </c>
      <c r="Y67" s="43">
        <f t="array" ref="Y67">IF(COUNTIFS($X$2:$X67,$X67)=1,"1",VALUE(SUBSTITUTE(INDEX(Y:Y,_xlfn.XMATCH($X67,$X$1:$X66,0,-1)),"A",""))+INDEX(Z:Z,_xlfn.XMATCH($X67,$X$1:$X66,0,-1))+1)</f>
        <v>2</v>
      </c>
      <c r="Z67" s="43">
        <f t="array" ref="Z67">SUM(IF(ISNUMBER(FIND("TmAi",$BE$1:$AAQ$1)),IF(IFERROR(ISODD(SUBSTITUTE($BE67:$AAQ67,"A","")),FALSE),IF(ISODD(SUBSTITUTE($BE67:$AAQ67,"A","")),1,0),0)))</f>
        <v>0</v>
      </c>
      <c r="AA67" t="str">
        <f t="shared" si="155"/>
        <v>3B</v>
      </c>
      <c r="AB67" t="str">
        <f t="shared" si="156"/>
        <v>4B</v>
      </c>
      <c r="AD67" s="46"/>
      <c r="AE67" s="46">
        <f t="array" ref="AE67">SUM(IF(ISNUMBER(FIND("TmDi",$BE$1:$AAQ$1)),IF(IFERROR(ISNUMBER(VALUE(SUBSTITUTE($BE67:$AAQ67,"B",""))),FALSE),IF(ISNUMBER(VALUE(SUBSTITUTE($BE67:$AAQ67,"B",""))),1,0),0)))</f>
        <v>0</v>
      </c>
      <c r="AP67" t="s">
        <v>137</v>
      </c>
      <c r="AS67" t="s">
        <v>396</v>
      </c>
      <c r="JZ67" s="27" t="str">
        <f t="shared" si="151"/>
        <v>XT55</v>
      </c>
      <c r="KC67" t="str">
        <f t="shared" si="152"/>
        <v>F0-AI5-3B</v>
      </c>
      <c r="KD67" t="str">
        <f t="shared" si="153"/>
        <v>F0-AI5-4B</v>
      </c>
      <c r="KI67">
        <f t="array" ref="KI67">IF(COUNTIFS($U$2:$U67,$U67)=1,1,INDEX(KI:KI,_xlfn.XMATCH(U67,U$1:U66,0,-1))+COUNT(KI66:KM66))</f>
        <v>34</v>
      </c>
      <c r="KJ67">
        <f t="shared" si="154"/>
        <v>35</v>
      </c>
      <c r="KK67">
        <f t="shared" si="154"/>
        <v>36</v>
      </c>
      <c r="KN67">
        <v>1</v>
      </c>
      <c r="KO67" s="16">
        <v>2</v>
      </c>
      <c r="KS67" s="16"/>
    </row>
    <row r="68" spans="1:305" x14ac:dyDescent="0.25">
      <c r="A68" s="83" t="s">
        <v>530</v>
      </c>
      <c r="B68" s="83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A3.5</v>
      </c>
      <c r="Y68" s="45">
        <f t="array" ref="Y68">IF(COUNTIFS($X$2:$X68,$X68)=1,"1",VALUE(SUBSTITUTE(INDEX(Y:Y,_xlfn.XMATCH($X68,$X$1:$X67,0,-1)),"A",""))+INDEX(Z:Z,_xlfn.XMATCH($X68,$X$1:$X67,0,-1))+1)</f>
        <v>3</v>
      </c>
      <c r="Z68" s="43">
        <f t="array" ref="Z68">SUM(IF(ISNUMBER(FIND("TmAi",$BE$1:$AAQ$1)),IF(IFERROR(ISODD(SUBSTITUTE($BE68:$AAQ68,"A","")),FALSE),IF(ISODD(SUBSTITUTE($BE68:$AAQ68,"A","")),1,0),0)))</f>
        <v>0</v>
      </c>
      <c r="AA68" t="str">
        <f>CONCATENATE($Y68*2-1,"A")</f>
        <v>5A</v>
      </c>
      <c r="AB68" t="str">
        <f>CONCATENATE($Y68*2-1,"B")</f>
        <v>5B</v>
      </c>
      <c r="AD68" s="46"/>
      <c r="AE68" s="46">
        <f t="array" ref="AE68">SUM(IF(ISNUMBER(FIND("TmDi",$BE$1:$AAQ$1)),IF(IFERROR(ISNUMBER(VALUE(SUBSTITUTE($BE68:$AAQ68,"B",""))),FALSE),IF(ISNUMBER(VALUE(SUBSTITUTE($BE68:$AAQ68,"B",""))),1,0),0)))</f>
        <v>0</v>
      </c>
      <c r="AP68" t="s">
        <v>137</v>
      </c>
      <c r="AS68" t="s">
        <v>396</v>
      </c>
      <c r="JZ68" s="27" t="str">
        <f t="shared" si="151"/>
        <v>XT55</v>
      </c>
      <c r="KC68" t="str">
        <f t="shared" si="152"/>
        <v>F0-AI5-5A</v>
      </c>
      <c r="KD68" t="str">
        <f t="shared" si="153"/>
        <v>F0-AI5-5B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54"/>
        <v>38</v>
      </c>
      <c r="KK68">
        <f t="shared" si="154"/>
        <v>39</v>
      </c>
      <c r="KL68">
        <f>KK68+1</f>
        <v>40</v>
      </c>
      <c r="KM68">
        <f>KL68+1</f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s="83" t="s">
        <v>534</v>
      </c>
      <c r="B69" s="83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1362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SUM(IF(ISNUMBER(FIND("TmAi",$BE$1:$AAQ$1)),IF(IFERROR(ISODD(SUBSTITUTE($BE69:$AAQ69,"A","")),FALSE),IF(ISODD(SUBSTITUTE($BE69:$AAQ69,"A","")),1,0),0)))</f>
        <v>0</v>
      </c>
      <c r="AA69" t="str">
        <f>CONCATENATE($Y69*2-1,"A")</f>
        <v>1A</v>
      </c>
      <c r="AB69" t="str">
        <f>CONCATENATE($Y69*2-1,"B")</f>
        <v>1B</v>
      </c>
      <c r="AD69" s="46"/>
      <c r="AE69" s="46">
        <f t="array" ref="AE69">SUM(IF(ISNUMBER(FIND("TmDi",$BE$1:$AAQ$1)),IF(IFERROR(ISNUMBER(VALUE(SUBSTITUTE($BE69:$AAQ69,"B",""))),FALSE),IF(ISNUMBER(VALUE(SUBSTITUTE($BE69:$AAQ69,"B",""))),1,0),0)))</f>
        <v>0</v>
      </c>
      <c r="AP69" t="s">
        <v>137</v>
      </c>
      <c r="AS69" t="s">
        <v>396</v>
      </c>
      <c r="JZ69" s="27" t="str">
        <f t="shared" si="151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52"/>
        <v>F0-AI38-1A</v>
      </c>
      <c r="KD69" t="str">
        <f t="shared" si="153"/>
        <v>F0-AI38-1B</v>
      </c>
      <c r="KE69" t="str">
        <f>CONCATENATE($T69,"-AI",REPLACE($X69,1,3,""),"-",KA69)</f>
        <v>F0-AI38-2A</v>
      </c>
      <c r="KF69" t="str">
        <f>CONCATENATE($T69,"-AI",REPLACE($X69,1,3,""),"-",KB69)</f>
        <v>F0-AI38-2B</v>
      </c>
      <c r="KI69">
        <f t="array" ref="KI69">IF(COUNTIFS($U$2:$U69,$U69)=1,1,INDEX(KI:KI,_xlfn.XMATCH(U69,U$1:U68,0,-1))+COUNT(KI68:KM68))</f>
        <v>42</v>
      </c>
      <c r="KJ69">
        <f t="shared" si="154"/>
        <v>43</v>
      </c>
      <c r="KK69">
        <f t="shared" si="154"/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s="83" t="s">
        <v>535</v>
      </c>
      <c r="B70" s="83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IF(COUNTIF(X$1:X69,X69)&gt;7,REPLACE(X69,LEN(X69),1,VALUE(RIGHT(X69,1))+1),X69)</f>
        <v>A3.38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SUM(IF(ISNUMBER(FIND("TmAi",$BE$1:$AAQ$1)),IF(IFERROR(ISODD(SUBSTITUTE($BE70:$AAQ70,"A","")),FALSE),IF(ISODD(SUBSTITUTE($BE70:$AAQ70,"A","")),1,0),0)))</f>
        <v>0</v>
      </c>
      <c r="AA70" t="str">
        <f>CONCATENATE($Y70*2-1,"A")</f>
        <v>3A</v>
      </c>
      <c r="AB70" t="str">
        <f>CONCATENATE($Y70*2-1,"B")</f>
        <v>3B</v>
      </c>
      <c r="AD70" s="46"/>
      <c r="AE70" s="46">
        <f t="array" ref="AE70">SUM(IF(ISNUMBER(FIND("TmDi",$BE$1:$AAQ$1)),IF(IFERROR(ISNUMBER(VALUE(SUBSTITUTE($BE70:$AAQ70,"B",""))),FALSE),IF(ISNUMBER(VALUE(SUBSTITUTE($BE70:$AAQ70,"B",""))),1,0),0)))</f>
        <v>0</v>
      </c>
      <c r="AP70" t="s">
        <v>137</v>
      </c>
      <c r="AS70" t="s">
        <v>396</v>
      </c>
      <c r="JZ70" s="27" t="str">
        <f t="shared" si="151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52"/>
        <v>F0-AI38-3A</v>
      </c>
      <c r="KD70" t="str">
        <f t="shared" si="153"/>
        <v>F0-AI38-3B</v>
      </c>
      <c r="KE70" t="str">
        <f>CONCATENATE($T70,"-AI",REPLACE($X70,1,3,""),"-",KA70)</f>
        <v>F0-AI38-4A</v>
      </c>
      <c r="KF70" t="str">
        <f>CONCATENATE($T70,"-AI",REPLACE($X70,1,3,""),"-",KB70)</f>
        <v>F0-AI38-4B</v>
      </c>
      <c r="KI70">
        <f t="array" ref="KI70">IF(COUNTIFS($U$2:$U70,$U70)=1,1,INDEX(KI:KI,_xlfn.XMATCH(U70,U$1:U69,0,-1))+COUNT(KI69:KM69))</f>
        <v>46</v>
      </c>
      <c r="KJ70">
        <f t="shared" si="154"/>
        <v>47</v>
      </c>
      <c r="KK70">
        <f t="shared" si="154"/>
        <v>48</v>
      </c>
      <c r="KL70">
        <f>KK70+1</f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s="83" t="s">
        <v>539</v>
      </c>
      <c r="B71" s="86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2959</v>
      </c>
      <c r="Y71" s="43" t="str">
        <f t="array" ref="Y71">IF(COUNTIFS($X$2:$X71,$X71)=1,"1",VALUE(SUBSTITUTE(INDEX(Y:Y,_xlfn.XMATCH($X71,$X$1:$X70,0,-1)),"A",""))+INDEX(Z:Z,_xlfn.XMATCH($X71,$X$1:$X70,0,-1))+1)</f>
        <v>1</v>
      </c>
      <c r="Z71" s="43">
        <f t="array" ref="Z71">SUM(IF(ISNUMBER(FIND("TmAi",$BE$1:$AAQ$1)),IF(IFERROR(ISODD(SUBSTITUTE($BE71:$AAQ71,"A","")),FALSE),IF(ISODD(SUBSTITUTE($BE71:$AAQ71,"A","")),1,0),0)))</f>
        <v>0</v>
      </c>
      <c r="AA71" t="str">
        <f>CONCATENATE($Y71*2-1,"B")</f>
        <v>1B</v>
      </c>
      <c r="AB71" t="str">
        <f>CONCATENATE($Y71*2,"B")</f>
        <v>2B</v>
      </c>
      <c r="AD71" s="46"/>
      <c r="AE71" s="46">
        <f t="array" ref="AE71">SUM(IF(ISNUMBER(FIND("TmDi",$BE$1:$AAQ$1)),IF(IFERROR(ISNUMBER(VALUE(SUBSTITUTE($BE71:$AAQ71,"B",""))),FALSE),IF(ISNUMBER(VALUE(SUBSTITUTE($BE71:$AAQ71,"B",""))),1,0),0)))</f>
        <v>0</v>
      </c>
      <c r="AP71" t="s">
        <v>137</v>
      </c>
      <c r="AS71" t="s">
        <v>396</v>
      </c>
      <c r="JZ71" s="27" t="str">
        <f t="shared" si="151"/>
        <v>XT55</v>
      </c>
      <c r="KC71" t="str">
        <f t="shared" si="152"/>
        <v>F0-AI6-1B</v>
      </c>
      <c r="KD71" t="str">
        <f t="shared" si="153"/>
        <v>F0-AI6-2B</v>
      </c>
      <c r="KI71">
        <f t="array" ref="KI71">IF(COUNTIFS($U$2:$U71,$U71)=1,1,INDEX(KI:KI,_xlfn.XMATCH(U71,U$1:U70,0,-1))+COUNT(KI70:KM70))</f>
        <v>50</v>
      </c>
      <c r="KJ71">
        <f t="shared" si="154"/>
        <v>51</v>
      </c>
      <c r="KK71">
        <f t="shared" si="154"/>
        <v>52</v>
      </c>
      <c r="KN71">
        <v>1</v>
      </c>
      <c r="KO71" s="16">
        <v>2</v>
      </c>
      <c r="KS71" s="16"/>
    </row>
    <row r="72" spans="1:305" x14ac:dyDescent="0.25">
      <c r="A72" s="83" t="s">
        <v>541</v>
      </c>
      <c r="B72" s="83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A3.6</v>
      </c>
      <c r="Y72" s="43">
        <f t="array" ref="Y72">IF(COUNTIFS($X$2:$X72,$X72)=1,"1",VALUE(SUBSTITUTE(INDEX(Y:Y,_xlfn.XMATCH($X72,$X$1:$X71,0,-1)),"A",""))+INDEX(Z:Z,_xlfn.XMATCH($X72,$X$1:$X71,0,-1))+1)</f>
        <v>2</v>
      </c>
      <c r="Z72" s="43">
        <f t="array" ref="Z72">SUM(IF(ISNUMBER(FIND("TmAi",$BE$1:$AAQ$1)),IF(IFERROR(ISODD(SUBSTITUTE($BE72:$AAQ72,"A","")),FALSE),IF(ISODD(SUBSTITUTE($BE72:$AAQ72,"A","")),1,0),0)))</f>
        <v>0</v>
      </c>
      <c r="AA72" t="str">
        <f>CONCATENATE($Y72*2-1,"B")</f>
        <v>3B</v>
      </c>
      <c r="AB72" t="str">
        <f>CONCATENATE($Y72*2,"B")</f>
        <v>4B</v>
      </c>
      <c r="AD72" s="46"/>
      <c r="AE72" s="46">
        <f t="array" ref="AE72">SUM(IF(ISNUMBER(FIND("TmDi",$BE$1:$AAQ$1)),IF(IFERROR(ISNUMBER(VALUE(SUBSTITUTE($BE72:$AAQ72,"B",""))),FALSE),IF(ISNUMBER(VALUE(SUBSTITUTE($BE72:$AAQ72,"B",""))),1,0),0)))</f>
        <v>0</v>
      </c>
      <c r="AP72" t="s">
        <v>137</v>
      </c>
      <c r="AS72" t="s">
        <v>396</v>
      </c>
      <c r="JZ72" s="27" t="str">
        <f t="shared" si="151"/>
        <v>XT55</v>
      </c>
      <c r="KC72" t="str">
        <f t="shared" si="152"/>
        <v>F0-AI6-3B</v>
      </c>
      <c r="KD72" t="str">
        <f t="shared" si="153"/>
        <v>F0-AI6-4B</v>
      </c>
      <c r="KI72">
        <f t="array" ref="KI72">IF(COUNTIFS($U$2:$U72,$U72)=1,1,INDEX(KI:KI,_xlfn.XMATCH(U72,U$1:U71,0,-1))+COUNT(KI71:KM71))</f>
        <v>53</v>
      </c>
      <c r="KJ72">
        <f t="shared" si="154"/>
        <v>54</v>
      </c>
      <c r="KK72">
        <f t="shared" si="154"/>
        <v>55</v>
      </c>
      <c r="KN72">
        <v>1</v>
      </c>
      <c r="KO72" s="16">
        <v>2</v>
      </c>
      <c r="KS72" s="16"/>
    </row>
    <row r="73" spans="1:305" x14ac:dyDescent="0.25">
      <c r="A73" s="83" t="s">
        <v>560</v>
      </c>
      <c r="B73" s="8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A3.6</v>
      </c>
      <c r="Y73" s="45">
        <f t="array" ref="Y73">IF(COUNTIFS($X$2:$X73,$X73)=1,"1",VALUE(SUBSTITUTE(INDEX(Y:Y,_xlfn.XMATCH($X73,$X$1:$X72,0,-1)),"A",""))+INDEX(Z:Z,_xlfn.XMATCH($X73,$X$1:$X72,0,-1))+1)</f>
        <v>3</v>
      </c>
      <c r="Z73" s="43">
        <f t="array" ref="Z73">SUM(IF(ISNUMBER(FIND("TmAi",$BE$1:$AAQ$1)),IF(IFERROR(ISODD(SUBSTITUTE($BE73:$AAQ73,"A","")),FALSE),IF(ISODD(SUBSTITUTE($BE73:$AAQ73,"A","")),1,0),0)))</f>
        <v>0</v>
      </c>
      <c r="AA73" t="str">
        <f>CONCATENATE($Y73*2-1,"B")</f>
        <v>5B</v>
      </c>
      <c r="AB73" t="str">
        <f>CONCATENATE($Y73*2,"B")</f>
        <v>6B</v>
      </c>
      <c r="AD73" s="46"/>
      <c r="AE73" s="46">
        <f t="array" ref="AE73">SUM(IF(ISNUMBER(FIND("TmDi",$BE$1:$AAQ$1)),IF(IFERROR(ISNUMBER(VALUE(SUBSTITUTE($BE73:$AAQ73,"B",""))),FALSE),IF(ISNUMBER(VALUE(SUBSTITUTE($BE73:$AAQ73,"B",""))),1,0),0)))</f>
        <v>0</v>
      </c>
      <c r="AP73" t="s">
        <v>137</v>
      </c>
      <c r="AS73" t="s">
        <v>396</v>
      </c>
      <c r="JZ73" s="27" t="str">
        <f t="shared" si="151"/>
        <v>XT55</v>
      </c>
      <c r="KC73" t="str">
        <f t="shared" si="152"/>
        <v>F0-AI6-5B</v>
      </c>
      <c r="KD73" t="str">
        <f t="shared" si="153"/>
        <v>F0-AI6-6B</v>
      </c>
      <c r="KI73">
        <f t="array" ref="KI73">IF(COUNTIFS($U$2:$U73,$U73)=1,1,INDEX(KI:KI,_xlfn.XMATCH(U73,U$1:U72,0,-1))+COUNT(KI72:KM72))</f>
        <v>56</v>
      </c>
      <c r="KJ73">
        <f t="shared" si="154"/>
        <v>57</v>
      </c>
      <c r="KK73">
        <f t="shared" si="154"/>
        <v>58</v>
      </c>
      <c r="KN73">
        <v>1</v>
      </c>
      <c r="KO73" s="16">
        <v>2</v>
      </c>
      <c r="KS73" s="16"/>
    </row>
    <row r="74" spans="1:305" x14ac:dyDescent="0.25">
      <c r="A74" s="83" t="s">
        <v>562</v>
      </c>
      <c r="B74" s="83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A3.6</v>
      </c>
      <c r="Y74" s="43">
        <f t="array" ref="Y74">IF(COUNTIFS($X$2:$X74,$X74)=1,"1",VALUE(SUBSTITUTE(INDEX(Y:Y,_xlfn.XMATCH($X74,$X$1:$X73,0,-1)),"A",""))+INDEX(Z:Z,_xlfn.XMATCH($X74,$X$1:$X73,0,-1))+1)</f>
        <v>4</v>
      </c>
      <c r="Z74" s="43">
        <f t="array" ref="Z74">SUM(IF(ISNUMBER(FIND("TmAi",$BE$1:$AAQ$1)),IF(IFERROR(ISODD(SUBSTITUTE($BE74:$AAQ74,"A","")),FALSE),IF(ISODD(SUBSTITUTE($BE74:$AAQ74,"A","")),1,0),0)))</f>
        <v>0</v>
      </c>
      <c r="AA74" t="str">
        <f>CONCATENATE($Y74*2-1,"B")</f>
        <v>7B</v>
      </c>
      <c r="AB74" t="str">
        <f>CONCATENATE($Y74*2,"B")</f>
        <v>8B</v>
      </c>
      <c r="AD74" s="46"/>
      <c r="AE74" s="46">
        <f t="array" ref="AE74">SUM(IF(ISNUMBER(FIND("TmDi",$BE$1:$AAQ$1)),IF(IFERROR(ISNUMBER(VALUE(SUBSTITUTE($BE74:$AAQ74,"B",""))),FALSE),IF(ISNUMBER(VALUE(SUBSTITUTE($BE74:$AAQ74,"B",""))),1,0),0)))</f>
        <v>0</v>
      </c>
      <c r="AP74" t="s">
        <v>137</v>
      </c>
      <c r="AS74" t="s">
        <v>396</v>
      </c>
      <c r="JZ74" s="27" t="str">
        <f t="shared" si="151"/>
        <v>XT55</v>
      </c>
      <c r="KC74" t="str">
        <f t="shared" si="152"/>
        <v>F0-AI6-7B</v>
      </c>
      <c r="KD74" t="str">
        <f t="shared" si="153"/>
        <v>F0-AI6-8B</v>
      </c>
      <c r="KI74">
        <f t="array" ref="KI74">IF(COUNTIFS($U$2:$U74,$U74)=1,1,INDEX(KI:KI,_xlfn.XMATCH(U74,U$1:U73,0,-1))+COUNT(KI73:KM73))</f>
        <v>59</v>
      </c>
      <c r="KJ74">
        <f t="shared" si="154"/>
        <v>60</v>
      </c>
      <c r="KK74">
        <f t="shared" si="154"/>
        <v>61</v>
      </c>
      <c r="KN74">
        <v>1</v>
      </c>
      <c r="KO74" s="16">
        <v>2</v>
      </c>
      <c r="KS74" s="16"/>
    </row>
    <row r="75" spans="1:305" x14ac:dyDescent="0.25">
      <c r="A75" s="83" t="s">
        <v>564</v>
      </c>
      <c r="B75" s="83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A3.6</v>
      </c>
      <c r="Y75" s="43">
        <f t="array" ref="Y75">IF(COUNTIFS($X$2:$X75,$X75)=1,"1",VALUE(SUBSTITUTE(INDEX(Y:Y,_xlfn.XMATCH($X75,$X$1:$X74,0,-1)),"A",""))+INDEX(Z:Z,_xlfn.XMATCH($X75,$X$1:$X74,0,-1))+1)</f>
        <v>5</v>
      </c>
      <c r="Z75" s="43">
        <f t="array" ref="Z75">SUM(IF(ISNUMBER(FIND("TmAi",$BE$1:$AAQ$1)),IF(IFERROR(ISODD(SUBSTITUTE($BE75:$AAQ75,"A","")),FALSE),IF(ISODD(SUBSTITUTE($BE75:$AAQ75,"A","")),1,0),0)))</f>
        <v>0</v>
      </c>
      <c r="AA75" t="str">
        <f>CONCATENATE($Y75*2-1,"B")</f>
        <v>9B</v>
      </c>
      <c r="AB75" t="str">
        <f>CONCATENATE($Y75*2,"B")</f>
        <v>10B</v>
      </c>
      <c r="AD75" s="46"/>
      <c r="AE75" s="46">
        <f t="array" ref="AE75">SUM(IF(ISNUMBER(FIND("TmDi",$BE$1:$AAQ$1)),IF(IFERROR(ISNUMBER(VALUE(SUBSTITUTE($BE75:$AAQ75,"B",""))),FALSE),IF(ISNUMBER(VALUE(SUBSTITUTE($BE75:$AAQ75,"B",""))),1,0),0)))</f>
        <v>0</v>
      </c>
      <c r="AP75" t="s">
        <v>137</v>
      </c>
      <c r="AS75" t="s">
        <v>396</v>
      </c>
      <c r="JZ75" s="27" t="str">
        <f t="shared" si="151"/>
        <v>XT55</v>
      </c>
      <c r="KC75" t="str">
        <f t="shared" si="152"/>
        <v>F0-AI6-9B</v>
      </c>
      <c r="KD75" t="str">
        <f t="shared" si="153"/>
        <v>F0-AI6-10B</v>
      </c>
      <c r="KI75">
        <f t="array" ref="KI75">IF(COUNTIFS($U$2:$U75,$U75)=1,1,INDEX(KI:KI,_xlfn.XMATCH(U75,U$1:U74,0,-1))+COUNT(KI74:KM74))</f>
        <v>62</v>
      </c>
      <c r="KJ75">
        <f t="shared" si="154"/>
        <v>63</v>
      </c>
      <c r="KK75">
        <f t="shared" si="154"/>
        <v>64</v>
      </c>
      <c r="KN75">
        <v>1</v>
      </c>
      <c r="KO75" s="16">
        <v>2</v>
      </c>
      <c r="KS75" s="16"/>
    </row>
    <row r="76" spans="1:305" x14ac:dyDescent="0.25">
      <c r="A76" s="83" t="s">
        <v>566</v>
      </c>
      <c r="B76" s="83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A3.6</v>
      </c>
      <c r="Y76" s="43">
        <f t="array" ref="Y76">IF(COUNTIFS($X$2:$X76,$X76)=1,"1",VALUE(SUBSTITUTE(INDEX(Y:Y,_xlfn.XMATCH($X76,$X$1:$X75,0,-1)),"A",""))+INDEX(Z:Z,_xlfn.XMATCH($X76,$X$1:$X75,0,-1))+1)</f>
        <v>6</v>
      </c>
      <c r="Z76" s="43">
        <f t="array" ref="Z76">SUM(IF(ISNUMBER(FIND("TmAi",$BE$1:$AAQ$1)),IF(IFERROR(ISODD(SUBSTITUTE($BE76:$AAQ76,"A","")),FALSE),IF(ISODD(SUBSTITUTE($BE76:$AAQ76,"A","")),1,0),0)))</f>
        <v>0</v>
      </c>
      <c r="AA76" t="str">
        <f>CONCATENATE($Y76*2-1,"A")</f>
        <v>11A</v>
      </c>
      <c r="AB76" t="str">
        <f>CONCATENATE($Y76*2-1,"B")</f>
        <v>11B</v>
      </c>
      <c r="AD76" s="46"/>
      <c r="AE76" s="46">
        <f t="array" ref="AE76">SUM(IF(ISNUMBER(FIND("TmDi",$BE$1:$AAQ$1)),IF(IFERROR(ISNUMBER(VALUE(SUBSTITUTE($BE76:$AAQ76,"B",""))),FALSE),IF(ISNUMBER(VALUE(SUBSTITUTE($BE76:$AAQ76,"B",""))),1,0),0)))</f>
        <v>0</v>
      </c>
      <c r="AP76" t="s">
        <v>137</v>
      </c>
      <c r="AS76" t="s">
        <v>396</v>
      </c>
      <c r="JZ76" s="27" t="str">
        <f t="shared" si="151"/>
        <v>XT55</v>
      </c>
      <c r="KC76" t="str">
        <f t="shared" si="152"/>
        <v>F0-AI6-11A</v>
      </c>
      <c r="KD76" t="str">
        <f t="shared" si="153"/>
        <v>F0-AI6-11B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ref="KJ76:KK92" si="157">KI76+1</f>
        <v>66</v>
      </c>
      <c r="KK76">
        <f t="shared" si="157"/>
        <v>67</v>
      </c>
      <c r="KL76">
        <f>KK76+1</f>
        <v>68</v>
      </c>
      <c r="KM76">
        <f>KL76+1</f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s="83" t="s">
        <v>568</v>
      </c>
      <c r="B77" s="83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A3.6</v>
      </c>
      <c r="Y77" s="43">
        <f t="array" ref="Y77">IF(COUNTIFS($X$2:$X77,$X77)=1,"1",VALUE(SUBSTITUTE(INDEX(Y:Y,_xlfn.XMATCH($X77,$X$1:$X76,0,-1)),"A",""))+INDEX(Z:Z,_xlfn.XMATCH($X77,$X$1:$X76,0,-1))+1)</f>
        <v>7</v>
      </c>
      <c r="Z77" s="43">
        <f t="array" ref="Z77">SUM(IF(ISNUMBER(FIND("TmAi",$BE$1:$AAQ$1)),IF(IFERROR(ISODD(SUBSTITUTE($BE77:$AAQ77,"A","")),FALSE),IF(ISODD(SUBSTITUTE($BE77:$AAQ77,"A","")),1,0),0)))</f>
        <v>0</v>
      </c>
      <c r="AA77" t="str">
        <f t="shared" ref="AA77:AA88" si="158">CONCATENATE($Y77*2-1,"B")</f>
        <v>13B</v>
      </c>
      <c r="AB77" t="str">
        <f t="shared" ref="AB77:AB88" si="159">CONCATENATE($Y77*2,"B")</f>
        <v>14B</v>
      </c>
      <c r="AD77" s="46"/>
      <c r="AE77" s="46">
        <f t="array" ref="AE77">SUM(IF(ISNUMBER(FIND("TmDi",$BE$1:$AAQ$1)),IF(IFERROR(ISNUMBER(VALUE(SUBSTITUTE($BE77:$AAQ77,"B",""))),FALSE),IF(ISNUMBER(VALUE(SUBSTITUTE($BE77:$AAQ77,"B",""))),1,0),0)))</f>
        <v>0</v>
      </c>
      <c r="AP77" t="s">
        <v>137</v>
      </c>
      <c r="AS77" t="s">
        <v>396</v>
      </c>
      <c r="JZ77" s="27" t="str">
        <f t="shared" si="151"/>
        <v>XT55</v>
      </c>
      <c r="KC77" t="str">
        <f t="shared" si="152"/>
        <v>F0-AI6-13B</v>
      </c>
      <c r="KD77" t="str">
        <f t="shared" si="153"/>
        <v>F0-AI6-14B</v>
      </c>
      <c r="KI77">
        <f t="array" ref="KI77">IF(COUNTIFS($U$2:$U77,$U77)=1,1,INDEX(KI:KI,_xlfn.XMATCH(U77,U$1:U76,0,-1))+COUNT(KI76:KM76))</f>
        <v>70</v>
      </c>
      <c r="KJ77">
        <f t="shared" si="157"/>
        <v>71</v>
      </c>
      <c r="KK77">
        <f t="shared" si="157"/>
        <v>72</v>
      </c>
      <c r="KN77">
        <v>1</v>
      </c>
      <c r="KO77" s="16">
        <v>2</v>
      </c>
      <c r="KS77" s="16"/>
    </row>
    <row r="78" spans="1:305" x14ac:dyDescent="0.25">
      <c r="A78" s="83" t="s">
        <v>570</v>
      </c>
      <c r="B78" s="85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A3.6</v>
      </c>
      <c r="Y78" s="43">
        <f t="array" ref="Y78">IF(COUNTIFS($X$2:$X78,$X78)=1,"1",VALUE(SUBSTITUTE(INDEX(Y:Y,_xlfn.XMATCH($X78,$X$1:$X77,0,-1)),"A",""))+INDEX(Z:Z,_xlfn.XMATCH($X78,$X$1:$X77,0,-1))+1)</f>
        <v>8</v>
      </c>
      <c r="Z78" s="43">
        <f t="array" ref="Z78">SUM(IF(ISNUMBER(FIND("TmAi",$BE$1:$AAQ$1)),IF(IFERROR(ISODD(SUBSTITUTE($BE78:$AAQ78,"A","")),FALSE),IF(ISODD(SUBSTITUTE($BE78:$AAQ78,"A","")),1,0),0)))</f>
        <v>0</v>
      </c>
      <c r="AA78" t="str">
        <f t="shared" si="158"/>
        <v>15B</v>
      </c>
      <c r="AB78" t="str">
        <f t="shared" si="159"/>
        <v>16B</v>
      </c>
      <c r="AD78" s="46"/>
      <c r="AE78" s="46">
        <f t="array" ref="AE78">SUM(IF(ISNUMBER(FIND("TmDi",$BE$1:$AAQ$1)),IF(IFERROR(ISNUMBER(VALUE(SUBSTITUTE($BE78:$AAQ78,"B",""))),FALSE),IF(ISNUMBER(VALUE(SUBSTITUTE($BE78:$AAQ78,"B",""))),1,0),0)))</f>
        <v>0</v>
      </c>
      <c r="AP78" t="s">
        <v>137</v>
      </c>
      <c r="AS78" t="s">
        <v>396</v>
      </c>
      <c r="JZ78" s="27" t="str">
        <f t="shared" si="151"/>
        <v>XT55</v>
      </c>
      <c r="KC78" t="str">
        <f t="shared" si="152"/>
        <v>F0-AI6-15B</v>
      </c>
      <c r="KD78" t="str">
        <f t="shared" si="153"/>
        <v>F0-AI6-16B</v>
      </c>
      <c r="KI78">
        <f t="array" ref="KI78">IF(COUNTIFS($U$2:$U78,$U78)=1,1,INDEX(KI:KI,_xlfn.XMATCH(U78,U$1:U77,0,-1))+COUNT(KI77:KM77))</f>
        <v>73</v>
      </c>
      <c r="KJ78">
        <f t="shared" si="157"/>
        <v>74</v>
      </c>
      <c r="KK78">
        <f t="shared" si="157"/>
        <v>75</v>
      </c>
      <c r="KN78">
        <v>1</v>
      </c>
      <c r="KO78" s="16">
        <v>2</v>
      </c>
      <c r="KS78" s="16"/>
    </row>
    <row r="79" spans="1:305" x14ac:dyDescent="0.25">
      <c r="A79" s="83" t="s">
        <v>572</v>
      </c>
      <c r="B79" s="83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A3.7</v>
      </c>
      <c r="Y79" s="43" t="str">
        <f t="array" ref="Y79">IF(COUNTIFS($X$2:$X79,$X79)=1,"1",VALUE(SUBSTITUTE(INDEX(Y:Y,_xlfn.XMATCH($X79,$X$1:$X78,0,-1)),"A",""))+INDEX(Z:Z,_xlfn.XMATCH($X79,$X$1:$X78,0,-1))+1)</f>
        <v>1</v>
      </c>
      <c r="Z79" s="43">
        <f t="array" ref="Z79">SUM(IF(ISNUMBER(FIND("TmAi",$BE$1:$AAQ$1)),IF(IFERROR(ISODD(SUBSTITUTE($BE79:$AAQ79,"A","")),FALSE),IF(ISODD(SUBSTITUTE($BE79:$AAQ79,"A","")),1,0),0)))</f>
        <v>0</v>
      </c>
      <c r="AA79" t="str">
        <f t="shared" si="158"/>
        <v>1B</v>
      </c>
      <c r="AB79" t="str">
        <f t="shared" si="159"/>
        <v>2B</v>
      </c>
      <c r="AD79" s="46"/>
      <c r="AE79" s="46">
        <f t="array" ref="AE79">SUM(IF(ISNUMBER(FIND("TmDi",$BE$1:$AAQ$1)),IF(IFERROR(ISNUMBER(VALUE(SUBSTITUTE($BE79:$AAQ79,"B",""))),FALSE),IF(ISNUMBER(VALUE(SUBSTITUTE($BE79:$AAQ79,"B",""))),1,0),0)))</f>
        <v>0</v>
      </c>
      <c r="AP79" t="s">
        <v>137</v>
      </c>
      <c r="AS79" t="s">
        <v>396</v>
      </c>
      <c r="JZ79" s="27" t="str">
        <f t="shared" si="151"/>
        <v>XT55</v>
      </c>
      <c r="KC79" t="str">
        <f t="shared" si="152"/>
        <v>F0-AI7-1B</v>
      </c>
      <c r="KD79" t="str">
        <f t="shared" si="153"/>
        <v>F0-AI7-2B</v>
      </c>
      <c r="KI79">
        <f t="array" ref="KI79">IF(COUNTIFS($U$2:$U79,$U79)=1,1,INDEX(KI:KI,_xlfn.XMATCH(U79,U$1:U78,0,-1))+COUNT(KI78:KM78))</f>
        <v>76</v>
      </c>
      <c r="KJ79">
        <f t="shared" si="157"/>
        <v>77</v>
      </c>
      <c r="KK79">
        <f t="shared" si="157"/>
        <v>78</v>
      </c>
      <c r="KN79">
        <v>1</v>
      </c>
      <c r="KO79" s="16">
        <v>2</v>
      </c>
      <c r="KS79" s="16"/>
    </row>
    <row r="80" spans="1:305" x14ac:dyDescent="0.25">
      <c r="A80" s="83" t="s">
        <v>574</v>
      </c>
      <c r="B80" s="83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A3.7</v>
      </c>
      <c r="Y80" s="43">
        <f t="array" ref="Y80">IF(COUNTIFS($X$2:$X80,$X80)=1,"1",VALUE(SUBSTITUTE(INDEX(Y:Y,_xlfn.XMATCH($X80,$X$1:$X79,0,-1)),"A",""))+INDEX(Z:Z,_xlfn.XMATCH($X80,$X$1:$X79,0,-1))+1)</f>
        <v>2</v>
      </c>
      <c r="Z80" s="43">
        <f t="array" ref="Z80">SUM(IF(ISNUMBER(FIND("TmAi",$BE$1:$AAQ$1)),IF(IFERROR(ISODD(SUBSTITUTE($BE80:$AAQ80,"A","")),FALSE),IF(ISODD(SUBSTITUTE($BE80:$AAQ80,"A","")),1,0),0)))</f>
        <v>0</v>
      </c>
      <c r="AA80" t="str">
        <f t="shared" si="158"/>
        <v>3B</v>
      </c>
      <c r="AB80" t="str">
        <f t="shared" si="159"/>
        <v>4B</v>
      </c>
      <c r="AD80" s="46"/>
      <c r="AE80" s="46">
        <f t="array" ref="AE80">SUM(IF(ISNUMBER(FIND("TmDi",$BE$1:$AAQ$1)),IF(IFERROR(ISNUMBER(VALUE(SUBSTITUTE($BE80:$AAQ80,"B",""))),FALSE),IF(ISNUMBER(VALUE(SUBSTITUTE($BE80:$AAQ80,"B",""))),1,0),0)))</f>
        <v>0</v>
      </c>
      <c r="AP80" t="s">
        <v>137</v>
      </c>
      <c r="AS80" t="s">
        <v>396</v>
      </c>
      <c r="JZ80" s="27" t="str">
        <f t="shared" si="151"/>
        <v>XT55</v>
      </c>
      <c r="KC80" t="str">
        <f t="shared" si="152"/>
        <v>F0-AI7-3B</v>
      </c>
      <c r="KD80" t="str">
        <f t="shared" si="153"/>
        <v>F0-AI7-4B</v>
      </c>
      <c r="KI80">
        <f t="array" ref="KI80">IF(COUNTIFS($U$2:$U80,$U80)=1,1,INDEX(KI:KI,_xlfn.XMATCH(U80,U$1:U79,0,-1))+COUNT(KI79:KM79))</f>
        <v>79</v>
      </c>
      <c r="KJ80">
        <f t="shared" si="157"/>
        <v>80</v>
      </c>
      <c r="KK80">
        <f t="shared" si="157"/>
        <v>81</v>
      </c>
      <c r="KN80">
        <v>1</v>
      </c>
      <c r="KO80" s="16">
        <v>2</v>
      </c>
      <c r="KS80" s="16"/>
    </row>
    <row r="81" spans="1:305" x14ac:dyDescent="0.25">
      <c r="A81" s="83" t="s">
        <v>576</v>
      </c>
      <c r="B81" s="83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A3.7</v>
      </c>
      <c r="Y81" s="45">
        <f t="array" ref="Y81">IF(COUNTIFS($X$2:$X81,$X81)=1,"1",VALUE(SUBSTITUTE(INDEX(Y:Y,_xlfn.XMATCH($X81,$X$1:$X80,0,-1)),"A",""))+INDEX(Z:Z,_xlfn.XMATCH($X81,$X$1:$X80,0,-1))+1)</f>
        <v>3</v>
      </c>
      <c r="Z81" s="43">
        <f t="array" ref="Z81">SUM(IF(ISNUMBER(FIND("TmAi",$BE$1:$AAQ$1)),IF(IFERROR(ISODD(SUBSTITUTE($BE81:$AAQ81,"A","")),FALSE),IF(ISODD(SUBSTITUTE($BE81:$AAQ81,"A","")),1,0),0)))</f>
        <v>0</v>
      </c>
      <c r="AA81" t="str">
        <f t="shared" si="158"/>
        <v>5B</v>
      </c>
      <c r="AB81" t="str">
        <f t="shared" si="159"/>
        <v>6B</v>
      </c>
      <c r="AD81" s="46"/>
      <c r="AE81" s="46">
        <f t="array" ref="AE81">SUM(IF(ISNUMBER(FIND("TmDi",$BE$1:$AAQ$1)),IF(IFERROR(ISNUMBER(VALUE(SUBSTITUTE($BE81:$AAQ81,"B",""))),FALSE),IF(ISNUMBER(VALUE(SUBSTITUTE($BE81:$AAQ81,"B",""))),1,0),0)))</f>
        <v>0</v>
      </c>
      <c r="AP81" t="s">
        <v>137</v>
      </c>
      <c r="AS81" t="s">
        <v>396</v>
      </c>
      <c r="JZ81" s="27" t="str">
        <f t="shared" si="151"/>
        <v>XT55</v>
      </c>
      <c r="KC81" t="str">
        <f t="shared" si="152"/>
        <v>F0-AI7-5B</v>
      </c>
      <c r="KD81" t="str">
        <f t="shared" si="153"/>
        <v>F0-AI7-6B</v>
      </c>
      <c r="KI81">
        <f t="array" ref="KI81">IF(COUNTIFS($U$2:$U81,$U81)=1,1,INDEX(KI:KI,_xlfn.XMATCH(U81,U$1:U80,0,-1))+COUNT(KI80:KM80))</f>
        <v>82</v>
      </c>
      <c r="KJ81">
        <f t="shared" si="157"/>
        <v>83</v>
      </c>
      <c r="KK81">
        <f t="shared" si="157"/>
        <v>84</v>
      </c>
      <c r="KN81">
        <v>1</v>
      </c>
      <c r="KO81" s="16">
        <v>2</v>
      </c>
      <c r="KS81" s="16"/>
    </row>
    <row r="82" spans="1:305" x14ac:dyDescent="0.25">
      <c r="A82" s="83" t="s">
        <v>587</v>
      </c>
      <c r="B82" s="83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A3.7</v>
      </c>
      <c r="Y82" s="43">
        <f t="array" ref="Y82">IF(COUNTIFS($X$2:$X82,$X82)=1,"1",VALUE(SUBSTITUTE(INDEX(Y:Y,_xlfn.XMATCH($X82,$X$1:$X81,0,-1)),"A",""))+INDEX(Z:Z,_xlfn.XMATCH($X82,$X$1:$X81,0,-1))+1)</f>
        <v>4</v>
      </c>
      <c r="Z82" s="43">
        <f t="array" ref="Z82">SUM(IF(ISNUMBER(FIND("TmAi",$BE$1:$AAQ$1)),IF(IFERROR(ISODD(SUBSTITUTE($BE82:$AAQ82,"A","")),FALSE),IF(ISODD(SUBSTITUTE($BE82:$AAQ82,"A","")),1,0),0)))</f>
        <v>0</v>
      </c>
      <c r="AA82" t="str">
        <f t="shared" si="158"/>
        <v>7B</v>
      </c>
      <c r="AB82" t="str">
        <f t="shared" si="159"/>
        <v>8B</v>
      </c>
      <c r="AD82" s="46"/>
      <c r="AE82" s="46">
        <f t="array" ref="AE82">SUM(IF(ISNUMBER(FIND("TmDi",$BE$1:$AAQ$1)),IF(IFERROR(ISNUMBER(VALUE(SUBSTITUTE($BE82:$AAQ82,"B",""))),FALSE),IF(ISNUMBER(VALUE(SUBSTITUTE($BE82:$AAQ82,"B",""))),1,0),0)))</f>
        <v>0</v>
      </c>
      <c r="AP82" t="s">
        <v>137</v>
      </c>
      <c r="AS82" t="s">
        <v>396</v>
      </c>
      <c r="JZ82" s="27" t="str">
        <f t="shared" si="151"/>
        <v>XT55</v>
      </c>
      <c r="KC82" t="str">
        <f t="shared" si="152"/>
        <v>F0-AI7-7B</v>
      </c>
      <c r="KD82" t="str">
        <f t="shared" si="153"/>
        <v>F0-AI7-8B</v>
      </c>
      <c r="KI82">
        <f t="array" ref="KI82">IF(COUNTIFS($U$2:$U82,$U82)=1,1,INDEX(KI:KI,_xlfn.XMATCH(U82,U$1:U81,0,-1))+COUNT(KI81:KM81))</f>
        <v>85</v>
      </c>
      <c r="KJ82">
        <f t="shared" si="157"/>
        <v>86</v>
      </c>
      <c r="KK82">
        <f t="shared" si="157"/>
        <v>87</v>
      </c>
      <c r="KN82">
        <v>1</v>
      </c>
      <c r="KO82" s="16">
        <v>2</v>
      </c>
      <c r="KS82" s="16"/>
    </row>
    <row r="83" spans="1:305" x14ac:dyDescent="0.25">
      <c r="A83" s="83" t="s">
        <v>590</v>
      </c>
      <c r="B83" s="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">
        <v>2326</v>
      </c>
      <c r="Y83" s="43" t="str">
        <f t="array" ref="Y83">IF(COUNTIFS($X$2:$X83,$X83)=1,"1",VALUE(SUBSTITUTE(INDEX(Y:Y,_xlfn.XMATCH($X83,$X$1:$X82,0,-1)),"A",""))+INDEX(Z:Z,_xlfn.XMATCH($X83,$X$1:$X82,0,-1))+1)</f>
        <v>1</v>
      </c>
      <c r="Z83" s="43">
        <f t="array" ref="Z83">SUM(IF(ISNUMBER(FIND("TmAi",$BE$1:$AAQ$1)),IF(IFERROR(ISODD(SUBSTITUTE($BE83:$AAQ83,"A","")),FALSE),IF(ISODD(SUBSTITUTE($BE83:$AAQ83,"A","")),1,0),0)))</f>
        <v>0</v>
      </c>
      <c r="AA83" t="str">
        <f t="shared" si="158"/>
        <v>1B</v>
      </c>
      <c r="AB83" t="str">
        <f t="shared" si="159"/>
        <v>2B</v>
      </c>
      <c r="AD83" s="46"/>
      <c r="AE83" s="46">
        <f t="array" ref="AE83">SUM(IF(ISNUMBER(FIND("TmDi",$BE$1:$AAQ$1)),IF(IFERROR(ISNUMBER(VALUE(SUBSTITUTE($BE83:$AAQ83,"B",""))),FALSE),IF(ISNUMBER(VALUE(SUBSTITUTE($BE83:$AAQ83,"B",""))),1,0),0)))</f>
        <v>0</v>
      </c>
      <c r="AP83" t="s">
        <v>137</v>
      </c>
      <c r="AS83" t="s">
        <v>396</v>
      </c>
      <c r="JZ83" s="27" t="str">
        <f t="shared" si="151"/>
        <v>XT55</v>
      </c>
      <c r="KC83" t="str">
        <f t="shared" si="152"/>
        <v>F0-AI8-1B</v>
      </c>
      <c r="KD83" t="str">
        <f t="shared" si="153"/>
        <v>F0-AI8-2B</v>
      </c>
      <c r="KI83">
        <f t="array" ref="KI83">IF(COUNTIFS($U$2:$U83,$U83)=1,1,INDEX(KI:KI,_xlfn.XMATCH(U83,U$1:U82,0,-1))+COUNT(KI82:KM82))</f>
        <v>88</v>
      </c>
      <c r="KJ83">
        <f t="shared" si="157"/>
        <v>89</v>
      </c>
      <c r="KK83">
        <f t="shared" si="157"/>
        <v>90</v>
      </c>
      <c r="KN83">
        <v>1</v>
      </c>
      <c r="KO83" s="16">
        <v>2</v>
      </c>
      <c r="KS83" s="16"/>
    </row>
    <row r="84" spans="1:305" x14ac:dyDescent="0.25">
      <c r="A84" s="83" t="s">
        <v>592</v>
      </c>
      <c r="B84" s="83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A3.8</v>
      </c>
      <c r="Y84" s="43">
        <f t="array" ref="Y84">IF(COUNTIFS($X$2:$X84,$X84)=1,"1",VALUE(SUBSTITUTE(INDEX(Y:Y,_xlfn.XMATCH($X84,$X$1:$X83,0,-1)),"A",""))+INDEX(Z:Z,_xlfn.XMATCH($X84,$X$1:$X83,0,-1))+1)</f>
        <v>2</v>
      </c>
      <c r="Z84" s="43">
        <f t="array" ref="Z84">SUM(IF(ISNUMBER(FIND("TmAi",$BE$1:$AAQ$1)),IF(IFERROR(ISODD(SUBSTITUTE($BE84:$AAQ84,"A","")),FALSE),IF(ISODD(SUBSTITUTE($BE84:$AAQ84,"A","")),1,0),0)))</f>
        <v>0</v>
      </c>
      <c r="AA84" t="str">
        <f t="shared" si="158"/>
        <v>3B</v>
      </c>
      <c r="AB84" t="str">
        <f t="shared" si="159"/>
        <v>4B</v>
      </c>
      <c r="AD84" s="46"/>
      <c r="AE84" s="46">
        <f t="array" ref="AE84">SUM(IF(ISNUMBER(FIND("TmDi",$BE$1:$AAQ$1)),IF(IFERROR(ISNUMBER(VALUE(SUBSTITUTE($BE84:$AAQ84,"B",""))),FALSE),IF(ISNUMBER(VALUE(SUBSTITUTE($BE84:$AAQ84,"B",""))),1,0),0)))</f>
        <v>0</v>
      </c>
      <c r="AP84" t="s">
        <v>137</v>
      </c>
      <c r="AS84" t="s">
        <v>396</v>
      </c>
      <c r="JZ84" s="27" t="str">
        <f t="shared" si="151"/>
        <v>XT55</v>
      </c>
      <c r="KC84" t="str">
        <f t="shared" si="152"/>
        <v>F0-AI8-3B</v>
      </c>
      <c r="KD84" t="str">
        <f t="shared" si="153"/>
        <v>F0-AI8-4B</v>
      </c>
      <c r="KI84">
        <f t="array" ref="KI84">IF(COUNTIFS($U$2:$U84,$U84)=1,1,INDEX(KI:KI,_xlfn.XMATCH(U84,U$1:U83,0,-1))+COUNT(KI83:KM83))</f>
        <v>91</v>
      </c>
      <c r="KJ84">
        <f t="shared" si="157"/>
        <v>92</v>
      </c>
      <c r="KK84">
        <f t="shared" si="157"/>
        <v>93</v>
      </c>
      <c r="KN84">
        <v>1</v>
      </c>
      <c r="KO84" s="16">
        <v>2</v>
      </c>
      <c r="KS84" s="16"/>
    </row>
    <row r="85" spans="1:305" x14ac:dyDescent="0.25">
      <c r="A85" s="83" t="s">
        <v>597</v>
      </c>
      <c r="B85" s="83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A3.8</v>
      </c>
      <c r="Y85" s="43">
        <f t="array" ref="Y85">IF(COUNTIFS($X$2:$X85,$X85)=1,"1",VALUE(SUBSTITUTE(INDEX(Y:Y,_xlfn.XMATCH($X85,$X$1:$X84,0,-1)),"A",""))+INDEX(Z:Z,_xlfn.XMATCH($X85,$X$1:$X84,0,-1))+1)</f>
        <v>3</v>
      </c>
      <c r="Z85" s="43">
        <f t="array" ref="Z85">SUM(IF(ISNUMBER(FIND("TmAi",$BE$1:$AAQ$1)),IF(IFERROR(ISODD(SUBSTITUTE($BE85:$AAQ85,"A","")),FALSE),IF(ISODD(SUBSTITUTE($BE85:$AAQ85,"A","")),1,0),0)))</f>
        <v>0</v>
      </c>
      <c r="AA85" t="str">
        <f t="shared" si="158"/>
        <v>5B</v>
      </c>
      <c r="AB85" t="str">
        <f t="shared" si="159"/>
        <v>6B</v>
      </c>
      <c r="AD85" s="46"/>
      <c r="AE85" s="46">
        <f t="array" ref="AE85">SUM(IF(ISNUMBER(FIND("TmDi",$BE$1:$AAQ$1)),IF(IFERROR(ISNUMBER(VALUE(SUBSTITUTE($BE85:$AAQ85,"B",""))),FALSE),IF(ISNUMBER(VALUE(SUBSTITUTE($BE85:$AAQ85,"B",""))),1,0),0)))</f>
        <v>0</v>
      </c>
      <c r="AP85" t="s">
        <v>137</v>
      </c>
      <c r="AS85" t="s">
        <v>396</v>
      </c>
      <c r="JZ85" s="27" t="str">
        <f t="shared" si="151"/>
        <v>XT55</v>
      </c>
      <c r="KC85" t="str">
        <f t="shared" si="152"/>
        <v>F0-AI8-5B</v>
      </c>
      <c r="KD85" t="str">
        <f t="shared" si="153"/>
        <v>F0-AI8-6B</v>
      </c>
      <c r="KI85">
        <f t="array" ref="KI85">IF(COUNTIFS($U$2:$U85,$U85)=1,1,INDEX(KI:KI,_xlfn.XMATCH(U85,U$1:U84,0,-1))+COUNT(KI84:KM84))</f>
        <v>94</v>
      </c>
      <c r="KJ85">
        <f t="shared" si="157"/>
        <v>95</v>
      </c>
      <c r="KK85">
        <f t="shared" si="157"/>
        <v>96</v>
      </c>
      <c r="KN85">
        <v>1</v>
      </c>
      <c r="KO85" s="16">
        <v>2</v>
      </c>
      <c r="KS85" s="16"/>
    </row>
    <row r="86" spans="1:305" x14ac:dyDescent="0.25">
      <c r="A86" s="83" t="s">
        <v>598</v>
      </c>
      <c r="B86" s="83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A3.8</v>
      </c>
      <c r="Y86" s="43">
        <f t="array" ref="Y86">IF(COUNTIFS($X$2:$X86,$X86)=1,"1",VALUE(SUBSTITUTE(INDEX(Y:Y,_xlfn.XMATCH($X86,$X$1:$X85,0,-1)),"A",""))+INDEX(Z:Z,_xlfn.XMATCH($X86,$X$1:$X85,0,-1))+1)</f>
        <v>4</v>
      </c>
      <c r="Z86" s="43">
        <f t="array" ref="Z86">SUM(IF(ISNUMBER(FIND("TmAi",$BE$1:$AAQ$1)),IF(IFERROR(ISODD(SUBSTITUTE($BE86:$AAQ86,"A","")),FALSE),IF(ISODD(SUBSTITUTE($BE86:$AAQ86,"A","")),1,0),0)))</f>
        <v>0</v>
      </c>
      <c r="AA86" t="str">
        <f t="shared" si="158"/>
        <v>7B</v>
      </c>
      <c r="AB86" t="str">
        <f t="shared" si="159"/>
        <v>8B</v>
      </c>
      <c r="AD86" s="46"/>
      <c r="AE86" s="46">
        <f t="array" ref="AE86">SUM(IF(ISNUMBER(FIND("TmDi",$BE$1:$AAQ$1)),IF(IFERROR(ISNUMBER(VALUE(SUBSTITUTE($BE86:$AAQ86,"B",""))),FALSE),IF(ISNUMBER(VALUE(SUBSTITUTE($BE86:$AAQ86,"B",""))),1,0),0)))</f>
        <v>0</v>
      </c>
      <c r="AP86" t="s">
        <v>137</v>
      </c>
      <c r="AS86" t="s">
        <v>396</v>
      </c>
      <c r="JZ86" s="27" t="str">
        <f t="shared" si="151"/>
        <v>XT55</v>
      </c>
      <c r="KC86" t="str">
        <f t="shared" si="152"/>
        <v>F0-AI8-7B</v>
      </c>
      <c r="KD86" t="str">
        <f t="shared" si="153"/>
        <v>F0-AI8-8B</v>
      </c>
      <c r="KI86">
        <f t="array" ref="KI86">IF(COUNTIFS($U$2:$U86,$U86)=1,1,INDEX(KI:KI,_xlfn.XMATCH(U86,U$1:U85,0,-1))+COUNT(KI85:KM85))</f>
        <v>97</v>
      </c>
      <c r="KJ86">
        <f t="shared" si="157"/>
        <v>98</v>
      </c>
      <c r="KK86">
        <f t="shared" si="157"/>
        <v>99</v>
      </c>
      <c r="KN86">
        <v>1</v>
      </c>
      <c r="KO86" s="16">
        <v>2</v>
      </c>
      <c r="KS86" s="16"/>
    </row>
    <row r="87" spans="1:305" x14ac:dyDescent="0.25">
      <c r="A87" s="83" t="s">
        <v>599</v>
      </c>
      <c r="B87" s="83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A3.8</v>
      </c>
      <c r="Y87" s="43">
        <f t="array" ref="Y87">IF(COUNTIFS($X$2:$X87,$X87)=1,"1",VALUE(SUBSTITUTE(INDEX(Y:Y,_xlfn.XMATCH($X87,$X$1:$X86,0,-1)),"A",""))+INDEX(Z:Z,_xlfn.XMATCH($X87,$X$1:$X86,0,-1))+1)</f>
        <v>5</v>
      </c>
      <c r="Z87" s="43">
        <f t="array" ref="Z87">SUM(IF(ISNUMBER(FIND("TmAi",$BE$1:$AAQ$1)),IF(IFERROR(ISODD(SUBSTITUTE($BE87:$AAQ87,"A","")),FALSE),IF(ISODD(SUBSTITUTE($BE87:$AAQ87,"A","")),1,0),0)))</f>
        <v>0</v>
      </c>
      <c r="AA87" t="str">
        <f t="shared" si="158"/>
        <v>9B</v>
      </c>
      <c r="AB87" t="str">
        <f t="shared" si="159"/>
        <v>10B</v>
      </c>
      <c r="AD87" s="46"/>
      <c r="AE87" s="46">
        <f t="array" ref="AE87">SUM(IF(ISNUMBER(FIND("TmDi",$BE$1:$AAQ$1)),IF(IFERROR(ISNUMBER(VALUE(SUBSTITUTE($BE87:$AAQ87,"B",""))),FALSE),IF(ISNUMBER(VALUE(SUBSTITUTE($BE87:$AAQ87,"B",""))),1,0),0)))</f>
        <v>0</v>
      </c>
      <c r="AP87" t="s">
        <v>137</v>
      </c>
      <c r="AS87" t="s">
        <v>396</v>
      </c>
      <c r="JZ87" s="27" t="str">
        <f t="shared" si="151"/>
        <v>XT55</v>
      </c>
      <c r="KC87" t="str">
        <f t="shared" si="152"/>
        <v>F0-AI8-9B</v>
      </c>
      <c r="KD87" t="str">
        <f t="shared" si="153"/>
        <v>F0-AI8-10B</v>
      </c>
      <c r="KI87">
        <f t="array" ref="KI87">IF(COUNTIFS($U$2:$U87,$U87)=1,1,INDEX(KI:KI,_xlfn.XMATCH(U87,U$1:U86,0,-1))+COUNT(KI86:KM86))</f>
        <v>100</v>
      </c>
      <c r="KJ87">
        <f t="shared" si="157"/>
        <v>101</v>
      </c>
      <c r="KK87">
        <f t="shared" si="157"/>
        <v>102</v>
      </c>
      <c r="KN87">
        <v>1</v>
      </c>
      <c r="KO87" s="16">
        <v>2</v>
      </c>
      <c r="KS87" s="16"/>
    </row>
    <row r="88" spans="1:305" x14ac:dyDescent="0.25">
      <c r="A88" s="83" t="s">
        <v>600</v>
      </c>
      <c r="B88" s="83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A3.8</v>
      </c>
      <c r="Y88" s="43">
        <f t="array" ref="Y88">IF(COUNTIFS($X$2:$X88,$X88)=1,"1",VALUE(SUBSTITUTE(INDEX(Y:Y,_xlfn.XMATCH($X88,$X$1:$X87,0,-1)),"A",""))+INDEX(Z:Z,_xlfn.XMATCH($X88,$X$1:$X87,0,-1))+1)</f>
        <v>6</v>
      </c>
      <c r="Z88" s="43">
        <f t="array" ref="Z88">SUM(IF(ISNUMBER(FIND("TmAi",$BE$1:$AAQ$1)),IF(IFERROR(ISODD(SUBSTITUTE($BE88:$AAQ88,"A","")),FALSE),IF(ISODD(SUBSTITUTE($BE88:$AAQ88,"A","")),1,0),0)))</f>
        <v>0</v>
      </c>
      <c r="AA88" t="str">
        <f t="shared" si="158"/>
        <v>11B</v>
      </c>
      <c r="AB88" t="str">
        <f t="shared" si="159"/>
        <v>12B</v>
      </c>
      <c r="AD88" s="46"/>
      <c r="AE88" s="46">
        <f t="array" ref="AE88">SUM(IF(ISNUMBER(FIND("TmDi",$BE$1:$AAQ$1)),IF(IFERROR(ISNUMBER(VALUE(SUBSTITUTE($BE88:$AAQ88,"B",""))),FALSE),IF(ISNUMBER(VALUE(SUBSTITUTE($BE88:$AAQ88,"B",""))),1,0),0)))</f>
        <v>0</v>
      </c>
      <c r="AP88" t="s">
        <v>137</v>
      </c>
      <c r="AS88" t="s">
        <v>396</v>
      </c>
      <c r="JZ88" s="27" t="str">
        <f t="shared" ref="JZ88:JZ119" si="160">CONCATENATE("XT",U88)</f>
        <v>XT55</v>
      </c>
      <c r="KC88" t="str">
        <f t="shared" ref="KC88:KC119" si="161">CONCATENATE(T88,"-AI",REPLACE($X88,1,3,""),"-",AA88)</f>
        <v>F0-AI8-11B</v>
      </c>
      <c r="KD88" t="str">
        <f t="shared" ref="KD88:KD119" si="162">CONCATENATE(T88,"-AI",REPLACE($X88,1,3,""),"-",AB88)</f>
        <v>F0-AI8-12B</v>
      </c>
      <c r="KI88">
        <f t="array" ref="KI88">IF(COUNTIFS($U$2:$U88,$U88)=1,1,INDEX(KI:KI,_xlfn.XMATCH(U88,U$1:U87,0,-1))+COUNT(KI87:KM87))</f>
        <v>103</v>
      </c>
      <c r="KJ88">
        <f t="shared" si="157"/>
        <v>104</v>
      </c>
      <c r="KK88">
        <f t="shared" si="157"/>
        <v>105</v>
      </c>
      <c r="KN88">
        <v>1</v>
      </c>
      <c r="KO88" s="16">
        <v>2</v>
      </c>
      <c r="KS88" s="16"/>
    </row>
    <row r="89" spans="1:305" x14ac:dyDescent="0.25">
      <c r="A89" s="83" t="s">
        <v>608</v>
      </c>
      <c r="B89" s="83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">
        <v>2331</v>
      </c>
      <c r="Y89" s="45" t="str">
        <f t="array" ref="Y89">IF(COUNTIFS($X$2:$X89,$X89)=1,"1",VALUE(SUBSTITUTE(INDEX(Y:Y,_xlfn.XMATCH($X89,$X$1:$X88,0,-1)),"A",""))+INDEX(Z:Z,_xlfn.XMATCH($X89,$X$1:$X88,0,-1))+1)</f>
        <v>1</v>
      </c>
      <c r="Z89" s="43">
        <f t="array" ref="Z89">SUM(IF(ISNUMBER(FIND("TmAi",$BE$1:$AAQ$1)),IF(IFERROR(ISODD(SUBSTITUTE($BE89:$AAQ89,"A","")),FALSE),IF(ISODD(SUBSTITUTE($BE89:$AAQ89,"A","")),1,0),0)))</f>
        <v>0</v>
      </c>
      <c r="AA89" t="str">
        <f>CONCATENATE($Y89*2-1,"A")</f>
        <v>1A</v>
      </c>
      <c r="AB89" t="str">
        <f>CONCATENATE($Y89*2-1,"B")</f>
        <v>1B</v>
      </c>
      <c r="AD89" s="46"/>
      <c r="AE89" s="46">
        <f t="array" ref="AE89">SUM(IF(ISNUMBER(FIND("TmDi",$BE$1:$AAQ$1)),IF(IFERROR(ISNUMBER(VALUE(SUBSTITUTE($BE89:$AAQ89,"B",""))),FALSE),IF(ISNUMBER(VALUE(SUBSTITUTE($BE89:$AAQ89,"B",""))),1,0),0)))</f>
        <v>0</v>
      </c>
      <c r="AP89" t="s">
        <v>137</v>
      </c>
      <c r="AS89" t="s">
        <v>396</v>
      </c>
      <c r="JZ89" s="27" t="str">
        <f t="shared" si="160"/>
        <v>XT55</v>
      </c>
      <c r="KC89" t="str">
        <f t="shared" si="161"/>
        <v>F0-AI9-1A</v>
      </c>
      <c r="KD89" t="str">
        <f t="shared" si="162"/>
        <v>F0-AI9-1B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57"/>
        <v>107</v>
      </c>
      <c r="KK89">
        <f t="shared" si="157"/>
        <v>108</v>
      </c>
      <c r="KL89">
        <f>KK89+1</f>
        <v>109</v>
      </c>
      <c r="KM89">
        <f>KL89+1</f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s="83" t="s">
        <v>611</v>
      </c>
      <c r="B90" s="83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A3.9</v>
      </c>
      <c r="Y90" s="43">
        <f t="array" ref="Y90">IF(COUNTIFS($X$2:$X90,$X90)=1,"1",VALUE(SUBSTITUTE(INDEX(Y:Y,_xlfn.XMATCH($X90,$X$1:$X89,0,-1)),"A",""))+INDEX(Z:Z,_xlfn.XMATCH($X90,$X$1:$X89,0,-1))+1)</f>
        <v>2</v>
      </c>
      <c r="Z90" s="43">
        <f t="array" ref="Z90">SUM(IF(ISNUMBER(FIND("TmAi",$BE$1:$AAQ$1)),IF(IFERROR(ISODD(SUBSTITUTE($BE90:$AAQ90,"A","")),FALSE),IF(ISODD(SUBSTITUTE($BE90:$AAQ90,"A","")),1,0),0)))</f>
        <v>0</v>
      </c>
      <c r="AA90" t="str">
        <f t="shared" ref="AA90:AA153" si="163">CONCATENATE($Y90*2-1,"B")</f>
        <v>3B</v>
      </c>
      <c r="AB90" t="str">
        <f t="shared" ref="AB90:AB153" si="164">CONCATENATE($Y90*2,"B")</f>
        <v>4B</v>
      </c>
      <c r="AD90" s="46"/>
      <c r="AE90" s="46">
        <f t="array" ref="AE90">SUM(IF(ISNUMBER(FIND("TmDi",$BE$1:$AAQ$1)),IF(IFERROR(ISNUMBER(VALUE(SUBSTITUTE($BE90:$AAQ90,"B",""))),FALSE),IF(ISNUMBER(VALUE(SUBSTITUTE($BE90:$AAQ90,"B",""))),1,0),0)))</f>
        <v>0</v>
      </c>
      <c r="AP90" t="s">
        <v>137</v>
      </c>
      <c r="AS90" t="s">
        <v>396</v>
      </c>
      <c r="JZ90" s="27" t="str">
        <f t="shared" si="160"/>
        <v>XT55</v>
      </c>
      <c r="KC90" t="str">
        <f t="shared" si="161"/>
        <v>F0-AI9-3B</v>
      </c>
      <c r="KD90" t="str">
        <f t="shared" si="162"/>
        <v>F0-AI9-4B</v>
      </c>
      <c r="KI90">
        <f t="array" ref="KI90">IF(COUNTIFS($U$2:$U90,$U90)=1,1,INDEX(KI:KI,_xlfn.XMATCH(U90,U$1:U89,0,-1))+COUNT(KI89:KM89))</f>
        <v>111</v>
      </c>
      <c r="KJ90">
        <f t="shared" si="157"/>
        <v>112</v>
      </c>
      <c r="KK90">
        <f t="shared" si="157"/>
        <v>113</v>
      </c>
      <c r="KN90">
        <v>1</v>
      </c>
      <c r="KO90" s="16">
        <v>2</v>
      </c>
      <c r="KS90" s="16"/>
    </row>
    <row r="91" spans="1:305" x14ac:dyDescent="0.25">
      <c r="A91" s="83" t="s">
        <v>614</v>
      </c>
      <c r="B91" s="83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A3.9</v>
      </c>
      <c r="Y91" s="43">
        <f t="array" ref="Y91">IF(COUNTIFS($X$2:$X91,$X91)=1,"1",VALUE(SUBSTITUTE(INDEX(Y:Y,_xlfn.XMATCH($X91,$X$1:$X90,0,-1)),"A",""))+INDEX(Z:Z,_xlfn.XMATCH($X91,$X$1:$X90,0,-1))+1)</f>
        <v>3</v>
      </c>
      <c r="Z91" s="43">
        <f t="array" ref="Z91">SUM(IF(ISNUMBER(FIND("TmAi",$BE$1:$AAQ$1)),IF(IFERROR(ISODD(SUBSTITUTE($BE91:$AAQ91,"A","")),FALSE),IF(ISODD(SUBSTITUTE($BE91:$AAQ91,"A","")),1,0),0)))</f>
        <v>0</v>
      </c>
      <c r="AA91" t="str">
        <f t="shared" si="163"/>
        <v>5B</v>
      </c>
      <c r="AB91" t="str">
        <f t="shared" si="164"/>
        <v>6B</v>
      </c>
      <c r="AD91" s="46"/>
      <c r="AE91" s="46">
        <f t="array" ref="AE91">SUM(IF(ISNUMBER(FIND("TmDi",$BE$1:$AAQ$1)),IF(IFERROR(ISNUMBER(VALUE(SUBSTITUTE($BE91:$AAQ91,"B",""))),FALSE),IF(ISNUMBER(VALUE(SUBSTITUTE($BE91:$AAQ91,"B",""))),1,0),0)))</f>
        <v>0</v>
      </c>
      <c r="AP91" t="s">
        <v>137</v>
      </c>
      <c r="AS91" t="s">
        <v>396</v>
      </c>
      <c r="JZ91" s="27" t="str">
        <f t="shared" si="160"/>
        <v>XT55</v>
      </c>
      <c r="KC91" t="str">
        <f t="shared" si="161"/>
        <v>F0-AI9-5B</v>
      </c>
      <c r="KD91" t="str">
        <f t="shared" si="162"/>
        <v>F0-AI9-6B</v>
      </c>
      <c r="KI91">
        <f t="array" ref="KI91">IF(COUNTIFS($U$2:$U91,$U91)=1,1,INDEX(KI:KI,_xlfn.XMATCH(U91,U$1:U90,0,-1))+COUNT(KI90:KM90))</f>
        <v>114</v>
      </c>
      <c r="KJ91">
        <f t="shared" si="157"/>
        <v>115</v>
      </c>
      <c r="KK91">
        <f t="shared" si="157"/>
        <v>116</v>
      </c>
      <c r="KN91">
        <v>1</v>
      </c>
      <c r="KO91" s="16">
        <v>2</v>
      </c>
      <c r="KS91" s="16"/>
    </row>
    <row r="92" spans="1:305" x14ac:dyDescent="0.25">
      <c r="A92" s="83" t="s">
        <v>616</v>
      </c>
      <c r="B92" s="83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">
        <v>2960</v>
      </c>
      <c r="Y92" s="43" t="str">
        <f t="array" ref="Y92">IF(COUNTIFS($X$2:$X92,$X92)=1,"1",VALUE(SUBSTITUTE(INDEX(Y:Y,_xlfn.XMATCH($X92,$X$1:$X91,0,-1)),"A",""))+INDEX(Z:Z,_xlfn.XMATCH($X92,$X$1:$X91,0,-1))+1)</f>
        <v>1</v>
      </c>
      <c r="Z92" s="43">
        <f t="array" ref="Z92">SUM(IF(ISNUMBER(FIND("TmAi",$BE$1:$AAQ$1)),IF(IFERROR(ISODD(SUBSTITUTE($BE92:$AAQ92,"A","")),FALSE),IF(ISODD(SUBSTITUTE($BE92:$AAQ92,"A","")),1,0),0)))</f>
        <v>0</v>
      </c>
      <c r="AA92" t="str">
        <f t="shared" si="163"/>
        <v>1B</v>
      </c>
      <c r="AB92" t="str">
        <f t="shared" si="164"/>
        <v>2B</v>
      </c>
      <c r="AD92" s="46"/>
      <c r="AE92" s="46">
        <f t="array" ref="AE92">SUM(IF(ISNUMBER(FIND("TmDi",$BE$1:$AAQ$1)),IF(IFERROR(ISNUMBER(VALUE(SUBSTITUTE($BE92:$AAQ92,"B",""))),FALSE),IF(ISNUMBER(VALUE(SUBSTITUTE($BE92:$AAQ92,"B",""))),1,0),0)))</f>
        <v>0</v>
      </c>
      <c r="AP92" t="s">
        <v>137</v>
      </c>
      <c r="AS92" t="s">
        <v>396</v>
      </c>
      <c r="JZ92" s="27" t="str">
        <f t="shared" si="160"/>
        <v>XT55</v>
      </c>
      <c r="KC92" t="str">
        <f t="shared" si="161"/>
        <v>F0-AI10-1B</v>
      </c>
      <c r="KD92" t="str">
        <f t="shared" si="162"/>
        <v>F0-AI10-2B</v>
      </c>
      <c r="KI92">
        <f t="array" ref="KI92">IF(COUNTIFS($U$2:$U92,$U92)=1,1,INDEX(KI:KI,_xlfn.XMATCH(U92,U$1:U91,0,-1))+COUNT(KI91:KM91))</f>
        <v>117</v>
      </c>
      <c r="KJ92">
        <f t="shared" si="157"/>
        <v>118</v>
      </c>
      <c r="KK92">
        <f t="shared" si="157"/>
        <v>119</v>
      </c>
      <c r="KN92">
        <v>1</v>
      </c>
      <c r="KO92" s="16">
        <v>2</v>
      </c>
      <c r="KS92" s="16"/>
    </row>
    <row r="93" spans="1:305" x14ac:dyDescent="0.25">
      <c r="A93" s="83" t="s">
        <v>618</v>
      </c>
      <c r="B93" s="8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A3.10</v>
      </c>
      <c r="Y93" s="43">
        <f t="array" ref="Y93">IF(COUNTIFS($X$2:$X93,$X93)=1,"1",VALUE(SUBSTITUTE(INDEX(Y:Y,_xlfn.XMATCH($X93,$X$1:$X92,0,-1)),"A",""))+INDEX(Z:Z,_xlfn.XMATCH($X93,$X$1:$X92,0,-1))+1)</f>
        <v>2</v>
      </c>
      <c r="Z93" s="43">
        <f t="array" ref="Z93">SUM(IF(ISNUMBER(FIND("TmAi",$BE$1:$AAQ$1)),IF(IFERROR(ISODD(SUBSTITUTE($BE93:$AAQ93,"A","")),FALSE),IF(ISODD(SUBSTITUTE($BE93:$AAQ93,"A","")),1,0),0)))</f>
        <v>0</v>
      </c>
      <c r="AA93" t="str">
        <f t="shared" si="163"/>
        <v>3B</v>
      </c>
      <c r="AB93" t="str">
        <f t="shared" si="164"/>
        <v>4B</v>
      </c>
      <c r="AD93" s="46"/>
      <c r="AE93" s="46">
        <f t="array" ref="AE93">SUM(IF(ISNUMBER(FIND("TmDi",$BE$1:$AAQ$1)),IF(IFERROR(ISNUMBER(VALUE(SUBSTITUTE($BE93:$AAQ93,"B",""))),FALSE),IF(ISNUMBER(VALUE(SUBSTITUTE($BE93:$AAQ93,"B",""))),1,0),0)))</f>
        <v>0</v>
      </c>
      <c r="AP93" t="s">
        <v>137</v>
      </c>
      <c r="AS93" t="s">
        <v>396</v>
      </c>
      <c r="JZ93" s="27" t="str">
        <f t="shared" si="160"/>
        <v>XT55</v>
      </c>
      <c r="KC93" t="str">
        <f t="shared" si="161"/>
        <v>F0-AI10-3B</v>
      </c>
      <c r="KD93" t="str">
        <f t="shared" si="162"/>
        <v>F0-AI10-4B</v>
      </c>
      <c r="KI93">
        <f t="array" ref="KI93">IF(COUNTIFS($U$2:$U93,$U93)=1,1,INDEX(KI:KI,_xlfn.XMATCH(U93,U$1:U92,0,-1))+COUNT(KI92:KM92))</f>
        <v>120</v>
      </c>
      <c r="KJ93">
        <f t="shared" ref="KJ93:KJ113" si="165">KI93+1</f>
        <v>121</v>
      </c>
      <c r="KK93">
        <f t="shared" ref="KK93:KK113" si="166">KJ93+1</f>
        <v>122</v>
      </c>
      <c r="KN93">
        <v>1</v>
      </c>
      <c r="KO93" s="16">
        <v>2</v>
      </c>
      <c r="KS93" s="16"/>
    </row>
    <row r="94" spans="1:305" x14ac:dyDescent="0.25">
      <c r="A94" s="83" t="s">
        <v>620</v>
      </c>
      <c r="B94" s="83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A3.10</v>
      </c>
      <c r="Y94" s="43">
        <f t="array" ref="Y94">IF(COUNTIFS($X$2:$X94,$X94)=1,"1",VALUE(SUBSTITUTE(INDEX(Y:Y,_xlfn.XMATCH($X94,$X$1:$X93,0,-1)),"A",""))+INDEX(Z:Z,_xlfn.XMATCH($X94,$X$1:$X93,0,-1))+1)</f>
        <v>3</v>
      </c>
      <c r="Z94" s="43">
        <f t="array" ref="Z94">SUM(IF(ISNUMBER(FIND("TmAi",$BE$1:$AAQ$1)),IF(IFERROR(ISODD(SUBSTITUTE($BE94:$AAQ94,"A","")),FALSE),IF(ISODD(SUBSTITUTE($BE94:$AAQ94,"A","")),1,0),0)))</f>
        <v>0</v>
      </c>
      <c r="AA94" t="str">
        <f t="shared" si="163"/>
        <v>5B</v>
      </c>
      <c r="AB94" t="str">
        <f t="shared" si="164"/>
        <v>6B</v>
      </c>
      <c r="AD94" s="46"/>
      <c r="AE94" s="46">
        <f t="array" ref="AE94">SUM(IF(ISNUMBER(FIND("TmDi",$BE$1:$AAQ$1)),IF(IFERROR(ISNUMBER(VALUE(SUBSTITUTE($BE94:$AAQ94,"B",""))),FALSE),IF(ISNUMBER(VALUE(SUBSTITUTE($BE94:$AAQ94,"B",""))),1,0),0)))</f>
        <v>0</v>
      </c>
      <c r="AP94" t="s">
        <v>137</v>
      </c>
      <c r="AS94" t="s">
        <v>396</v>
      </c>
      <c r="JZ94" s="27" t="str">
        <f t="shared" si="160"/>
        <v>XT55</v>
      </c>
      <c r="KC94" t="str">
        <f t="shared" si="161"/>
        <v>F0-AI10-5B</v>
      </c>
      <c r="KD94" t="str">
        <f t="shared" si="162"/>
        <v>F0-AI10-6B</v>
      </c>
      <c r="KI94">
        <f t="array" ref="KI94">IF(COUNTIFS($U$2:$U94,$U94)=1,1,INDEX(KI:KI,_xlfn.XMATCH(U94,U$1:U93,0,-1))+COUNT(KI93:KM93))</f>
        <v>123</v>
      </c>
      <c r="KJ94">
        <f t="shared" si="165"/>
        <v>124</v>
      </c>
      <c r="KK94">
        <f t="shared" si="166"/>
        <v>125</v>
      </c>
      <c r="KN94">
        <v>1</v>
      </c>
      <c r="KO94" s="16">
        <v>2</v>
      </c>
      <c r="KS94" s="16"/>
    </row>
    <row r="95" spans="1:305" x14ac:dyDescent="0.25">
      <c r="A95" s="83" t="s">
        <v>622</v>
      </c>
      <c r="B95" s="83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A3.10</v>
      </c>
      <c r="Y95" s="43">
        <f t="array" ref="Y95">IF(COUNTIFS($X$2:$X95,$X95)=1,"1",VALUE(SUBSTITUTE(INDEX(Y:Y,_xlfn.XMATCH($X95,$X$1:$X94,0,-1)),"A",""))+INDEX(Z:Z,_xlfn.XMATCH($X95,$X$1:$X94,0,-1))+1)</f>
        <v>4</v>
      </c>
      <c r="Z95" s="43">
        <f t="array" ref="Z95">SUM(IF(ISNUMBER(FIND("TmAi",$BE$1:$AAQ$1)),IF(IFERROR(ISODD(SUBSTITUTE($BE95:$AAQ95,"A","")),FALSE),IF(ISODD(SUBSTITUTE($BE95:$AAQ95,"A","")),1,0),0)))</f>
        <v>0</v>
      </c>
      <c r="AA95" t="str">
        <f t="shared" si="163"/>
        <v>7B</v>
      </c>
      <c r="AB95" t="str">
        <f t="shared" si="164"/>
        <v>8B</v>
      </c>
      <c r="AD95" s="46"/>
      <c r="AE95" s="46">
        <f t="array" ref="AE95">SUM(IF(ISNUMBER(FIND("TmDi",$BE$1:$AAQ$1)),IF(IFERROR(ISNUMBER(VALUE(SUBSTITUTE($BE95:$AAQ95,"B",""))),FALSE),IF(ISNUMBER(VALUE(SUBSTITUTE($BE95:$AAQ95,"B",""))),1,0),0)))</f>
        <v>0</v>
      </c>
      <c r="AP95" t="s">
        <v>137</v>
      </c>
      <c r="AS95" t="s">
        <v>396</v>
      </c>
      <c r="JZ95" s="27" t="str">
        <f t="shared" si="160"/>
        <v>XT55</v>
      </c>
      <c r="KC95" t="str">
        <f t="shared" si="161"/>
        <v>F0-AI10-7B</v>
      </c>
      <c r="KD95" t="str">
        <f t="shared" si="162"/>
        <v>F0-AI10-8B</v>
      </c>
      <c r="KI95">
        <f t="array" ref="KI95">IF(COUNTIFS($U$2:$U95,$U95)=1,1,INDEX(KI:KI,_xlfn.XMATCH(U95,U$1:U94,0,-1))+COUNT(KI94:KM94))</f>
        <v>126</v>
      </c>
      <c r="KJ95">
        <f t="shared" si="165"/>
        <v>127</v>
      </c>
      <c r="KK95">
        <f t="shared" si="166"/>
        <v>128</v>
      </c>
      <c r="KN95">
        <v>1</v>
      </c>
      <c r="KO95" s="16">
        <v>2</v>
      </c>
      <c r="KS95" s="16"/>
    </row>
    <row r="96" spans="1:305" x14ac:dyDescent="0.25">
      <c r="A96" s="83" t="s">
        <v>624</v>
      </c>
      <c r="B96" s="83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A3.10</v>
      </c>
      <c r="Y96" s="43">
        <f t="array" ref="Y96">IF(COUNTIFS($X$2:$X96,$X96)=1,"1",VALUE(SUBSTITUTE(INDEX(Y:Y,_xlfn.XMATCH($X96,$X$1:$X95,0,-1)),"A",""))+INDEX(Z:Z,_xlfn.XMATCH($X96,$X$1:$X95,0,-1))+1)</f>
        <v>5</v>
      </c>
      <c r="Z96" s="43">
        <f t="array" ref="Z96">SUM(IF(ISNUMBER(FIND("TmAi",$BE$1:$AAQ$1)),IF(IFERROR(ISODD(SUBSTITUTE($BE96:$AAQ96,"A","")),FALSE),IF(ISODD(SUBSTITUTE($BE96:$AAQ96,"A","")),1,0),0)))</f>
        <v>0</v>
      </c>
      <c r="AA96" t="str">
        <f t="shared" si="163"/>
        <v>9B</v>
      </c>
      <c r="AB96" t="str">
        <f t="shared" si="164"/>
        <v>10B</v>
      </c>
      <c r="AD96" s="46"/>
      <c r="AE96" s="46">
        <f t="array" ref="AE96">SUM(IF(ISNUMBER(FIND("TmDi",$BE$1:$AAQ$1)),IF(IFERROR(ISNUMBER(VALUE(SUBSTITUTE($BE96:$AAQ96,"B",""))),FALSE),IF(ISNUMBER(VALUE(SUBSTITUTE($BE96:$AAQ96,"B",""))),1,0),0)))</f>
        <v>0</v>
      </c>
      <c r="AP96" t="s">
        <v>137</v>
      </c>
      <c r="AS96" t="s">
        <v>396</v>
      </c>
      <c r="JZ96" s="27" t="str">
        <f t="shared" si="160"/>
        <v>XT55</v>
      </c>
      <c r="KC96" t="str">
        <f t="shared" si="161"/>
        <v>F0-AI10-9B</v>
      </c>
      <c r="KD96" t="str">
        <f t="shared" si="162"/>
        <v>F0-AI10-10B</v>
      </c>
      <c r="KI96">
        <f t="array" ref="KI96">IF(COUNTIFS($U$2:$U96,$U96)=1,1,INDEX(KI:KI,_xlfn.XMATCH(U96,U$1:U95,0,-1))+COUNT(KI95:KM95))</f>
        <v>129</v>
      </c>
      <c r="KJ96">
        <f t="shared" si="165"/>
        <v>130</v>
      </c>
      <c r="KK96">
        <f t="shared" si="166"/>
        <v>131</v>
      </c>
      <c r="KN96">
        <v>1</v>
      </c>
      <c r="KO96" s="16">
        <v>2</v>
      </c>
      <c r="KS96" s="16"/>
    </row>
    <row r="97" spans="1:305" x14ac:dyDescent="0.25">
      <c r="A97" s="83" t="s">
        <v>626</v>
      </c>
      <c r="B97" s="83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A3.10</v>
      </c>
      <c r="Y97" s="45">
        <f t="array" ref="Y97">IF(COUNTIFS($X$2:$X97,$X97)=1,"1",VALUE(SUBSTITUTE(INDEX(Y:Y,_xlfn.XMATCH($X97,$X$1:$X96,0,-1)),"A",""))+INDEX(Z:Z,_xlfn.XMATCH($X97,$X$1:$X96,0,-1))+1)</f>
        <v>6</v>
      </c>
      <c r="Z97" s="43">
        <f t="array" ref="Z97">SUM(IF(ISNUMBER(FIND("TmAi",$BE$1:$AAQ$1)),IF(IFERROR(ISODD(SUBSTITUTE($BE97:$AAQ97,"A","")),FALSE),IF(ISODD(SUBSTITUTE($BE97:$AAQ97,"A","")),1,0),0)))</f>
        <v>0</v>
      </c>
      <c r="AA97" t="str">
        <f t="shared" si="163"/>
        <v>11B</v>
      </c>
      <c r="AB97" t="str">
        <f t="shared" si="164"/>
        <v>12B</v>
      </c>
      <c r="AD97" s="46"/>
      <c r="AE97" s="46">
        <f t="array" ref="AE97">SUM(IF(ISNUMBER(FIND("TmDi",$BE$1:$AAQ$1)),IF(IFERROR(ISNUMBER(VALUE(SUBSTITUTE($BE97:$AAQ97,"B",""))),FALSE),IF(ISNUMBER(VALUE(SUBSTITUTE($BE97:$AAQ97,"B",""))),1,0),0)))</f>
        <v>0</v>
      </c>
      <c r="AP97" t="s">
        <v>137</v>
      </c>
      <c r="AS97" t="s">
        <v>396</v>
      </c>
      <c r="JZ97" s="27" t="str">
        <f t="shared" si="160"/>
        <v>XT55</v>
      </c>
      <c r="KC97" t="str">
        <f t="shared" si="161"/>
        <v>F0-AI10-11B</v>
      </c>
      <c r="KD97" t="str">
        <f t="shared" si="162"/>
        <v>F0-AI10-12B</v>
      </c>
      <c r="KI97">
        <f t="array" ref="KI97">IF(COUNTIFS($U$2:$U97,$U97)=1,1,INDEX(KI:KI,_xlfn.XMATCH(U97,U$1:U96,0,-1))+COUNT(KI96:KM96))</f>
        <v>132</v>
      </c>
      <c r="KJ97">
        <f t="shared" si="165"/>
        <v>133</v>
      </c>
      <c r="KK97">
        <f t="shared" si="166"/>
        <v>134</v>
      </c>
      <c r="KN97">
        <v>1</v>
      </c>
      <c r="KO97" s="16">
        <v>2</v>
      </c>
      <c r="KS97" s="16"/>
    </row>
    <row r="98" spans="1:305" x14ac:dyDescent="0.25">
      <c r="A98" s="83" t="s">
        <v>628</v>
      </c>
      <c r="B98" s="83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A3.10</v>
      </c>
      <c r="Y98" s="43">
        <f t="array" ref="Y98">IF(COUNTIFS($X$2:$X98,$X98)=1,"1",VALUE(SUBSTITUTE(INDEX(Y:Y,_xlfn.XMATCH($X98,$X$1:$X97,0,-1)),"A",""))+INDEX(Z:Z,_xlfn.XMATCH($X98,$X$1:$X97,0,-1))+1)</f>
        <v>7</v>
      </c>
      <c r="Z98" s="43">
        <f t="array" ref="Z98">SUM(IF(ISNUMBER(FIND("TmAi",$BE$1:$AAQ$1)),IF(IFERROR(ISODD(SUBSTITUTE($BE98:$AAQ98,"A","")),FALSE),IF(ISODD(SUBSTITUTE($BE98:$AAQ98,"A","")),1,0),0)))</f>
        <v>0</v>
      </c>
      <c r="AA98" t="str">
        <f t="shared" si="163"/>
        <v>13B</v>
      </c>
      <c r="AB98" t="str">
        <f t="shared" si="164"/>
        <v>14B</v>
      </c>
      <c r="AD98" s="46"/>
      <c r="AE98" s="46">
        <f t="array" ref="AE98">SUM(IF(ISNUMBER(FIND("TmDi",$BE$1:$AAQ$1)),IF(IFERROR(ISNUMBER(VALUE(SUBSTITUTE($BE98:$AAQ98,"B",""))),FALSE),IF(ISNUMBER(VALUE(SUBSTITUTE($BE98:$AAQ98,"B",""))),1,0),0)))</f>
        <v>0</v>
      </c>
      <c r="AP98" t="s">
        <v>137</v>
      </c>
      <c r="AS98" t="s">
        <v>396</v>
      </c>
      <c r="JZ98" s="27" t="str">
        <f t="shared" si="160"/>
        <v>XT55</v>
      </c>
      <c r="KC98" t="str">
        <f t="shared" si="161"/>
        <v>F0-AI10-13B</v>
      </c>
      <c r="KD98" t="str">
        <f t="shared" si="162"/>
        <v>F0-AI10-14B</v>
      </c>
      <c r="KI98">
        <f t="array" ref="KI98">IF(COUNTIFS($U$2:$U98,$U98)=1,1,INDEX(KI:KI,_xlfn.XMATCH(U98,U$1:U97,0,-1))+COUNT(KI97:KM97))</f>
        <v>135</v>
      </c>
      <c r="KJ98">
        <f t="shared" si="165"/>
        <v>136</v>
      </c>
      <c r="KK98">
        <f t="shared" si="166"/>
        <v>137</v>
      </c>
      <c r="KN98">
        <v>1</v>
      </c>
      <c r="KO98" s="16">
        <v>2</v>
      </c>
      <c r="KS98" s="16"/>
    </row>
    <row r="99" spans="1:305" x14ac:dyDescent="0.25">
      <c r="A99" s="83" t="s">
        <v>638</v>
      </c>
      <c r="B99" s="83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A3.10</v>
      </c>
      <c r="Y99" s="43">
        <f t="array" ref="Y99">IF(COUNTIFS($X$2:$X99,$X99)=1,"1",VALUE(SUBSTITUTE(INDEX(Y:Y,_xlfn.XMATCH($X99,$X$1:$X98,0,-1)),"A",""))+INDEX(Z:Z,_xlfn.XMATCH($X99,$X$1:$X98,0,-1))+1)</f>
        <v>8</v>
      </c>
      <c r="Z99" s="43">
        <f t="array" ref="Z99">SUM(IF(ISNUMBER(FIND("TmAi",$BE$1:$AAQ$1)),IF(IFERROR(ISODD(SUBSTITUTE($BE99:$AAQ99,"A","")),FALSE),IF(ISODD(SUBSTITUTE($BE99:$AAQ99,"A","")),1,0),0)))</f>
        <v>0</v>
      </c>
      <c r="AA99" t="str">
        <f t="shared" si="163"/>
        <v>15B</v>
      </c>
      <c r="AB99" t="str">
        <f t="shared" si="164"/>
        <v>16B</v>
      </c>
      <c r="AD99" s="46"/>
      <c r="AE99" s="46">
        <f t="array" ref="AE99">SUM(IF(ISNUMBER(FIND("TmDi",$BE$1:$AAQ$1)),IF(IFERROR(ISNUMBER(VALUE(SUBSTITUTE($BE99:$AAQ99,"B",""))),FALSE),IF(ISNUMBER(VALUE(SUBSTITUTE($BE99:$AAQ99,"B",""))),1,0),0)))</f>
        <v>0</v>
      </c>
      <c r="AP99" t="s">
        <v>137</v>
      </c>
      <c r="AS99" t="s">
        <v>396</v>
      </c>
      <c r="JZ99" s="27" t="str">
        <f t="shared" si="160"/>
        <v>XT55</v>
      </c>
      <c r="KC99" t="str">
        <f t="shared" si="161"/>
        <v>F0-AI10-15B</v>
      </c>
      <c r="KD99" t="str">
        <f t="shared" si="162"/>
        <v>F0-AI10-16B</v>
      </c>
      <c r="KI99">
        <f t="array" ref="KI99">IF(COUNTIFS($U$2:$U99,$U99)=1,1,INDEX(KI:KI,_xlfn.XMATCH(U99,U$1:U98,0,-1))+COUNT(KI98:KM98))</f>
        <v>138</v>
      </c>
      <c r="KJ99">
        <f t="shared" si="165"/>
        <v>139</v>
      </c>
      <c r="KK99">
        <f t="shared" si="166"/>
        <v>140</v>
      </c>
      <c r="KN99">
        <v>1</v>
      </c>
      <c r="KO99" s="16">
        <v>2</v>
      </c>
      <c r="KS99" s="16"/>
    </row>
    <row r="100" spans="1:305" x14ac:dyDescent="0.25">
      <c r="A100" s="83" t="s">
        <v>640</v>
      </c>
      <c r="B100" s="83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A3.11</v>
      </c>
      <c r="Y100" s="43" t="str">
        <f t="array" ref="Y100">IF(COUNTIFS($X$2:$X100,$X100)=1,"1",VALUE(SUBSTITUTE(INDEX(Y:Y,_xlfn.XMATCH($X100,$X$1:$X99,0,-1)),"A",""))+INDEX(Z:Z,_xlfn.XMATCH($X100,$X$1:$X99,0,-1))+1)</f>
        <v>1</v>
      </c>
      <c r="Z100" s="43">
        <f t="array" ref="Z100">SUM(IF(ISNUMBER(FIND("TmAi",$BE$1:$AAQ$1)),IF(IFERROR(ISODD(SUBSTITUTE($BE100:$AAQ100,"A","")),FALSE),IF(ISODD(SUBSTITUTE($BE100:$AAQ100,"A","")),1,0),0)))</f>
        <v>0</v>
      </c>
      <c r="AA100" t="str">
        <f t="shared" si="163"/>
        <v>1B</v>
      </c>
      <c r="AB100" t="str">
        <f t="shared" si="164"/>
        <v>2B</v>
      </c>
      <c r="AD100" s="46"/>
      <c r="AE100" s="46">
        <f t="array" ref="AE100">SUM(IF(ISNUMBER(FIND("TmDi",$BE$1:$AAQ$1)),IF(IFERROR(ISNUMBER(VALUE(SUBSTITUTE($BE100:$AAQ100,"B",""))),FALSE),IF(ISNUMBER(VALUE(SUBSTITUTE($BE100:$AAQ100,"B",""))),1,0),0)))</f>
        <v>0</v>
      </c>
      <c r="AP100" t="s">
        <v>137</v>
      </c>
      <c r="AS100" t="s">
        <v>396</v>
      </c>
      <c r="JZ100" s="27" t="str">
        <f t="shared" si="160"/>
        <v>XT55</v>
      </c>
      <c r="KC100" t="str">
        <f t="shared" si="161"/>
        <v>F0-AI11-1B</v>
      </c>
      <c r="KD100" t="str">
        <f t="shared" si="162"/>
        <v>F0-AI11-2B</v>
      </c>
      <c r="KI100">
        <f t="array" ref="KI100">IF(COUNTIFS($U$2:$U100,$U100)=1,1,INDEX(KI:KI,_xlfn.XMATCH(U100,U$1:U99,0,-1))+COUNT(KI99:KM99))</f>
        <v>141</v>
      </c>
      <c r="KJ100">
        <f t="shared" si="165"/>
        <v>142</v>
      </c>
      <c r="KK100">
        <f t="shared" si="166"/>
        <v>143</v>
      </c>
      <c r="KN100">
        <v>1</v>
      </c>
      <c r="KO100" s="16">
        <v>2</v>
      </c>
      <c r="KS100" s="16"/>
    </row>
    <row r="101" spans="1:305" x14ac:dyDescent="0.25">
      <c r="A101" s="83" t="s">
        <v>642</v>
      </c>
      <c r="B101" s="83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A3.11</v>
      </c>
      <c r="Y101" s="43">
        <f t="array" ref="Y101">IF(COUNTIFS($X$2:$X101,$X101)=1,"1",VALUE(SUBSTITUTE(INDEX(Y:Y,_xlfn.XMATCH($X101,$X$1:$X100,0,-1)),"A",""))+INDEX(Z:Z,_xlfn.XMATCH($X101,$X$1:$X100,0,-1))+1)</f>
        <v>2</v>
      </c>
      <c r="Z101" s="43">
        <f t="array" ref="Z101">SUM(IF(ISNUMBER(FIND("TmAi",$BE$1:$AAQ$1)),IF(IFERROR(ISODD(SUBSTITUTE($BE101:$AAQ101,"A","")),FALSE),IF(ISODD(SUBSTITUTE($BE101:$AAQ101,"A","")),1,0),0)))</f>
        <v>0</v>
      </c>
      <c r="AA101" t="str">
        <f t="shared" si="163"/>
        <v>3B</v>
      </c>
      <c r="AB101" t="str">
        <f t="shared" si="164"/>
        <v>4B</v>
      </c>
      <c r="AD101" s="46"/>
      <c r="AE101" s="46">
        <f t="array" ref="AE101">SUM(IF(ISNUMBER(FIND("TmDi",$BE$1:$AAQ$1)),IF(IFERROR(ISNUMBER(VALUE(SUBSTITUTE($BE101:$AAQ101,"B",""))),FALSE),IF(ISNUMBER(VALUE(SUBSTITUTE($BE101:$AAQ101,"B",""))),1,0),0)))</f>
        <v>0</v>
      </c>
      <c r="AP101" t="s">
        <v>137</v>
      </c>
      <c r="AS101" t="s">
        <v>396</v>
      </c>
      <c r="JZ101" s="27" t="str">
        <f t="shared" si="160"/>
        <v>XT55</v>
      </c>
      <c r="KC101" t="str">
        <f t="shared" si="161"/>
        <v>F0-AI11-3B</v>
      </c>
      <c r="KD101" t="str">
        <f t="shared" si="162"/>
        <v>F0-AI11-4B</v>
      </c>
      <c r="KI101">
        <f t="array" ref="KI101">IF(COUNTIFS($U$2:$U101,$U101)=1,1,INDEX(KI:KI,_xlfn.XMATCH(U101,U$1:U100,0,-1))+COUNT(KI100:KM100))</f>
        <v>144</v>
      </c>
      <c r="KJ101">
        <f t="shared" si="165"/>
        <v>145</v>
      </c>
      <c r="KK101">
        <f t="shared" si="166"/>
        <v>146</v>
      </c>
      <c r="KN101">
        <v>1</v>
      </c>
      <c r="KO101" s="16">
        <v>2</v>
      </c>
      <c r="KS101" s="16"/>
    </row>
    <row r="102" spans="1:305" x14ac:dyDescent="0.25">
      <c r="A102" s="83" t="s">
        <v>644</v>
      </c>
      <c r="B102" s="83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A3.11</v>
      </c>
      <c r="Y102" s="43">
        <f t="array" ref="Y102">IF(COUNTIFS($X$2:$X102,$X102)=1,"1",VALUE(SUBSTITUTE(INDEX(Y:Y,_xlfn.XMATCH($X102,$X$1:$X101,0,-1)),"A",""))+INDEX(Z:Z,_xlfn.XMATCH($X102,$X$1:$X101,0,-1))+1)</f>
        <v>3</v>
      </c>
      <c r="Z102" s="43">
        <f t="array" ref="Z102">SUM(IF(ISNUMBER(FIND("TmAi",$BE$1:$AAQ$1)),IF(IFERROR(ISODD(SUBSTITUTE($BE102:$AAQ102,"A","")),FALSE),IF(ISODD(SUBSTITUTE($BE102:$AAQ102,"A","")),1,0),0)))</f>
        <v>0</v>
      </c>
      <c r="AA102" t="str">
        <f t="shared" si="163"/>
        <v>5B</v>
      </c>
      <c r="AB102" t="str">
        <f t="shared" si="164"/>
        <v>6B</v>
      </c>
      <c r="AD102" s="46"/>
      <c r="AE102" s="46">
        <f t="array" ref="AE102">SUM(IF(ISNUMBER(FIND("TmDi",$BE$1:$AAQ$1)),IF(IFERROR(ISNUMBER(VALUE(SUBSTITUTE($BE102:$AAQ102,"B",""))),FALSE),IF(ISNUMBER(VALUE(SUBSTITUTE($BE102:$AAQ102,"B",""))),1,0),0)))</f>
        <v>0</v>
      </c>
      <c r="AP102" t="s">
        <v>137</v>
      </c>
      <c r="AS102" t="s">
        <v>396</v>
      </c>
      <c r="JZ102" s="27" t="str">
        <f t="shared" si="160"/>
        <v>XT55</v>
      </c>
      <c r="KC102" t="str">
        <f t="shared" si="161"/>
        <v>F0-AI11-5B</v>
      </c>
      <c r="KD102" t="str">
        <f t="shared" si="162"/>
        <v>F0-AI11-6B</v>
      </c>
      <c r="KI102">
        <f t="array" ref="KI102">IF(COUNTIFS($U$2:$U102,$U102)=1,1,INDEX(KI:KI,_xlfn.XMATCH(U102,U$1:U101,0,-1))+COUNT(KI101:KM101))</f>
        <v>147</v>
      </c>
      <c r="KJ102">
        <f t="shared" si="165"/>
        <v>148</v>
      </c>
      <c r="KK102">
        <f t="shared" si="166"/>
        <v>149</v>
      </c>
      <c r="KN102">
        <v>1</v>
      </c>
      <c r="KO102" s="16">
        <v>2</v>
      </c>
      <c r="KS102" s="16"/>
    </row>
    <row r="103" spans="1:305" x14ac:dyDescent="0.25">
      <c r="A103" s="83" t="s">
        <v>646</v>
      </c>
      <c r="B103" s="8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A3.11</v>
      </c>
      <c r="Y103" s="43">
        <f t="array" ref="Y103">IF(COUNTIFS($X$2:$X103,$X103)=1,"1",VALUE(SUBSTITUTE(INDEX(Y:Y,_xlfn.XMATCH($X103,$X$1:$X102,0,-1)),"A",""))+INDEX(Z:Z,_xlfn.XMATCH($X103,$X$1:$X102,0,-1))+1)</f>
        <v>4</v>
      </c>
      <c r="Z103" s="43">
        <f t="array" ref="Z103">SUM(IF(ISNUMBER(FIND("TmAi",$BE$1:$AAQ$1)),IF(IFERROR(ISODD(SUBSTITUTE($BE103:$AAQ103,"A","")),FALSE),IF(ISODD(SUBSTITUTE($BE103:$AAQ103,"A","")),1,0),0)))</f>
        <v>0</v>
      </c>
      <c r="AA103" t="str">
        <f t="shared" si="163"/>
        <v>7B</v>
      </c>
      <c r="AB103" t="str">
        <f t="shared" si="164"/>
        <v>8B</v>
      </c>
      <c r="AD103" s="46"/>
      <c r="AE103" s="46">
        <f t="array" ref="AE103">SUM(IF(ISNUMBER(FIND("TmDi",$BE$1:$AAQ$1)),IF(IFERROR(ISNUMBER(VALUE(SUBSTITUTE($BE103:$AAQ103,"B",""))),FALSE),IF(ISNUMBER(VALUE(SUBSTITUTE($BE103:$AAQ103,"B",""))),1,0),0)))</f>
        <v>0</v>
      </c>
      <c r="AP103" t="s">
        <v>137</v>
      </c>
      <c r="AS103" t="s">
        <v>396</v>
      </c>
      <c r="JZ103" s="27" t="str">
        <f t="shared" si="160"/>
        <v>XT55</v>
      </c>
      <c r="KC103" t="str">
        <f t="shared" si="161"/>
        <v>F0-AI11-7B</v>
      </c>
      <c r="KD103" t="str">
        <f t="shared" si="162"/>
        <v>F0-AI11-8B</v>
      </c>
      <c r="KI103">
        <f t="array" ref="KI103">IF(COUNTIFS($U$2:$U103,$U103)=1,1,INDEX(KI:KI,_xlfn.XMATCH(U103,U$1:U102,0,-1))+COUNT(KI102:KM102))</f>
        <v>150</v>
      </c>
      <c r="KJ103">
        <f t="shared" si="165"/>
        <v>151</v>
      </c>
      <c r="KK103">
        <f t="shared" si="166"/>
        <v>152</v>
      </c>
      <c r="KN103">
        <v>1</v>
      </c>
      <c r="KO103" s="16">
        <v>2</v>
      </c>
      <c r="KS103" s="16"/>
    </row>
    <row r="104" spans="1:305" x14ac:dyDescent="0.25">
      <c r="A104" s="83" t="s">
        <v>648</v>
      </c>
      <c r="B104" s="83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A3.11</v>
      </c>
      <c r="Y104" s="43">
        <f t="array" ref="Y104">IF(COUNTIFS($X$2:$X104,$X104)=1,"1",VALUE(SUBSTITUTE(INDEX(Y:Y,_xlfn.XMATCH($X104,$X$1:$X103,0,-1)),"A",""))+INDEX(Z:Z,_xlfn.XMATCH($X104,$X$1:$X103,0,-1))+1)</f>
        <v>5</v>
      </c>
      <c r="Z104" s="43">
        <f t="array" ref="Z104">SUM(IF(ISNUMBER(FIND("TmAi",$BE$1:$AAQ$1)),IF(IFERROR(ISODD(SUBSTITUTE($BE104:$AAQ104,"A","")),FALSE),IF(ISODD(SUBSTITUTE($BE104:$AAQ104,"A","")),1,0),0)))</f>
        <v>0</v>
      </c>
      <c r="AA104" t="str">
        <f t="shared" si="163"/>
        <v>9B</v>
      </c>
      <c r="AB104" t="str">
        <f t="shared" si="164"/>
        <v>10B</v>
      </c>
      <c r="AD104" s="46"/>
      <c r="AE104" s="46">
        <f t="array" ref="AE104">SUM(IF(ISNUMBER(FIND("TmDi",$BE$1:$AAQ$1)),IF(IFERROR(ISNUMBER(VALUE(SUBSTITUTE($BE104:$AAQ104,"B",""))),FALSE),IF(ISNUMBER(VALUE(SUBSTITUTE($BE104:$AAQ104,"B",""))),1,0),0)))</f>
        <v>0</v>
      </c>
      <c r="AP104" t="s">
        <v>137</v>
      </c>
      <c r="AS104" t="s">
        <v>396</v>
      </c>
      <c r="JZ104" s="27" t="str">
        <f t="shared" si="160"/>
        <v>XT55</v>
      </c>
      <c r="KC104" t="str">
        <f t="shared" si="161"/>
        <v>F0-AI11-9B</v>
      </c>
      <c r="KD104" t="str">
        <f t="shared" si="162"/>
        <v>F0-AI11-10B</v>
      </c>
      <c r="KI104">
        <f t="array" ref="KI104">IF(COUNTIFS($U$2:$U104,$U104)=1,1,INDEX(KI:KI,_xlfn.XMATCH(U104,U$1:U103,0,-1))+COUNT(KI103:KM103))</f>
        <v>153</v>
      </c>
      <c r="KJ104">
        <f t="shared" si="165"/>
        <v>154</v>
      </c>
      <c r="KK104">
        <f t="shared" si="166"/>
        <v>155</v>
      </c>
      <c r="KN104">
        <v>1</v>
      </c>
      <c r="KO104" s="16">
        <v>2</v>
      </c>
      <c r="KS104" s="16"/>
    </row>
    <row r="105" spans="1:305" x14ac:dyDescent="0.25">
      <c r="A105" s="83" t="s">
        <v>650</v>
      </c>
      <c r="B105" s="83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A3.11</v>
      </c>
      <c r="Y105" s="45">
        <f t="array" ref="Y105">IF(COUNTIFS($X$2:$X105,$X105)=1,"1",VALUE(SUBSTITUTE(INDEX(Y:Y,_xlfn.XMATCH($X105,$X$1:$X104,0,-1)),"A",""))+INDEX(Z:Z,_xlfn.XMATCH($X105,$X$1:$X104,0,-1))+1)</f>
        <v>6</v>
      </c>
      <c r="Z105" s="43">
        <f t="array" ref="Z105">SUM(IF(ISNUMBER(FIND("TmAi",$BE$1:$AAQ$1)),IF(IFERROR(ISODD(SUBSTITUTE($BE105:$AAQ105,"A","")),FALSE),IF(ISODD(SUBSTITUTE($BE105:$AAQ105,"A","")),1,0),0)))</f>
        <v>0</v>
      </c>
      <c r="AA105" t="str">
        <f t="shared" si="163"/>
        <v>11B</v>
      </c>
      <c r="AB105" t="str">
        <f t="shared" si="164"/>
        <v>12B</v>
      </c>
      <c r="AD105" s="46"/>
      <c r="AE105" s="46">
        <f t="array" ref="AE105">SUM(IF(ISNUMBER(FIND("TmDi",$BE$1:$AAQ$1)),IF(IFERROR(ISNUMBER(VALUE(SUBSTITUTE($BE105:$AAQ105,"B",""))),FALSE),IF(ISNUMBER(VALUE(SUBSTITUTE($BE105:$AAQ105,"B",""))),1,0),0)))</f>
        <v>0</v>
      </c>
      <c r="AP105" t="s">
        <v>137</v>
      </c>
      <c r="AS105" t="s">
        <v>396</v>
      </c>
      <c r="JZ105" s="27" t="str">
        <f t="shared" si="160"/>
        <v>XT55</v>
      </c>
      <c r="KC105" t="str">
        <f t="shared" si="161"/>
        <v>F0-AI11-11B</v>
      </c>
      <c r="KD105" t="str">
        <f t="shared" si="162"/>
        <v>F0-AI11-12B</v>
      </c>
      <c r="KI105">
        <f t="array" ref="KI105">IF(COUNTIFS($U$2:$U105,$U105)=1,1,INDEX(KI:KI,_xlfn.XMATCH(U105,U$1:U104,0,-1))+COUNT(KI104:KM104))</f>
        <v>156</v>
      </c>
      <c r="KJ105">
        <f t="shared" si="165"/>
        <v>157</v>
      </c>
      <c r="KK105">
        <f t="shared" si="166"/>
        <v>158</v>
      </c>
      <c r="KN105">
        <v>1</v>
      </c>
      <c r="KO105" s="16">
        <v>2</v>
      </c>
      <c r="KS105" s="16"/>
    </row>
    <row r="106" spans="1:305" x14ac:dyDescent="0.25">
      <c r="A106" s="83" t="s">
        <v>652</v>
      </c>
      <c r="B106" s="83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A3.11</v>
      </c>
      <c r="Y106" s="43">
        <f t="array" ref="Y106">IF(COUNTIFS($X$2:$X106,$X106)=1,"1",VALUE(SUBSTITUTE(INDEX(Y:Y,_xlfn.XMATCH($X106,$X$1:$X105,0,-1)),"A",""))+INDEX(Z:Z,_xlfn.XMATCH($X106,$X$1:$X105,0,-1))+1)</f>
        <v>7</v>
      </c>
      <c r="Z106" s="43">
        <f t="array" ref="Z106">SUM(IF(ISNUMBER(FIND("TmAi",$BE$1:$AAQ$1)),IF(IFERROR(ISODD(SUBSTITUTE($BE106:$AAQ106,"A","")),FALSE),IF(ISODD(SUBSTITUTE($BE106:$AAQ106,"A","")),1,0),0)))</f>
        <v>0</v>
      </c>
      <c r="AA106" t="str">
        <f t="shared" si="163"/>
        <v>13B</v>
      </c>
      <c r="AB106" t="str">
        <f t="shared" si="164"/>
        <v>14B</v>
      </c>
      <c r="AD106" s="46"/>
      <c r="AE106" s="46">
        <f t="array" ref="AE106">SUM(IF(ISNUMBER(FIND("TmDi",$BE$1:$AAQ$1)),IF(IFERROR(ISNUMBER(VALUE(SUBSTITUTE($BE106:$AAQ106,"B",""))),FALSE),IF(ISNUMBER(VALUE(SUBSTITUTE($BE106:$AAQ106,"B",""))),1,0),0)))</f>
        <v>0</v>
      </c>
      <c r="AP106" t="s">
        <v>137</v>
      </c>
      <c r="AS106" t="s">
        <v>396</v>
      </c>
      <c r="JZ106" s="27" t="str">
        <f t="shared" si="160"/>
        <v>XT55</v>
      </c>
      <c r="KC106" t="str">
        <f t="shared" si="161"/>
        <v>F0-AI11-13B</v>
      </c>
      <c r="KD106" t="str">
        <f t="shared" si="162"/>
        <v>F0-AI11-14B</v>
      </c>
      <c r="KI106">
        <f t="array" ref="KI106">IF(COUNTIFS($U$2:$U106,$U106)=1,1,INDEX(KI:KI,_xlfn.XMATCH(U106,U$1:U105,0,-1))+COUNT(KI105:KM105))</f>
        <v>159</v>
      </c>
      <c r="KJ106">
        <f t="shared" si="165"/>
        <v>160</v>
      </c>
      <c r="KK106">
        <f t="shared" si="166"/>
        <v>161</v>
      </c>
      <c r="KN106">
        <v>1</v>
      </c>
      <c r="KO106" s="16">
        <v>2</v>
      </c>
      <c r="KS106" s="16"/>
    </row>
    <row r="107" spans="1:305" x14ac:dyDescent="0.25">
      <c r="A107" s="83" t="s">
        <v>654</v>
      </c>
      <c r="B107" s="83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A3.11</v>
      </c>
      <c r="Y107" s="43">
        <f t="array" ref="Y107">IF(COUNTIFS($X$2:$X107,$X107)=1,"1",VALUE(SUBSTITUTE(INDEX(Y:Y,_xlfn.XMATCH($X107,$X$1:$X106,0,-1)),"A",""))+INDEX(Z:Z,_xlfn.XMATCH($X107,$X$1:$X106,0,-1))+1)</f>
        <v>8</v>
      </c>
      <c r="Z107" s="43">
        <f t="array" ref="Z107">SUM(IF(ISNUMBER(FIND("TmAi",$BE$1:$AAQ$1)),IF(IFERROR(ISODD(SUBSTITUTE($BE107:$AAQ107,"A","")),FALSE),IF(ISODD(SUBSTITUTE($BE107:$AAQ107,"A","")),1,0),0)))</f>
        <v>0</v>
      </c>
      <c r="AA107" t="str">
        <f t="shared" si="163"/>
        <v>15B</v>
      </c>
      <c r="AB107" t="str">
        <f t="shared" si="164"/>
        <v>16B</v>
      </c>
      <c r="AD107" s="46"/>
      <c r="AE107" s="46">
        <f t="array" ref="AE107">SUM(IF(ISNUMBER(FIND("TmDi",$BE$1:$AAQ$1)),IF(IFERROR(ISNUMBER(VALUE(SUBSTITUTE($BE107:$AAQ107,"B",""))),FALSE),IF(ISNUMBER(VALUE(SUBSTITUTE($BE107:$AAQ107,"B",""))),1,0),0)))</f>
        <v>0</v>
      </c>
      <c r="AP107" t="s">
        <v>137</v>
      </c>
      <c r="AS107" t="s">
        <v>396</v>
      </c>
      <c r="JZ107" s="27" t="str">
        <f t="shared" si="160"/>
        <v>XT55</v>
      </c>
      <c r="KC107" t="str">
        <f t="shared" si="161"/>
        <v>F0-AI11-15B</v>
      </c>
      <c r="KD107" t="str">
        <f t="shared" si="162"/>
        <v>F0-AI11-16B</v>
      </c>
      <c r="KI107">
        <f t="array" ref="KI107">IF(COUNTIFS($U$2:$U107,$U107)=1,1,INDEX(KI:KI,_xlfn.XMATCH(U107,U$1:U106,0,-1))+COUNT(KI106:KM106))</f>
        <v>162</v>
      </c>
      <c r="KJ107">
        <f t="shared" si="165"/>
        <v>163</v>
      </c>
      <c r="KK107">
        <f t="shared" si="166"/>
        <v>164</v>
      </c>
      <c r="KN107">
        <v>1</v>
      </c>
      <c r="KO107" s="16">
        <v>2</v>
      </c>
      <c r="KS107" s="16"/>
    </row>
    <row r="108" spans="1:305" x14ac:dyDescent="0.25">
      <c r="A108" s="83" t="s">
        <v>665</v>
      </c>
      <c r="B108" s="85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">
        <v>2331</v>
      </c>
      <c r="Y108" s="43">
        <f t="array" ref="Y108">IF(COUNTIFS($X$2:$X108,$X108)=1,"1",VALUE(SUBSTITUTE(INDEX(Y:Y,_xlfn.XMATCH($X108,$X$1:$X107,0,-1)),"A",""))+INDEX(Z:Z,_xlfn.XMATCH($X108,$X$1:$X107,0,-1))+1)</f>
        <v>4</v>
      </c>
      <c r="Z108" s="43">
        <f t="array" ref="Z108">SUM(IF(ISNUMBER(FIND("TmAi",$BE$1:$AAQ$1)),IF(IFERROR(ISODD(SUBSTITUTE($BE108:$AAQ108,"A","")),FALSE),IF(ISODD(SUBSTITUTE($BE108:$AAQ108,"A","")),1,0),0)))</f>
        <v>0</v>
      </c>
      <c r="AA108" t="str">
        <f t="shared" si="163"/>
        <v>7B</v>
      </c>
      <c r="AB108" t="str">
        <f t="shared" si="164"/>
        <v>8B</v>
      </c>
      <c r="AD108" s="46"/>
      <c r="AE108" s="46">
        <f t="array" ref="AE108">SUM(IF(ISNUMBER(FIND("TmDi",$BE$1:$AAQ$1)),IF(IFERROR(ISNUMBER(VALUE(SUBSTITUTE($BE108:$AAQ108,"B",""))),FALSE),IF(ISNUMBER(VALUE(SUBSTITUTE($BE108:$AAQ108,"B",""))),1,0),0)))</f>
        <v>0</v>
      </c>
      <c r="AP108" t="s">
        <v>137</v>
      </c>
      <c r="AS108" t="s">
        <v>396</v>
      </c>
      <c r="JZ108" s="27" t="str">
        <f t="shared" si="160"/>
        <v>XT55</v>
      </c>
      <c r="KC108" t="str">
        <f t="shared" si="161"/>
        <v>F0-AI9-7B</v>
      </c>
      <c r="KD108" t="str">
        <f t="shared" si="162"/>
        <v>F0-AI9-8B</v>
      </c>
      <c r="KI108">
        <f t="array" ref="KI108">IF(COUNTIFS($U$2:$U108,$U108)=1,1,INDEX(KI:KI,_xlfn.XMATCH(U108,U$1:U107,0,-1))+COUNT(KI107:KM107))</f>
        <v>165</v>
      </c>
      <c r="KJ108">
        <f t="shared" si="165"/>
        <v>166</v>
      </c>
      <c r="KK108">
        <f t="shared" si="166"/>
        <v>167</v>
      </c>
      <c r="KN108">
        <v>1</v>
      </c>
      <c r="KO108" s="16">
        <v>2</v>
      </c>
      <c r="KS108" s="16"/>
    </row>
    <row r="109" spans="1:305" x14ac:dyDescent="0.25">
      <c r="A109" s="83" t="s">
        <v>667</v>
      </c>
      <c r="B109" s="83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5</v>
      </c>
      <c r="Z109" s="43">
        <f t="array" ref="Z109">SUM(IF(ISNUMBER(FIND("TmAi",$BE$1:$AAQ$1)),IF(IFERROR(ISODD(SUBSTITUTE($BE109:$AAQ109,"A","")),FALSE),IF(ISODD(SUBSTITUTE($BE109:$AAQ109,"A","")),1,0),0)))</f>
        <v>0</v>
      </c>
      <c r="AA109" t="str">
        <f t="shared" si="163"/>
        <v>9B</v>
      </c>
      <c r="AB109" t="str">
        <f t="shared" si="164"/>
        <v>10B</v>
      </c>
      <c r="AD109" s="46"/>
      <c r="AE109" s="46">
        <f t="array" ref="AE109">SUM(IF(ISNUMBER(FIND("TmDi",$BE$1:$AAQ$1)),IF(IFERROR(ISNUMBER(VALUE(SUBSTITUTE($BE109:$AAQ109,"B",""))),FALSE),IF(ISNUMBER(VALUE(SUBSTITUTE($BE109:$AAQ109,"B",""))),1,0),0)))</f>
        <v>0</v>
      </c>
      <c r="AP109" t="s">
        <v>137</v>
      </c>
      <c r="AS109" t="s">
        <v>396</v>
      </c>
      <c r="JZ109" s="27" t="str">
        <f t="shared" si="160"/>
        <v>XT55</v>
      </c>
      <c r="KC109" t="str">
        <f t="shared" si="161"/>
        <v>F0-AI9-9B</v>
      </c>
      <c r="KD109" t="str">
        <f t="shared" si="162"/>
        <v>F0-AI9-10B</v>
      </c>
      <c r="KI109">
        <f t="array" ref="KI109">IF(COUNTIFS($U$2:$U109,$U109)=1,1,INDEX(KI:KI,_xlfn.XMATCH(U109,U$1:U108,0,-1))+COUNT(KI108:KM108))</f>
        <v>168</v>
      </c>
      <c r="KJ109">
        <f t="shared" si="165"/>
        <v>169</v>
      </c>
      <c r="KK109">
        <f t="shared" si="166"/>
        <v>170</v>
      </c>
      <c r="KN109">
        <v>1</v>
      </c>
      <c r="KO109" s="16">
        <v>2</v>
      </c>
      <c r="KS109" s="16"/>
    </row>
    <row r="110" spans="1:305" x14ac:dyDescent="0.25">
      <c r="A110" s="83" t="s">
        <v>669</v>
      </c>
      <c r="B110" s="83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6</v>
      </c>
      <c r="Z110" s="43">
        <f t="array" ref="Z110">SUM(IF(ISNUMBER(FIND("TmAi",$BE$1:$AAQ$1)),IF(IFERROR(ISODD(SUBSTITUTE($BE110:$AAQ110,"A","")),FALSE),IF(ISODD(SUBSTITUTE($BE110:$AAQ110,"A","")),1,0),0)))</f>
        <v>0</v>
      </c>
      <c r="AA110" t="str">
        <f t="shared" si="163"/>
        <v>11B</v>
      </c>
      <c r="AB110" t="str">
        <f t="shared" si="164"/>
        <v>12B</v>
      </c>
      <c r="AD110" s="46"/>
      <c r="AE110" s="46">
        <f t="array" ref="AE110">SUM(IF(ISNUMBER(FIND("TmDi",$BE$1:$AAQ$1)),IF(IFERROR(ISNUMBER(VALUE(SUBSTITUTE($BE110:$AAQ110,"B",""))),FALSE),IF(ISNUMBER(VALUE(SUBSTITUTE($BE110:$AAQ110,"B",""))),1,0),0)))</f>
        <v>0</v>
      </c>
      <c r="AP110" t="s">
        <v>137</v>
      </c>
      <c r="AS110" t="s">
        <v>396</v>
      </c>
      <c r="JZ110" s="27" t="str">
        <f t="shared" si="160"/>
        <v>XT55</v>
      </c>
      <c r="KC110" t="str">
        <f t="shared" si="161"/>
        <v>F0-AI9-11B</v>
      </c>
      <c r="KD110" t="str">
        <f t="shared" si="162"/>
        <v>F0-AI9-12B</v>
      </c>
      <c r="KI110">
        <f t="array" ref="KI110">IF(COUNTIFS($U$2:$U110,$U110)=1,1,INDEX(KI:KI,_xlfn.XMATCH(U110,U$1:U109,0,-1))+COUNT(KI109:KM109))</f>
        <v>171</v>
      </c>
      <c r="KJ110">
        <f t="shared" si="165"/>
        <v>172</v>
      </c>
      <c r="KK110">
        <f t="shared" si="166"/>
        <v>173</v>
      </c>
      <c r="KN110">
        <v>1</v>
      </c>
      <c r="KO110" s="16">
        <v>2</v>
      </c>
      <c r="KS110" s="16"/>
    </row>
    <row r="111" spans="1:305" x14ac:dyDescent="0.25">
      <c r="A111" s="83" t="s">
        <v>671</v>
      </c>
      <c r="B111" s="83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7</v>
      </c>
      <c r="Z111" s="43">
        <f t="array" ref="Z111">SUM(IF(ISNUMBER(FIND("TmAi",$BE$1:$AAQ$1)),IF(IFERROR(ISODD(SUBSTITUTE($BE111:$AAQ111,"A","")),FALSE),IF(ISODD(SUBSTITUTE($BE111:$AAQ111,"A","")),1,0),0)))</f>
        <v>0</v>
      </c>
      <c r="AA111" t="str">
        <f t="shared" si="163"/>
        <v>13B</v>
      </c>
      <c r="AB111" t="str">
        <f t="shared" si="164"/>
        <v>14B</v>
      </c>
      <c r="AD111" s="46"/>
      <c r="AE111" s="46">
        <f t="array" ref="AE111">SUM(IF(ISNUMBER(FIND("TmDi",$BE$1:$AAQ$1)),IF(IFERROR(ISNUMBER(VALUE(SUBSTITUTE($BE111:$AAQ111,"B",""))),FALSE),IF(ISNUMBER(VALUE(SUBSTITUTE($BE111:$AAQ111,"B",""))),1,0),0)))</f>
        <v>0</v>
      </c>
      <c r="AP111" t="s">
        <v>137</v>
      </c>
      <c r="AS111" t="s">
        <v>396</v>
      </c>
      <c r="JZ111" s="27" t="str">
        <f t="shared" si="160"/>
        <v>XT55</v>
      </c>
      <c r="KC111" t="str">
        <f t="shared" si="161"/>
        <v>F0-AI9-13B</v>
      </c>
      <c r="KD111" t="str">
        <f t="shared" si="162"/>
        <v>F0-AI9-14B</v>
      </c>
      <c r="KI111">
        <f t="array" ref="KI111">IF(COUNTIFS($U$2:$U111,$U111)=1,1,INDEX(KI:KI,_xlfn.XMATCH(U111,U$1:U110,0,-1))+COUNT(KI110:KM110))</f>
        <v>174</v>
      </c>
      <c r="KJ111">
        <f t="shared" si="165"/>
        <v>175</v>
      </c>
      <c r="KK111">
        <f t="shared" si="166"/>
        <v>176</v>
      </c>
      <c r="KN111">
        <v>1</v>
      </c>
      <c r="KO111" s="16">
        <v>2</v>
      </c>
      <c r="KS111" s="16"/>
    </row>
    <row r="112" spans="1:305" x14ac:dyDescent="0.25">
      <c r="A112" s="83" t="s">
        <v>673</v>
      </c>
      <c r="B112" s="83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">
        <v>2961</v>
      </c>
      <c r="Y112" s="43" t="str">
        <f t="array" ref="Y112">IF(COUNTIFS($X$2:$X112,$X112)=1,"1",VALUE(SUBSTITUTE(INDEX(Y:Y,_xlfn.XMATCH($X112,$X$1:$X111,0,-1)),"A",""))+INDEX(Z:Z,_xlfn.XMATCH($X112,$X$1:$X111,0,-1))+1)</f>
        <v>1</v>
      </c>
      <c r="Z112" s="43">
        <f t="array" ref="Z112">SUM(IF(ISNUMBER(FIND("TmAi",$BE$1:$AAQ$1)),IF(IFERROR(ISODD(SUBSTITUTE($BE112:$AAQ112,"A","")),FALSE),IF(ISODD(SUBSTITUTE($BE112:$AAQ112,"A","")),1,0),0)))</f>
        <v>0</v>
      </c>
      <c r="AA112" t="str">
        <f t="shared" si="163"/>
        <v>1B</v>
      </c>
      <c r="AB112" t="str">
        <f t="shared" si="164"/>
        <v>2B</v>
      </c>
      <c r="AD112" s="46"/>
      <c r="AE112" s="46">
        <f t="array" ref="AE112">SUM(IF(ISNUMBER(FIND("TmDi",$BE$1:$AAQ$1)),IF(IFERROR(ISNUMBER(VALUE(SUBSTITUTE($BE112:$AAQ112,"B",""))),FALSE),IF(ISNUMBER(VALUE(SUBSTITUTE($BE112:$AAQ112,"B",""))),1,0),0)))</f>
        <v>0</v>
      </c>
      <c r="AP112" t="s">
        <v>137</v>
      </c>
      <c r="AS112" t="s">
        <v>396</v>
      </c>
      <c r="JZ112" s="27" t="str">
        <f t="shared" si="160"/>
        <v>XT55</v>
      </c>
      <c r="KC112" t="str">
        <f t="shared" si="161"/>
        <v>F0-AI12-1B</v>
      </c>
      <c r="KD112" t="str">
        <f t="shared" si="162"/>
        <v>F0-AI12-2B</v>
      </c>
      <c r="KI112">
        <f t="array" ref="KI112">IF(COUNTIFS($U$2:$U112,$U112)=1,1,INDEX(KI:KI,_xlfn.XMATCH(U112,U$1:U111,0,-1))+COUNT(KI111:KM111))</f>
        <v>177</v>
      </c>
      <c r="KJ112">
        <f t="shared" si="165"/>
        <v>178</v>
      </c>
      <c r="KK112">
        <f t="shared" si="166"/>
        <v>179</v>
      </c>
      <c r="KN112">
        <v>1</v>
      </c>
      <c r="KO112" s="16">
        <v>2</v>
      </c>
      <c r="KS112" s="16"/>
    </row>
    <row r="113" spans="1:305" x14ac:dyDescent="0.25">
      <c r="A113" s="83" t="s">
        <v>675</v>
      </c>
      <c r="B113" s="8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A3.12</v>
      </c>
      <c r="Y113" s="45">
        <f t="array" ref="Y113">IF(COUNTIFS($X$2:$X113,$X113)=1,"1",VALUE(SUBSTITUTE(INDEX(Y:Y,_xlfn.XMATCH($X113,$X$1:$X112,0,-1)),"A",""))+INDEX(Z:Z,_xlfn.XMATCH($X113,$X$1:$X112,0,-1))+1)</f>
        <v>2</v>
      </c>
      <c r="Z113" s="43">
        <f t="array" ref="Z113">SUM(IF(ISNUMBER(FIND("TmAi",$BE$1:$AAQ$1)),IF(IFERROR(ISODD(SUBSTITUTE($BE113:$AAQ113,"A","")),FALSE),IF(ISODD(SUBSTITUTE($BE113:$AAQ113,"A","")),1,0),0)))</f>
        <v>0</v>
      </c>
      <c r="AA113" t="str">
        <f t="shared" si="163"/>
        <v>3B</v>
      </c>
      <c r="AB113" t="str">
        <f t="shared" si="164"/>
        <v>4B</v>
      </c>
      <c r="AD113" s="46"/>
      <c r="AE113" s="46">
        <f t="array" ref="AE113">SUM(IF(ISNUMBER(FIND("TmDi",$BE$1:$AAQ$1)),IF(IFERROR(ISNUMBER(VALUE(SUBSTITUTE($BE113:$AAQ113,"B",""))),FALSE),IF(ISNUMBER(VALUE(SUBSTITUTE($BE113:$AAQ113,"B",""))),1,0),0)))</f>
        <v>0</v>
      </c>
      <c r="AP113" t="s">
        <v>137</v>
      </c>
      <c r="AS113" t="s">
        <v>396</v>
      </c>
      <c r="JZ113" s="27" t="str">
        <f t="shared" si="160"/>
        <v>XT55</v>
      </c>
      <c r="KC113" t="str">
        <f t="shared" si="161"/>
        <v>F0-AI12-3B</v>
      </c>
      <c r="KD113" t="str">
        <f t="shared" si="162"/>
        <v>F0-AI12-4B</v>
      </c>
      <c r="KI113">
        <f t="array" ref="KI113">IF(COUNTIFS($U$2:$U113,$U113)=1,1,INDEX(KI:KI,_xlfn.XMATCH(U113,U$1:U112,0,-1))+COUNT(KI112:KM112))</f>
        <v>180</v>
      </c>
      <c r="KJ113">
        <f t="shared" si="165"/>
        <v>181</v>
      </c>
      <c r="KK113">
        <f t="shared" si="166"/>
        <v>182</v>
      </c>
      <c r="KN113">
        <v>1</v>
      </c>
      <c r="KO113" s="16">
        <v>2</v>
      </c>
      <c r="KS113" s="16"/>
    </row>
    <row r="114" spans="1:305" x14ac:dyDescent="0.25">
      <c r="A114" s="83" t="s">
        <v>677</v>
      </c>
      <c r="B114" s="83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A3.12</v>
      </c>
      <c r="Y114" s="43">
        <f t="array" ref="Y114">IF(COUNTIFS($X$2:$X114,$X114)=1,"1",VALUE(SUBSTITUTE(INDEX(Y:Y,_xlfn.XMATCH($X114,$X$1:$X113,0,-1)),"A",""))+INDEX(Z:Z,_xlfn.XMATCH($X114,$X$1:$X113,0,-1))+1)</f>
        <v>3</v>
      </c>
      <c r="Z114" s="43">
        <f t="array" ref="Z114">SUM(IF(ISNUMBER(FIND("TmAi",$BE$1:$AAQ$1)),IF(IFERROR(ISODD(SUBSTITUTE($BE114:$AAQ114,"A","")),FALSE),IF(ISODD(SUBSTITUTE($BE114:$AAQ114,"A","")),1,0),0)))</f>
        <v>0</v>
      </c>
      <c r="AA114" t="str">
        <f t="shared" si="163"/>
        <v>5B</v>
      </c>
      <c r="AB114" t="str">
        <f t="shared" si="164"/>
        <v>6B</v>
      </c>
      <c r="AD114" s="46"/>
      <c r="AE114" s="46">
        <f t="array" ref="AE114">SUM(IF(ISNUMBER(FIND("TmDi",$BE$1:$AAQ$1)),IF(IFERROR(ISNUMBER(VALUE(SUBSTITUTE($BE114:$AAQ114,"B",""))),FALSE),IF(ISNUMBER(VALUE(SUBSTITUTE($BE114:$AAQ114,"B",""))),1,0),0)))</f>
        <v>0</v>
      </c>
      <c r="AP114" t="s">
        <v>137</v>
      </c>
      <c r="AS114" t="s">
        <v>396</v>
      </c>
      <c r="JZ114" s="27" t="str">
        <f t="shared" si="160"/>
        <v>XT55</v>
      </c>
      <c r="KC114" t="str">
        <f t="shared" si="161"/>
        <v>F0-AI12-5B</v>
      </c>
      <c r="KD114" t="str">
        <f t="shared" si="162"/>
        <v>F0-AI12-6B</v>
      </c>
      <c r="KI114">
        <f t="array" ref="KI114">IF(COUNTIFS($U$2:$U114,$U114)=1,1,INDEX(KI:KI,_xlfn.XMATCH(U114,U$1:U113,0,-1))+COUNT(KI113:KM113))</f>
        <v>183</v>
      </c>
      <c r="KJ114">
        <f t="shared" ref="KJ114:KJ152" si="167">KI114+1</f>
        <v>184</v>
      </c>
      <c r="KK114">
        <f t="shared" ref="KK114:KK152" si="168">KJ114+1</f>
        <v>185</v>
      </c>
      <c r="KN114">
        <v>1</v>
      </c>
      <c r="KO114" s="16">
        <v>2</v>
      </c>
      <c r="KS114" s="16"/>
    </row>
    <row r="115" spans="1:305" x14ac:dyDescent="0.25">
      <c r="A115" s="83" t="s">
        <v>679</v>
      </c>
      <c r="B115" s="83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A3.12</v>
      </c>
      <c r="Y115" s="43">
        <f t="array" ref="Y115">IF(COUNTIFS($X$2:$X115,$X115)=1,"1",VALUE(SUBSTITUTE(INDEX(Y:Y,_xlfn.XMATCH($X115,$X$1:$X114,0,-1)),"A",""))+INDEX(Z:Z,_xlfn.XMATCH($X115,$X$1:$X114,0,-1))+1)</f>
        <v>4</v>
      </c>
      <c r="Z115" s="43">
        <f t="array" ref="Z115">SUM(IF(ISNUMBER(FIND("TmAi",$BE$1:$AAQ$1)),IF(IFERROR(ISODD(SUBSTITUTE($BE115:$AAQ115,"A","")),FALSE),IF(ISODD(SUBSTITUTE($BE115:$AAQ115,"A","")),1,0),0)))</f>
        <v>0</v>
      </c>
      <c r="AA115" t="str">
        <f t="shared" si="163"/>
        <v>7B</v>
      </c>
      <c r="AB115" t="str">
        <f t="shared" si="164"/>
        <v>8B</v>
      </c>
      <c r="AD115" s="46"/>
      <c r="AE115" s="46">
        <f t="array" ref="AE115">SUM(IF(ISNUMBER(FIND("TmDi",$BE$1:$AAQ$1)),IF(IFERROR(ISNUMBER(VALUE(SUBSTITUTE($BE115:$AAQ115,"B",""))),FALSE),IF(ISNUMBER(VALUE(SUBSTITUTE($BE115:$AAQ115,"B",""))),1,0),0)))</f>
        <v>0</v>
      </c>
      <c r="AP115" t="s">
        <v>137</v>
      </c>
      <c r="AS115" t="s">
        <v>396</v>
      </c>
      <c r="JZ115" s="27" t="str">
        <f t="shared" si="160"/>
        <v>XT55</v>
      </c>
      <c r="KC115" t="str">
        <f t="shared" si="161"/>
        <v>F0-AI12-7B</v>
      </c>
      <c r="KD115" t="str">
        <f t="shared" si="162"/>
        <v>F0-AI12-8B</v>
      </c>
      <c r="KI115">
        <f t="array" ref="KI115">IF(COUNTIFS($U$2:$U115,$U115)=1,1,INDEX(KI:KI,_xlfn.XMATCH(U115,U$1:U114,0,-1))+COUNT(KI114:KM114))</f>
        <v>186</v>
      </c>
      <c r="KJ115">
        <f t="shared" si="167"/>
        <v>187</v>
      </c>
      <c r="KK115">
        <f t="shared" si="168"/>
        <v>188</v>
      </c>
      <c r="KN115">
        <v>1</v>
      </c>
      <c r="KO115" s="16">
        <v>2</v>
      </c>
      <c r="KS115" s="16"/>
    </row>
    <row r="116" spans="1:305" x14ac:dyDescent="0.25">
      <c r="A116" s="83" t="s">
        <v>681</v>
      </c>
      <c r="B116" s="85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A3.12</v>
      </c>
      <c r="Y116" s="43">
        <f t="array" ref="Y116">IF(COUNTIFS($X$2:$X116,$X116)=1,"1",VALUE(SUBSTITUTE(INDEX(Y:Y,_xlfn.XMATCH($X116,$X$1:$X115,0,-1)),"A",""))+INDEX(Z:Z,_xlfn.XMATCH($X116,$X$1:$X115,0,-1))+1)</f>
        <v>5</v>
      </c>
      <c r="Z116" s="43">
        <f t="array" ref="Z116">SUM(IF(ISNUMBER(FIND("TmAi",$BE$1:$AAQ$1)),IF(IFERROR(ISODD(SUBSTITUTE($BE116:$AAQ116,"A","")),FALSE),IF(ISODD(SUBSTITUTE($BE116:$AAQ116,"A","")),1,0),0)))</f>
        <v>0</v>
      </c>
      <c r="AA116" t="str">
        <f t="shared" si="163"/>
        <v>9B</v>
      </c>
      <c r="AB116" t="str">
        <f t="shared" si="164"/>
        <v>10B</v>
      </c>
      <c r="AD116" s="46"/>
      <c r="AE116" s="46">
        <f t="array" ref="AE116">SUM(IF(ISNUMBER(FIND("TmDi",$BE$1:$AAQ$1)),IF(IFERROR(ISNUMBER(VALUE(SUBSTITUTE($BE116:$AAQ116,"B",""))),FALSE),IF(ISNUMBER(VALUE(SUBSTITUTE($BE116:$AAQ116,"B",""))),1,0),0)))</f>
        <v>0</v>
      </c>
      <c r="AP116" t="s">
        <v>137</v>
      </c>
      <c r="AS116" t="s">
        <v>396</v>
      </c>
      <c r="JZ116" s="27" t="str">
        <f t="shared" si="160"/>
        <v>XT55</v>
      </c>
      <c r="KC116" t="str">
        <f t="shared" si="161"/>
        <v>F0-AI12-9B</v>
      </c>
      <c r="KD116" t="str">
        <f t="shared" si="162"/>
        <v>F0-AI12-10B</v>
      </c>
      <c r="KI116">
        <f t="array" ref="KI116">IF(COUNTIFS($U$2:$U116,$U116)=1,1,INDEX(KI:KI,_xlfn.XMATCH(U116,U$1:U115,0,-1))+COUNT(KI115:KM115))</f>
        <v>189</v>
      </c>
      <c r="KJ116">
        <f t="shared" si="167"/>
        <v>190</v>
      </c>
      <c r="KK116">
        <f t="shared" si="168"/>
        <v>191</v>
      </c>
      <c r="KN116">
        <v>1</v>
      </c>
      <c r="KO116" s="16">
        <v>2</v>
      </c>
      <c r="KS116" s="16"/>
    </row>
    <row r="117" spans="1:305" x14ac:dyDescent="0.25">
      <c r="A117" s="83" t="s">
        <v>692</v>
      </c>
      <c r="B117" s="83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">
        <v>2447</v>
      </c>
      <c r="Y117" s="43" t="str">
        <f t="array" ref="Y117">IF(COUNTIFS($X$2:$X117,$X117)=1,"1",VALUE(SUBSTITUTE(INDEX(Y:Y,_xlfn.XMATCH($X117,$X$1:$X116,0,-1)),"A",""))+INDEX(Z:Z,_xlfn.XMATCH($X117,$X$1:$X116,0,-1))+1)</f>
        <v>1</v>
      </c>
      <c r="Z117" s="43">
        <f t="array" ref="Z117">SUM(IF(ISNUMBER(FIND("TmAi",$BE$1:$AAQ$1)),IF(IFERROR(ISODD(SUBSTITUTE($BE117:$AAQ117,"A","")),FALSE),IF(ISODD(SUBSTITUTE($BE117:$AAQ117,"A","")),1,0),0)))</f>
        <v>0</v>
      </c>
      <c r="AA117" t="str">
        <f t="shared" si="163"/>
        <v>1B</v>
      </c>
      <c r="AB117" t="str">
        <f t="shared" si="164"/>
        <v>2B</v>
      </c>
      <c r="AD117" s="46"/>
      <c r="AE117" s="46">
        <f t="array" ref="AE117">SUM(IF(ISNUMBER(FIND("TmDi",$BE$1:$AAQ$1)),IF(IFERROR(ISNUMBER(VALUE(SUBSTITUTE($BE117:$AAQ117,"B",""))),FALSE),IF(ISNUMBER(VALUE(SUBSTITUTE($BE117:$AAQ117,"B",""))),1,0),0)))</f>
        <v>0</v>
      </c>
      <c r="AP117" t="s">
        <v>137</v>
      </c>
      <c r="AS117" t="s">
        <v>396</v>
      </c>
      <c r="JZ117" s="27" t="str">
        <f t="shared" si="160"/>
        <v>XT55</v>
      </c>
      <c r="KC117" t="str">
        <f t="shared" si="161"/>
        <v>F0-AI13-1B</v>
      </c>
      <c r="KD117" t="str">
        <f t="shared" si="162"/>
        <v>F0-AI13-2B</v>
      </c>
      <c r="KI117">
        <f t="array" ref="KI117">IF(COUNTIFS($U$2:$U117,$U117)=1,1,INDEX(KI:KI,_xlfn.XMATCH(U117,U$1:U116,0,-1))+COUNT(KI116:KM116))</f>
        <v>192</v>
      </c>
      <c r="KJ117">
        <f t="shared" si="167"/>
        <v>193</v>
      </c>
      <c r="KK117">
        <f t="shared" si="168"/>
        <v>194</v>
      </c>
      <c r="KN117">
        <v>1</v>
      </c>
      <c r="KO117" s="16">
        <v>2</v>
      </c>
      <c r="KS117" s="16"/>
    </row>
    <row r="118" spans="1:305" x14ac:dyDescent="0.25">
      <c r="A118" s="83" t="s">
        <v>694</v>
      </c>
      <c r="B118" s="83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A3.13</v>
      </c>
      <c r="Y118" s="43">
        <f t="array" ref="Y118">IF(COUNTIFS($X$2:$X118,$X118)=1,"1",VALUE(SUBSTITUTE(INDEX(Y:Y,_xlfn.XMATCH($X118,$X$1:$X117,0,-1)),"A",""))+INDEX(Z:Z,_xlfn.XMATCH($X118,$X$1:$X117,0,-1))+1)</f>
        <v>2</v>
      </c>
      <c r="Z118" s="43">
        <f t="array" ref="Z118">SUM(IF(ISNUMBER(FIND("TmAi",$BE$1:$AAQ$1)),IF(IFERROR(ISODD(SUBSTITUTE($BE118:$AAQ118,"A","")),FALSE),IF(ISODD(SUBSTITUTE($BE118:$AAQ118,"A","")),1,0),0)))</f>
        <v>0</v>
      </c>
      <c r="AA118" t="str">
        <f t="shared" si="163"/>
        <v>3B</v>
      </c>
      <c r="AB118" t="str">
        <f t="shared" si="164"/>
        <v>4B</v>
      </c>
      <c r="AD118" s="46"/>
      <c r="AE118" s="46">
        <f t="array" ref="AE118">SUM(IF(ISNUMBER(FIND("TmDi",$BE$1:$AAQ$1)),IF(IFERROR(ISNUMBER(VALUE(SUBSTITUTE($BE118:$AAQ118,"B",""))),FALSE),IF(ISNUMBER(VALUE(SUBSTITUTE($BE118:$AAQ118,"B",""))),1,0),0)))</f>
        <v>0</v>
      </c>
      <c r="AP118" t="s">
        <v>137</v>
      </c>
      <c r="AS118" t="s">
        <v>396</v>
      </c>
      <c r="JZ118" s="27" t="str">
        <f t="shared" si="160"/>
        <v>XT55</v>
      </c>
      <c r="KC118" t="str">
        <f t="shared" si="161"/>
        <v>F0-AI13-3B</v>
      </c>
      <c r="KD118" t="str">
        <f t="shared" si="162"/>
        <v>F0-AI13-4B</v>
      </c>
      <c r="KI118">
        <f t="array" ref="KI118">IF(COUNTIFS($U$2:$U118,$U118)=1,1,INDEX(KI:KI,_xlfn.XMATCH(U118,U$1:U117,0,-1))+COUNT(KI117:KM117))</f>
        <v>195</v>
      </c>
      <c r="KJ118">
        <f t="shared" si="167"/>
        <v>196</v>
      </c>
      <c r="KK118">
        <f t="shared" si="168"/>
        <v>197</v>
      </c>
      <c r="KN118">
        <v>1</v>
      </c>
      <c r="KO118" s="16">
        <v>2</v>
      </c>
      <c r="KS118" s="16"/>
    </row>
    <row r="119" spans="1:305" x14ac:dyDescent="0.25">
      <c r="A119" s="83" t="s">
        <v>696</v>
      </c>
      <c r="B119" s="85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A3.13</v>
      </c>
      <c r="Y119" s="43">
        <f t="array" ref="Y119">IF(COUNTIFS($X$2:$X119,$X119)=1,"1",VALUE(SUBSTITUTE(INDEX(Y:Y,_xlfn.XMATCH($X119,$X$1:$X118,0,-1)),"A",""))+INDEX(Z:Z,_xlfn.XMATCH($X119,$X$1:$X118,0,-1))+1)</f>
        <v>3</v>
      </c>
      <c r="Z119" s="43">
        <f t="array" ref="Z119">SUM(IF(ISNUMBER(FIND("TmAi",$BE$1:$AAQ$1)),IF(IFERROR(ISODD(SUBSTITUTE($BE119:$AAQ119,"A","")),FALSE),IF(ISODD(SUBSTITUTE($BE119:$AAQ119,"A","")),1,0),0)))</f>
        <v>0</v>
      </c>
      <c r="AA119" t="str">
        <f t="shared" si="163"/>
        <v>5B</v>
      </c>
      <c r="AB119" t="str">
        <f t="shared" si="164"/>
        <v>6B</v>
      </c>
      <c r="AD119" s="46"/>
      <c r="AE119" s="46">
        <f t="array" ref="AE119">SUM(IF(ISNUMBER(FIND("TmDi",$BE$1:$AAQ$1)),IF(IFERROR(ISNUMBER(VALUE(SUBSTITUTE($BE119:$AAQ119,"B",""))),FALSE),IF(ISNUMBER(VALUE(SUBSTITUTE($BE119:$AAQ119,"B",""))),1,0),0)))</f>
        <v>0</v>
      </c>
      <c r="AP119" t="s">
        <v>137</v>
      </c>
      <c r="AS119" t="s">
        <v>396</v>
      </c>
      <c r="JZ119" s="27" t="str">
        <f t="shared" si="160"/>
        <v>XT55</v>
      </c>
      <c r="KC119" t="str">
        <f t="shared" si="161"/>
        <v>F0-AI13-5B</v>
      </c>
      <c r="KD119" t="str">
        <f t="shared" si="162"/>
        <v>F0-AI13-6B</v>
      </c>
      <c r="KI119">
        <f t="array" ref="KI119">IF(COUNTIFS($U$2:$U119,$U119)=1,1,INDEX(KI:KI,_xlfn.XMATCH(U119,U$1:U118,0,-1))+COUNT(KI118:KM118))</f>
        <v>198</v>
      </c>
      <c r="KJ119">
        <f t="shared" si="167"/>
        <v>199</v>
      </c>
      <c r="KK119">
        <f t="shared" si="168"/>
        <v>200</v>
      </c>
      <c r="KN119">
        <v>1</v>
      </c>
      <c r="KO119" s="16">
        <v>2</v>
      </c>
      <c r="KS119" s="16"/>
    </row>
    <row r="120" spans="1:305" x14ac:dyDescent="0.25">
      <c r="A120" s="83" t="s">
        <v>697</v>
      </c>
      <c r="B120" s="83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A3.13</v>
      </c>
      <c r="Y120" s="43">
        <f t="array" ref="Y120">IF(COUNTIFS($X$2:$X120,$X120)=1,"1",VALUE(SUBSTITUTE(INDEX(Y:Y,_xlfn.XMATCH($X120,$X$1:$X119,0,-1)),"A",""))+INDEX(Z:Z,_xlfn.XMATCH($X120,$X$1:$X119,0,-1))+1)</f>
        <v>4</v>
      </c>
      <c r="Z120" s="43">
        <f t="array" ref="Z120">SUM(IF(ISNUMBER(FIND("TmAi",$BE$1:$AAQ$1)),IF(IFERROR(ISODD(SUBSTITUTE($BE120:$AAQ120,"A","")),FALSE),IF(ISODD(SUBSTITUTE($BE120:$AAQ120,"A","")),1,0),0)))</f>
        <v>0</v>
      </c>
      <c r="AA120" t="str">
        <f t="shared" si="163"/>
        <v>7B</v>
      </c>
      <c r="AB120" t="str">
        <f t="shared" si="164"/>
        <v>8B</v>
      </c>
      <c r="AD120" s="46"/>
      <c r="AE120" s="46">
        <f t="array" ref="AE120">SUM(IF(ISNUMBER(FIND("TmDi",$BE$1:$AAQ$1)),IF(IFERROR(ISNUMBER(VALUE(SUBSTITUTE($BE120:$AAQ120,"B",""))),FALSE),IF(ISNUMBER(VALUE(SUBSTITUTE($BE120:$AAQ120,"B",""))),1,0),0)))</f>
        <v>0</v>
      </c>
      <c r="AP120" t="s">
        <v>137</v>
      </c>
      <c r="AS120" t="s">
        <v>396</v>
      </c>
      <c r="JZ120" s="27" t="str">
        <f t="shared" ref="JZ120:JZ151" si="169">CONCATENATE("XT",U120)</f>
        <v>XT55</v>
      </c>
      <c r="KC120" t="str">
        <f t="shared" ref="KC120:KC151" si="170">CONCATENATE(T120,"-AI",REPLACE($X120,1,3,""),"-",AA120)</f>
        <v>F0-AI13-7B</v>
      </c>
      <c r="KD120" t="str">
        <f t="shared" ref="KD120:KD151" si="171">CONCATENATE(T120,"-AI",REPLACE($X120,1,3,""),"-",AB120)</f>
        <v>F0-AI13-8B</v>
      </c>
      <c r="KI120">
        <f t="array" ref="KI120">IF(COUNTIFS($U$2:$U120,$U120)=1,1,INDEX(KI:KI,_xlfn.XMATCH(U120,U$1:U119,0,-1))+COUNT(KI119:KM119))</f>
        <v>201</v>
      </c>
      <c r="KJ120">
        <f t="shared" si="167"/>
        <v>202</v>
      </c>
      <c r="KK120">
        <f t="shared" si="168"/>
        <v>203</v>
      </c>
      <c r="KN120">
        <v>1</v>
      </c>
      <c r="KO120" s="16">
        <v>2</v>
      </c>
      <c r="KS120" s="16"/>
    </row>
    <row r="121" spans="1:305" x14ac:dyDescent="0.25">
      <c r="A121" s="83" t="s">
        <v>698</v>
      </c>
      <c r="B121" s="83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A3.13</v>
      </c>
      <c r="Y121" s="45">
        <f t="array" ref="Y121">IF(COUNTIFS($X$2:$X121,$X121)=1,"1",VALUE(SUBSTITUTE(INDEX(Y:Y,_xlfn.XMATCH($X121,$X$1:$X120,0,-1)),"A",""))+INDEX(Z:Z,_xlfn.XMATCH($X121,$X$1:$X120,0,-1))+1)</f>
        <v>5</v>
      </c>
      <c r="Z121" s="43">
        <f t="array" ref="Z121">SUM(IF(ISNUMBER(FIND("TmAi",$BE$1:$AAQ$1)),IF(IFERROR(ISODD(SUBSTITUTE($BE121:$AAQ121,"A","")),FALSE),IF(ISODD(SUBSTITUTE($BE121:$AAQ121,"A","")),1,0),0)))</f>
        <v>0</v>
      </c>
      <c r="AA121" t="str">
        <f t="shared" si="163"/>
        <v>9B</v>
      </c>
      <c r="AB121" t="str">
        <f t="shared" si="164"/>
        <v>10B</v>
      </c>
      <c r="AD121" s="46"/>
      <c r="AE121" s="46">
        <f t="array" ref="AE121">SUM(IF(ISNUMBER(FIND("TmDi",$BE$1:$AAQ$1)),IF(IFERROR(ISNUMBER(VALUE(SUBSTITUTE($BE121:$AAQ121,"B",""))),FALSE),IF(ISNUMBER(VALUE(SUBSTITUTE($BE121:$AAQ121,"B",""))),1,0),0)))</f>
        <v>0</v>
      </c>
      <c r="AP121" t="s">
        <v>137</v>
      </c>
      <c r="AS121" t="s">
        <v>396</v>
      </c>
      <c r="JZ121" s="27" t="str">
        <f t="shared" si="169"/>
        <v>XT55</v>
      </c>
      <c r="KC121" t="str">
        <f t="shared" si="170"/>
        <v>F0-AI13-9B</v>
      </c>
      <c r="KD121" t="str">
        <f t="shared" si="171"/>
        <v>F0-AI13-10B</v>
      </c>
      <c r="KI121">
        <f t="array" ref="KI121">IF(COUNTIFS($U$2:$U121,$U121)=1,1,INDEX(KI:KI,_xlfn.XMATCH(U121,U$1:U120,0,-1))+COUNT(KI120:KM120))</f>
        <v>204</v>
      </c>
      <c r="KJ121">
        <f t="shared" si="167"/>
        <v>205</v>
      </c>
      <c r="KK121">
        <f t="shared" si="168"/>
        <v>206</v>
      </c>
      <c r="KN121">
        <v>1</v>
      </c>
      <c r="KO121" s="16">
        <v>2</v>
      </c>
      <c r="KS121" s="16"/>
    </row>
    <row r="122" spans="1:305" x14ac:dyDescent="0.25">
      <c r="A122" s="83" t="s">
        <v>699</v>
      </c>
      <c r="B122" s="85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A3.13</v>
      </c>
      <c r="Y122" s="43">
        <f t="array" ref="Y122">IF(COUNTIFS($X$2:$X122,$X122)=1,"1",VALUE(SUBSTITUTE(INDEX(Y:Y,_xlfn.XMATCH($X122,$X$1:$X121,0,-1)),"A",""))+INDEX(Z:Z,_xlfn.XMATCH($X122,$X$1:$X121,0,-1))+1)</f>
        <v>6</v>
      </c>
      <c r="Z122" s="43">
        <f t="array" ref="Z122">SUM(IF(ISNUMBER(FIND("TmAi",$BE$1:$AAQ$1)),IF(IFERROR(ISODD(SUBSTITUTE($BE122:$AAQ122,"A","")),FALSE),IF(ISODD(SUBSTITUTE($BE122:$AAQ122,"A","")),1,0),0)))</f>
        <v>0</v>
      </c>
      <c r="AA122" t="str">
        <f t="shared" si="163"/>
        <v>11B</v>
      </c>
      <c r="AB122" t="str">
        <f t="shared" si="164"/>
        <v>12B</v>
      </c>
      <c r="AD122" s="46"/>
      <c r="AE122" s="46">
        <f t="array" ref="AE122">SUM(IF(ISNUMBER(FIND("TmDi",$BE$1:$AAQ$1)),IF(IFERROR(ISNUMBER(VALUE(SUBSTITUTE($BE122:$AAQ122,"B",""))),FALSE),IF(ISNUMBER(VALUE(SUBSTITUTE($BE122:$AAQ122,"B",""))),1,0),0)))</f>
        <v>0</v>
      </c>
      <c r="AP122" t="s">
        <v>137</v>
      </c>
      <c r="AS122" t="s">
        <v>396</v>
      </c>
      <c r="JZ122" s="27" t="str">
        <f t="shared" si="169"/>
        <v>XT55</v>
      </c>
      <c r="KC122" t="str">
        <f t="shared" si="170"/>
        <v>F0-AI13-11B</v>
      </c>
      <c r="KD122" t="str">
        <f t="shared" si="171"/>
        <v>F0-AI13-12B</v>
      </c>
      <c r="KI122">
        <f t="array" ref="KI122">IF(COUNTIFS($U$2:$U122,$U122)=1,1,INDEX(KI:KI,_xlfn.XMATCH(U122,U$1:U121,0,-1))+COUNT(KI121:KM121))</f>
        <v>207</v>
      </c>
      <c r="KJ122">
        <f t="shared" si="167"/>
        <v>208</v>
      </c>
      <c r="KK122">
        <f t="shared" si="168"/>
        <v>209</v>
      </c>
      <c r="KN122">
        <v>1</v>
      </c>
      <c r="KO122" s="16">
        <v>2</v>
      </c>
      <c r="KS122" s="16"/>
    </row>
    <row r="123" spans="1:305" x14ac:dyDescent="0.25">
      <c r="A123" s="83" t="s">
        <v>700</v>
      </c>
      <c r="B123" s="8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">
        <v>2962</v>
      </c>
      <c r="Y123" s="43" t="str">
        <f t="array" ref="Y123">IF(COUNTIFS($X$2:$X123,$X123)=1,"1",VALUE(SUBSTITUTE(INDEX(Y:Y,_xlfn.XMATCH($X123,$X$1:$X122,0,-1)),"A",""))+INDEX(Z:Z,_xlfn.XMATCH($X123,$X$1:$X122,0,-1))+1)</f>
        <v>1</v>
      </c>
      <c r="Z123" s="43">
        <f t="array" ref="Z123">SUM(IF(ISNUMBER(FIND("TmAi",$BE$1:$AAQ$1)),IF(IFERROR(ISODD(SUBSTITUTE($BE123:$AAQ123,"A","")),FALSE),IF(ISODD(SUBSTITUTE($BE123:$AAQ123,"A","")),1,0),0)))</f>
        <v>0</v>
      </c>
      <c r="AA123" t="str">
        <f t="shared" si="163"/>
        <v>1B</v>
      </c>
      <c r="AB123" t="str">
        <f t="shared" si="164"/>
        <v>2B</v>
      </c>
      <c r="AD123" s="46"/>
      <c r="AE123" s="46">
        <f t="array" ref="AE123">SUM(IF(ISNUMBER(FIND("TmDi",$BE$1:$AAQ$1)),IF(IFERROR(ISNUMBER(VALUE(SUBSTITUTE($BE123:$AAQ123,"B",""))),FALSE),IF(ISNUMBER(VALUE(SUBSTITUTE($BE123:$AAQ123,"B",""))),1,0),0)))</f>
        <v>0</v>
      </c>
      <c r="AP123" t="s">
        <v>137</v>
      </c>
      <c r="AS123" t="s">
        <v>396</v>
      </c>
      <c r="JZ123" s="27" t="str">
        <f t="shared" si="169"/>
        <v>XT55</v>
      </c>
      <c r="KC123" t="str">
        <f t="shared" si="170"/>
        <v>F0-AI14-1B</v>
      </c>
      <c r="KD123" t="str">
        <f t="shared" si="171"/>
        <v>F0-AI14-2B</v>
      </c>
      <c r="KI123">
        <f t="array" ref="KI123">IF(COUNTIFS($U$2:$U123,$U123)=1,1,INDEX(KI:KI,_xlfn.XMATCH(U123,U$1:U122,0,-1))+COUNT(KI122:KM122))</f>
        <v>210</v>
      </c>
      <c r="KJ123">
        <f t="shared" si="167"/>
        <v>211</v>
      </c>
      <c r="KK123">
        <f t="shared" si="168"/>
        <v>212</v>
      </c>
      <c r="KN123">
        <v>1</v>
      </c>
      <c r="KO123" s="16">
        <v>2</v>
      </c>
      <c r="KS123" s="16"/>
    </row>
    <row r="124" spans="1:305" x14ac:dyDescent="0.25">
      <c r="A124" s="83" t="s">
        <v>701</v>
      </c>
      <c r="B124" s="83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A3.14</v>
      </c>
      <c r="Y124" s="43">
        <f t="array" ref="Y124">IF(COUNTIFS($X$2:$X124,$X124)=1,"1",VALUE(SUBSTITUTE(INDEX(Y:Y,_xlfn.XMATCH($X124,$X$1:$X123,0,-1)),"A",""))+INDEX(Z:Z,_xlfn.XMATCH($X124,$X$1:$X123,0,-1))+1)</f>
        <v>2</v>
      </c>
      <c r="Z124" s="43">
        <f t="array" ref="Z124">SUM(IF(ISNUMBER(FIND("TmAi",$BE$1:$AAQ$1)),IF(IFERROR(ISODD(SUBSTITUTE($BE124:$AAQ124,"A","")),FALSE),IF(ISODD(SUBSTITUTE($BE124:$AAQ124,"A","")),1,0),0)))</f>
        <v>0</v>
      </c>
      <c r="AA124" t="str">
        <f t="shared" si="163"/>
        <v>3B</v>
      </c>
      <c r="AB124" t="str">
        <f t="shared" si="164"/>
        <v>4B</v>
      </c>
      <c r="AD124" s="46"/>
      <c r="AE124" s="46">
        <f t="array" ref="AE124">SUM(IF(ISNUMBER(FIND("TmDi",$BE$1:$AAQ$1)),IF(IFERROR(ISNUMBER(VALUE(SUBSTITUTE($BE124:$AAQ124,"B",""))),FALSE),IF(ISNUMBER(VALUE(SUBSTITUTE($BE124:$AAQ124,"B",""))),1,0),0)))</f>
        <v>0</v>
      </c>
      <c r="AP124" t="s">
        <v>137</v>
      </c>
      <c r="AS124" t="s">
        <v>396</v>
      </c>
      <c r="JZ124" s="27" t="str">
        <f t="shared" si="169"/>
        <v>XT55</v>
      </c>
      <c r="KC124" t="str">
        <f t="shared" si="170"/>
        <v>F0-AI14-3B</v>
      </c>
      <c r="KD124" t="str">
        <f t="shared" si="171"/>
        <v>F0-AI14-4B</v>
      </c>
      <c r="KI124">
        <f t="array" ref="KI124">IF(COUNTIFS($U$2:$U124,$U124)=1,1,INDEX(KI:KI,_xlfn.XMATCH(U124,U$1:U123,0,-1))+COUNT(KI123:KM123))</f>
        <v>213</v>
      </c>
      <c r="KJ124">
        <f t="shared" si="167"/>
        <v>214</v>
      </c>
      <c r="KK124">
        <f t="shared" si="168"/>
        <v>215</v>
      </c>
      <c r="KN124">
        <v>1</v>
      </c>
      <c r="KO124" s="16">
        <v>2</v>
      </c>
      <c r="KS124" s="16"/>
    </row>
    <row r="125" spans="1:305" x14ac:dyDescent="0.25">
      <c r="A125" s="83" t="s">
        <v>702</v>
      </c>
      <c r="B125" s="85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A3.14</v>
      </c>
      <c r="Y125" s="43">
        <f t="array" ref="Y125">IF(COUNTIFS($X$2:$X125,$X125)=1,"1",VALUE(SUBSTITUTE(INDEX(Y:Y,_xlfn.XMATCH($X125,$X$1:$X124,0,-1)),"A",""))+INDEX(Z:Z,_xlfn.XMATCH($X125,$X$1:$X124,0,-1))+1)</f>
        <v>3</v>
      </c>
      <c r="Z125" s="43">
        <f t="array" ref="Z125">SUM(IF(ISNUMBER(FIND("TmAi",$BE$1:$AAQ$1)),IF(IFERROR(ISODD(SUBSTITUTE($BE125:$AAQ125,"A","")),FALSE),IF(ISODD(SUBSTITUTE($BE125:$AAQ125,"A","")),1,0),0)))</f>
        <v>0</v>
      </c>
      <c r="AA125" t="str">
        <f t="shared" si="163"/>
        <v>5B</v>
      </c>
      <c r="AB125" t="str">
        <f t="shared" si="164"/>
        <v>6B</v>
      </c>
      <c r="AD125" s="46"/>
      <c r="AE125" s="46">
        <f t="array" ref="AE125">SUM(IF(ISNUMBER(FIND("TmDi",$BE$1:$AAQ$1)),IF(IFERROR(ISNUMBER(VALUE(SUBSTITUTE($BE125:$AAQ125,"B",""))),FALSE),IF(ISNUMBER(VALUE(SUBSTITUTE($BE125:$AAQ125,"B",""))),1,0),0)))</f>
        <v>0</v>
      </c>
      <c r="AP125" t="s">
        <v>137</v>
      </c>
      <c r="AS125" t="s">
        <v>396</v>
      </c>
      <c r="JZ125" s="27" t="str">
        <f t="shared" si="169"/>
        <v>XT55</v>
      </c>
      <c r="KC125" t="str">
        <f t="shared" si="170"/>
        <v>F0-AI14-5B</v>
      </c>
      <c r="KD125" t="str">
        <f t="shared" si="171"/>
        <v>F0-AI14-6B</v>
      </c>
      <c r="KI125">
        <f t="array" ref="KI125">IF(COUNTIFS($U$2:$U125,$U125)=1,1,INDEX(KI:KI,_xlfn.XMATCH(U125,U$1:U124,0,-1))+COUNT(KI124:KM124))</f>
        <v>216</v>
      </c>
      <c r="KJ125">
        <f t="shared" si="167"/>
        <v>217</v>
      </c>
      <c r="KK125">
        <f t="shared" si="168"/>
        <v>218</v>
      </c>
      <c r="KN125">
        <v>1</v>
      </c>
      <c r="KO125" s="16">
        <v>2</v>
      </c>
      <c r="KS125" s="16"/>
    </row>
    <row r="126" spans="1:305" x14ac:dyDescent="0.25">
      <c r="A126" s="83" t="s">
        <v>703</v>
      </c>
      <c r="B126" s="83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A3.14</v>
      </c>
      <c r="Y126" s="43">
        <f t="array" ref="Y126">IF(COUNTIFS($X$2:$X126,$X126)=1,"1",VALUE(SUBSTITUTE(INDEX(Y:Y,_xlfn.XMATCH($X126,$X$1:$X125,0,-1)),"A",""))+INDEX(Z:Z,_xlfn.XMATCH($X126,$X$1:$X125,0,-1))+1)</f>
        <v>4</v>
      </c>
      <c r="Z126" s="43">
        <f t="array" ref="Z126">SUM(IF(ISNUMBER(FIND("TmAi",$BE$1:$AAQ$1)),IF(IFERROR(ISODD(SUBSTITUTE($BE126:$AAQ126,"A","")),FALSE),IF(ISODD(SUBSTITUTE($BE126:$AAQ126,"A","")),1,0),0)))</f>
        <v>0</v>
      </c>
      <c r="AA126" t="str">
        <f t="shared" si="163"/>
        <v>7B</v>
      </c>
      <c r="AB126" t="str">
        <f t="shared" si="164"/>
        <v>8B</v>
      </c>
      <c r="AD126" s="46"/>
      <c r="AE126" s="46">
        <f t="array" ref="AE126">SUM(IF(ISNUMBER(FIND("TmDi",$BE$1:$AAQ$1)),IF(IFERROR(ISNUMBER(VALUE(SUBSTITUTE($BE126:$AAQ126,"B",""))),FALSE),IF(ISNUMBER(VALUE(SUBSTITUTE($BE126:$AAQ126,"B",""))),1,0),0)))</f>
        <v>0</v>
      </c>
      <c r="AP126" t="s">
        <v>137</v>
      </c>
      <c r="AS126" t="s">
        <v>396</v>
      </c>
      <c r="JZ126" s="27" t="str">
        <f t="shared" si="169"/>
        <v>XT55</v>
      </c>
      <c r="KC126" t="str">
        <f t="shared" si="170"/>
        <v>F0-AI14-7B</v>
      </c>
      <c r="KD126" t="str">
        <f t="shared" si="171"/>
        <v>F0-AI14-8B</v>
      </c>
      <c r="KI126">
        <f t="array" ref="KI126">IF(COUNTIFS($U$2:$U126,$U126)=1,1,INDEX(KI:KI,_xlfn.XMATCH(U126,U$1:U125,0,-1))+COUNT(KI125:KM125))</f>
        <v>219</v>
      </c>
      <c r="KJ126">
        <f t="shared" si="167"/>
        <v>220</v>
      </c>
      <c r="KK126">
        <f t="shared" si="168"/>
        <v>221</v>
      </c>
      <c r="KN126">
        <v>1</v>
      </c>
      <c r="KO126" s="16">
        <v>2</v>
      </c>
      <c r="KS126" s="16"/>
    </row>
    <row r="127" spans="1:305" x14ac:dyDescent="0.25">
      <c r="A127" s="83" t="s">
        <v>704</v>
      </c>
      <c r="B127" s="83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A3.14</v>
      </c>
      <c r="Y127" s="43">
        <f t="array" ref="Y127">IF(COUNTIFS($X$2:$X127,$X127)=1,"1",VALUE(SUBSTITUTE(INDEX(Y:Y,_xlfn.XMATCH($X127,$X$1:$X126,0,-1)),"A",""))+INDEX(Z:Z,_xlfn.XMATCH($X127,$X$1:$X126,0,-1))+1)</f>
        <v>5</v>
      </c>
      <c r="Z127" s="43">
        <f t="array" ref="Z127">SUM(IF(ISNUMBER(FIND("TmAi",$BE$1:$AAQ$1)),IF(IFERROR(ISODD(SUBSTITUTE($BE127:$AAQ127,"A","")),FALSE),IF(ISODD(SUBSTITUTE($BE127:$AAQ127,"A","")),1,0),0)))</f>
        <v>0</v>
      </c>
      <c r="AA127" t="str">
        <f t="shared" si="163"/>
        <v>9B</v>
      </c>
      <c r="AB127" t="str">
        <f t="shared" si="164"/>
        <v>10B</v>
      </c>
      <c r="AD127" s="46"/>
      <c r="AE127" s="46">
        <f t="array" ref="AE127">SUM(IF(ISNUMBER(FIND("TmDi",$BE$1:$AAQ$1)),IF(IFERROR(ISNUMBER(VALUE(SUBSTITUTE($BE127:$AAQ127,"B",""))),FALSE),IF(ISNUMBER(VALUE(SUBSTITUTE($BE127:$AAQ127,"B",""))),1,0),0)))</f>
        <v>0</v>
      </c>
      <c r="AP127" t="s">
        <v>137</v>
      </c>
      <c r="AS127" t="s">
        <v>396</v>
      </c>
      <c r="JZ127" s="27" t="str">
        <f t="shared" si="169"/>
        <v>XT55</v>
      </c>
      <c r="KC127" t="str">
        <f t="shared" si="170"/>
        <v>F0-AI14-9B</v>
      </c>
      <c r="KD127" t="str">
        <f t="shared" si="171"/>
        <v>F0-AI14-10B</v>
      </c>
      <c r="KI127">
        <f t="array" ref="KI127">IF(COUNTIFS($U$2:$U127,$U127)=1,1,INDEX(KI:KI,_xlfn.XMATCH(U127,U$1:U126,0,-1))+COUNT(KI126:KM126))</f>
        <v>222</v>
      </c>
      <c r="KJ127">
        <f t="shared" si="167"/>
        <v>223</v>
      </c>
      <c r="KK127">
        <f t="shared" si="168"/>
        <v>224</v>
      </c>
      <c r="KN127">
        <v>1</v>
      </c>
      <c r="KO127" s="16">
        <v>2</v>
      </c>
      <c r="KS127" s="16"/>
    </row>
    <row r="128" spans="1:305" x14ac:dyDescent="0.25">
      <c r="A128" s="83" t="s">
        <v>705</v>
      </c>
      <c r="B128" s="85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A3.14</v>
      </c>
      <c r="Y128" s="43">
        <f t="array" ref="Y128">IF(COUNTIFS($X$2:$X128,$X128)=1,"1",VALUE(SUBSTITUTE(INDEX(Y:Y,_xlfn.XMATCH($X128,$X$1:$X127,0,-1)),"A",""))+INDEX(Z:Z,_xlfn.XMATCH($X128,$X$1:$X127,0,-1))+1)</f>
        <v>6</v>
      </c>
      <c r="Z128" s="43">
        <f t="array" ref="Z128">SUM(IF(ISNUMBER(FIND("TmAi",$BE$1:$AAQ$1)),IF(IFERROR(ISODD(SUBSTITUTE($BE128:$AAQ128,"A","")),FALSE),IF(ISODD(SUBSTITUTE($BE128:$AAQ128,"A","")),1,0),0)))</f>
        <v>0</v>
      </c>
      <c r="AA128" t="str">
        <f t="shared" si="163"/>
        <v>11B</v>
      </c>
      <c r="AB128" t="str">
        <f t="shared" si="164"/>
        <v>12B</v>
      </c>
      <c r="AD128" s="46"/>
      <c r="AE128" s="46">
        <f t="array" ref="AE128">SUM(IF(ISNUMBER(FIND("TmDi",$BE$1:$AAQ$1)),IF(IFERROR(ISNUMBER(VALUE(SUBSTITUTE($BE128:$AAQ128,"B",""))),FALSE),IF(ISNUMBER(VALUE(SUBSTITUTE($BE128:$AAQ128,"B",""))),1,0),0)))</f>
        <v>0</v>
      </c>
      <c r="AP128" t="s">
        <v>137</v>
      </c>
      <c r="AS128" t="s">
        <v>396</v>
      </c>
      <c r="JZ128" s="27" t="str">
        <f t="shared" si="169"/>
        <v>XT55</v>
      </c>
      <c r="KC128" t="str">
        <f t="shared" si="170"/>
        <v>F0-AI14-11B</v>
      </c>
      <c r="KD128" t="str">
        <f t="shared" si="171"/>
        <v>F0-AI14-12B</v>
      </c>
      <c r="KI128">
        <f t="array" ref="KI128">IF(COUNTIFS($U$2:$U128,$U128)=1,1,INDEX(KI:KI,_xlfn.XMATCH(U128,U$1:U127,0,-1))+COUNT(KI127:KM127))</f>
        <v>225</v>
      </c>
      <c r="KJ128">
        <f t="shared" si="167"/>
        <v>226</v>
      </c>
      <c r="KK128">
        <f t="shared" si="168"/>
        <v>227</v>
      </c>
      <c r="KN128">
        <v>1</v>
      </c>
      <c r="KO128" s="16">
        <v>2</v>
      </c>
      <c r="KS128" s="16"/>
    </row>
    <row r="129" spans="1:305" x14ac:dyDescent="0.25">
      <c r="A129" s="83" t="s">
        <v>706</v>
      </c>
      <c r="B129" s="83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">
        <v>2486</v>
      </c>
      <c r="Y129" s="45" t="str">
        <f t="array" ref="Y129">IF(COUNTIFS($X$2:$X129,$X129)=1,"1",VALUE(SUBSTITUTE(INDEX(Y:Y,_xlfn.XMATCH($X129,$X$1:$X128,0,-1)),"A",""))+INDEX(Z:Z,_xlfn.XMATCH($X129,$X$1:$X128,0,-1))+1)</f>
        <v>1</v>
      </c>
      <c r="Z129" s="43">
        <f t="array" ref="Z129">SUM(IF(ISNUMBER(FIND("TmAi",$BE$1:$AAQ$1)),IF(IFERROR(ISODD(SUBSTITUTE($BE129:$AAQ129,"A","")),FALSE),IF(ISODD(SUBSTITUTE($BE129:$AAQ129,"A","")),1,0),0)))</f>
        <v>0</v>
      </c>
      <c r="AA129" t="str">
        <f t="shared" si="163"/>
        <v>1B</v>
      </c>
      <c r="AB129" t="str">
        <f t="shared" si="164"/>
        <v>2B</v>
      </c>
      <c r="AD129" s="46"/>
      <c r="AE129" s="46">
        <f t="array" ref="AE129">SUM(IF(ISNUMBER(FIND("TmDi",$BE$1:$AAQ$1)),IF(IFERROR(ISNUMBER(VALUE(SUBSTITUTE($BE129:$AAQ129,"B",""))),FALSE),IF(ISNUMBER(VALUE(SUBSTITUTE($BE129:$AAQ129,"B",""))),1,0),0)))</f>
        <v>0</v>
      </c>
      <c r="AP129" t="s">
        <v>137</v>
      </c>
      <c r="AS129" t="s">
        <v>396</v>
      </c>
      <c r="JZ129" s="27" t="str">
        <f t="shared" si="169"/>
        <v>XT55</v>
      </c>
      <c r="KC129" t="str">
        <f t="shared" si="170"/>
        <v>F0-AI15-1B</v>
      </c>
      <c r="KD129" t="str">
        <f t="shared" si="171"/>
        <v>F0-AI15-2B</v>
      </c>
      <c r="KI129">
        <f t="array" ref="KI129">IF(COUNTIFS($U$2:$U129,$U129)=1,1,INDEX(KI:KI,_xlfn.XMATCH(U129,U$1:U128,0,-1))+COUNT(KI128:KM128))</f>
        <v>228</v>
      </c>
      <c r="KJ129">
        <f t="shared" si="167"/>
        <v>229</v>
      </c>
      <c r="KK129">
        <f t="shared" si="168"/>
        <v>230</v>
      </c>
      <c r="KN129">
        <v>1</v>
      </c>
      <c r="KO129" s="16">
        <v>2</v>
      </c>
      <c r="KS129" s="16"/>
    </row>
    <row r="130" spans="1:305" x14ac:dyDescent="0.25">
      <c r="A130" s="83" t="s">
        <v>707</v>
      </c>
      <c r="B130" s="83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A3.15</v>
      </c>
      <c r="Y130" s="43">
        <f t="array" ref="Y130">IF(COUNTIFS($X$2:$X130,$X130)=1,"1",VALUE(SUBSTITUTE(INDEX(Y:Y,_xlfn.XMATCH($X130,$X$1:$X129,0,-1)),"A",""))+INDEX(Z:Z,_xlfn.XMATCH($X130,$X$1:$X129,0,-1))+1)</f>
        <v>2</v>
      </c>
      <c r="Z130" s="43">
        <f t="array" ref="Z130">SUM(IF(ISNUMBER(FIND("TmAi",$BE$1:$AAQ$1)),IF(IFERROR(ISODD(SUBSTITUTE($BE130:$AAQ130,"A","")),FALSE),IF(ISODD(SUBSTITUTE($BE130:$AAQ130,"A","")),1,0),0)))</f>
        <v>0</v>
      </c>
      <c r="AA130" t="str">
        <f t="shared" si="163"/>
        <v>3B</v>
      </c>
      <c r="AB130" t="str">
        <f t="shared" si="164"/>
        <v>4B</v>
      </c>
      <c r="AD130" s="46"/>
      <c r="AE130" s="46">
        <f t="array" ref="AE130">SUM(IF(ISNUMBER(FIND("TmDi",$BE$1:$AAQ$1)),IF(IFERROR(ISNUMBER(VALUE(SUBSTITUTE($BE130:$AAQ130,"B",""))),FALSE),IF(ISNUMBER(VALUE(SUBSTITUTE($BE130:$AAQ130,"B",""))),1,0),0)))</f>
        <v>0</v>
      </c>
      <c r="AP130" t="s">
        <v>137</v>
      </c>
      <c r="AS130" t="s">
        <v>396</v>
      </c>
      <c r="JZ130" s="27" t="str">
        <f t="shared" si="169"/>
        <v>XT55</v>
      </c>
      <c r="KC130" t="str">
        <f t="shared" si="170"/>
        <v>F0-AI15-3B</v>
      </c>
      <c r="KD130" t="str">
        <f t="shared" si="171"/>
        <v>F0-AI15-4B</v>
      </c>
      <c r="KI130">
        <f t="array" ref="KI130">IF(COUNTIFS($U$2:$U130,$U130)=1,1,INDEX(KI:KI,_xlfn.XMATCH(U130,U$1:U129,0,-1))+COUNT(KI129:KM129))</f>
        <v>231</v>
      </c>
      <c r="KJ130">
        <f t="shared" si="167"/>
        <v>232</v>
      </c>
      <c r="KK130">
        <f t="shared" si="168"/>
        <v>233</v>
      </c>
      <c r="KN130">
        <v>1</v>
      </c>
      <c r="KO130" s="16">
        <v>2</v>
      </c>
      <c r="KS130" s="16"/>
    </row>
    <row r="131" spans="1:305" x14ac:dyDescent="0.25">
      <c r="A131" s="83" t="s">
        <v>708</v>
      </c>
      <c r="B131" s="85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A3.15</v>
      </c>
      <c r="Y131" s="43">
        <f t="array" ref="Y131">IF(COUNTIFS($X$2:$X131,$X131)=1,"1",VALUE(SUBSTITUTE(INDEX(Y:Y,_xlfn.XMATCH($X131,$X$1:$X130,0,-1)),"A",""))+INDEX(Z:Z,_xlfn.XMATCH($X131,$X$1:$X130,0,-1))+1)</f>
        <v>3</v>
      </c>
      <c r="Z131" s="43">
        <f t="array" ref="Z131">SUM(IF(ISNUMBER(FIND("TmAi",$BE$1:$AAQ$1)),IF(IFERROR(ISODD(SUBSTITUTE($BE131:$AAQ131,"A","")),FALSE),IF(ISODD(SUBSTITUTE($BE131:$AAQ131,"A","")),1,0),0)))</f>
        <v>0</v>
      </c>
      <c r="AA131" t="str">
        <f t="shared" si="163"/>
        <v>5B</v>
      </c>
      <c r="AB131" t="str">
        <f t="shared" si="164"/>
        <v>6B</v>
      </c>
      <c r="AD131" s="46"/>
      <c r="AE131" s="46">
        <f t="array" ref="AE131">SUM(IF(ISNUMBER(FIND("TmDi",$BE$1:$AAQ$1)),IF(IFERROR(ISNUMBER(VALUE(SUBSTITUTE($BE131:$AAQ131,"B",""))),FALSE),IF(ISNUMBER(VALUE(SUBSTITUTE($BE131:$AAQ131,"B",""))),1,0),0)))</f>
        <v>0</v>
      </c>
      <c r="AP131" t="s">
        <v>137</v>
      </c>
      <c r="AS131" t="s">
        <v>396</v>
      </c>
      <c r="JZ131" s="27" t="str">
        <f t="shared" si="169"/>
        <v>XT55</v>
      </c>
      <c r="KC131" t="str">
        <f t="shared" si="170"/>
        <v>F0-AI15-5B</v>
      </c>
      <c r="KD131" t="str">
        <f t="shared" si="171"/>
        <v>F0-AI15-6B</v>
      </c>
      <c r="KI131">
        <f t="array" ref="KI131">IF(COUNTIFS($U$2:$U131,$U131)=1,1,INDEX(KI:KI,_xlfn.XMATCH(U131,U$1:U130,0,-1))+COUNT(KI130:KM130))</f>
        <v>234</v>
      </c>
      <c r="KJ131">
        <f t="shared" si="167"/>
        <v>235</v>
      </c>
      <c r="KK131">
        <f t="shared" si="168"/>
        <v>236</v>
      </c>
      <c r="KN131">
        <v>1</v>
      </c>
      <c r="KO131" s="16">
        <v>2</v>
      </c>
      <c r="KS131" s="16"/>
    </row>
    <row r="132" spans="1:305" x14ac:dyDescent="0.25">
      <c r="A132" s="83" t="s">
        <v>709</v>
      </c>
      <c r="B132" s="83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A3.15</v>
      </c>
      <c r="Y132" s="43">
        <f t="array" ref="Y132">IF(COUNTIFS($X$2:$X132,$X132)=1,"1",VALUE(SUBSTITUTE(INDEX(Y:Y,_xlfn.XMATCH($X132,$X$1:$X131,0,-1)),"A",""))+INDEX(Z:Z,_xlfn.XMATCH($X132,$X$1:$X131,0,-1))+1)</f>
        <v>4</v>
      </c>
      <c r="Z132" s="43">
        <f t="array" ref="Z132">SUM(IF(ISNUMBER(FIND("TmAi",$BE$1:$AAQ$1)),IF(IFERROR(ISODD(SUBSTITUTE($BE132:$AAQ132,"A","")),FALSE),IF(ISODD(SUBSTITUTE($BE132:$AAQ132,"A","")),1,0),0)))</f>
        <v>0</v>
      </c>
      <c r="AA132" t="str">
        <f t="shared" si="163"/>
        <v>7B</v>
      </c>
      <c r="AB132" t="str">
        <f t="shared" si="164"/>
        <v>8B</v>
      </c>
      <c r="AD132" s="46"/>
      <c r="AE132" s="46">
        <f t="array" ref="AE132">SUM(IF(ISNUMBER(FIND("TmDi",$BE$1:$AAQ$1)),IF(IFERROR(ISNUMBER(VALUE(SUBSTITUTE($BE132:$AAQ132,"B",""))),FALSE),IF(ISNUMBER(VALUE(SUBSTITUTE($BE132:$AAQ132,"B",""))),1,0),0)))</f>
        <v>0</v>
      </c>
      <c r="AP132" t="s">
        <v>137</v>
      </c>
      <c r="AS132" t="s">
        <v>396</v>
      </c>
      <c r="JZ132" s="27" t="str">
        <f t="shared" si="169"/>
        <v>XT55</v>
      </c>
      <c r="KC132" t="str">
        <f t="shared" si="170"/>
        <v>F0-AI15-7B</v>
      </c>
      <c r="KD132" t="str">
        <f t="shared" si="171"/>
        <v>F0-AI15-8B</v>
      </c>
      <c r="KI132">
        <f t="array" ref="KI132">IF(COUNTIFS($U$2:$U132,$U132)=1,1,INDEX(KI:KI,_xlfn.XMATCH(U132,U$1:U131,0,-1))+COUNT(KI131:KM131))</f>
        <v>237</v>
      </c>
      <c r="KJ132">
        <f t="shared" si="167"/>
        <v>238</v>
      </c>
      <c r="KK132">
        <f t="shared" si="168"/>
        <v>239</v>
      </c>
      <c r="KN132">
        <v>1</v>
      </c>
      <c r="KO132" s="16">
        <v>2</v>
      </c>
      <c r="KS132" s="16"/>
    </row>
    <row r="133" spans="1:305" x14ac:dyDescent="0.25">
      <c r="A133" s="83" t="s">
        <v>710</v>
      </c>
      <c r="B133" s="8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A3.15</v>
      </c>
      <c r="Y133" s="43">
        <f t="array" ref="Y133">IF(COUNTIFS($X$2:$X133,$X133)=1,"1",VALUE(SUBSTITUTE(INDEX(Y:Y,_xlfn.XMATCH($X133,$X$1:$X132,0,-1)),"A",""))+INDEX(Z:Z,_xlfn.XMATCH($X133,$X$1:$X132,0,-1))+1)</f>
        <v>5</v>
      </c>
      <c r="Z133" s="43">
        <f t="array" ref="Z133">SUM(IF(ISNUMBER(FIND("TmAi",$BE$1:$AAQ$1)),IF(IFERROR(ISODD(SUBSTITUTE($BE133:$AAQ133,"A","")),FALSE),IF(ISODD(SUBSTITUTE($BE133:$AAQ133,"A","")),1,0),0)))</f>
        <v>0</v>
      </c>
      <c r="AA133" t="str">
        <f t="shared" si="163"/>
        <v>9B</v>
      </c>
      <c r="AB133" t="str">
        <f t="shared" si="164"/>
        <v>10B</v>
      </c>
      <c r="AD133" s="46"/>
      <c r="AE133" s="46">
        <f t="array" ref="AE133">SUM(IF(ISNUMBER(FIND("TmDi",$BE$1:$AAQ$1)),IF(IFERROR(ISNUMBER(VALUE(SUBSTITUTE($BE133:$AAQ133,"B",""))),FALSE),IF(ISNUMBER(VALUE(SUBSTITUTE($BE133:$AAQ133,"B",""))),1,0),0)))</f>
        <v>0</v>
      </c>
      <c r="AP133" t="s">
        <v>137</v>
      </c>
      <c r="AS133" t="s">
        <v>396</v>
      </c>
      <c r="JZ133" s="27" t="str">
        <f t="shared" si="169"/>
        <v>XT55</v>
      </c>
      <c r="KC133" t="str">
        <f t="shared" si="170"/>
        <v>F0-AI15-9B</v>
      </c>
      <c r="KD133" t="str">
        <f t="shared" si="171"/>
        <v>F0-AI15-10B</v>
      </c>
      <c r="KI133">
        <f t="array" ref="KI133">IF(COUNTIFS($U$2:$U133,$U133)=1,1,INDEX(KI:KI,_xlfn.XMATCH(U133,U$1:U132,0,-1))+COUNT(KI132:KM132))</f>
        <v>240</v>
      </c>
      <c r="KJ133">
        <f t="shared" si="167"/>
        <v>241</v>
      </c>
      <c r="KK133">
        <f t="shared" si="168"/>
        <v>242</v>
      </c>
      <c r="KN133">
        <v>1</v>
      </c>
      <c r="KO133" s="16">
        <v>2</v>
      </c>
      <c r="KS133" s="16"/>
    </row>
    <row r="134" spans="1:305" x14ac:dyDescent="0.25">
      <c r="A134" s="83" t="s">
        <v>711</v>
      </c>
      <c r="B134" s="85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A3.15</v>
      </c>
      <c r="Y134" s="43">
        <f t="array" ref="Y134">IF(COUNTIFS($X$2:$X134,$X134)=1,"1",VALUE(SUBSTITUTE(INDEX(Y:Y,_xlfn.XMATCH($X134,$X$1:$X133,0,-1)),"A",""))+INDEX(Z:Z,_xlfn.XMATCH($X134,$X$1:$X133,0,-1))+1)</f>
        <v>6</v>
      </c>
      <c r="Z134" s="43">
        <f t="array" ref="Z134">SUM(IF(ISNUMBER(FIND("TmAi",$BE$1:$AAQ$1)),IF(IFERROR(ISODD(SUBSTITUTE($BE134:$AAQ134,"A","")),FALSE),IF(ISODD(SUBSTITUTE($BE134:$AAQ134,"A","")),1,0),0)))</f>
        <v>0</v>
      </c>
      <c r="AA134" t="str">
        <f t="shared" si="163"/>
        <v>11B</v>
      </c>
      <c r="AB134" t="str">
        <f t="shared" si="164"/>
        <v>12B</v>
      </c>
      <c r="AD134" s="46"/>
      <c r="AE134" s="46">
        <f t="array" ref="AE134">SUM(IF(ISNUMBER(FIND("TmDi",$BE$1:$AAQ$1)),IF(IFERROR(ISNUMBER(VALUE(SUBSTITUTE($BE134:$AAQ134,"B",""))),FALSE),IF(ISNUMBER(VALUE(SUBSTITUTE($BE134:$AAQ134,"B",""))),1,0),0)))</f>
        <v>0</v>
      </c>
      <c r="AP134" t="s">
        <v>137</v>
      </c>
      <c r="AS134" t="s">
        <v>396</v>
      </c>
      <c r="JZ134" s="27" t="str">
        <f t="shared" si="169"/>
        <v>XT55</v>
      </c>
      <c r="KC134" t="str">
        <f t="shared" si="170"/>
        <v>F0-AI15-11B</v>
      </c>
      <c r="KD134" t="str">
        <f t="shared" si="171"/>
        <v>F0-AI15-12B</v>
      </c>
      <c r="KI134">
        <f t="array" ref="KI134">IF(COUNTIFS($U$2:$U134,$U134)=1,1,INDEX(KI:KI,_xlfn.XMATCH(U134,U$1:U133,0,-1))+COUNT(KI133:KM133))</f>
        <v>243</v>
      </c>
      <c r="KJ134">
        <f t="shared" si="167"/>
        <v>244</v>
      </c>
      <c r="KK134">
        <f t="shared" si="168"/>
        <v>245</v>
      </c>
      <c r="KN134">
        <v>1</v>
      </c>
      <c r="KO134" s="16">
        <v>2</v>
      </c>
      <c r="KS134" s="16"/>
    </row>
    <row r="135" spans="1:305" x14ac:dyDescent="0.25">
      <c r="A135" s="83" t="s">
        <v>712</v>
      </c>
      <c r="B135" s="83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">
        <v>833</v>
      </c>
      <c r="Y135" s="43" t="str">
        <f t="array" ref="Y135">IF(COUNTIFS($X$2:$X135,$X135)=1,"1",VALUE(SUBSTITUTE(INDEX(Y:Y,_xlfn.XMATCH($X135,$X$1:$X134,0,-1)),"A",""))+INDEX(Z:Z,_xlfn.XMATCH($X135,$X$1:$X134,0,-1))+1)</f>
        <v>1</v>
      </c>
      <c r="Z135" s="43">
        <f t="array" ref="Z135">SUM(IF(ISNUMBER(FIND("TmAi",$BE$1:$AAQ$1)),IF(IFERROR(ISODD(SUBSTITUTE($BE135:$AAQ135,"A","")),FALSE),IF(ISODD(SUBSTITUTE($BE135:$AAQ135,"A","")),1,0),0)))</f>
        <v>0</v>
      </c>
      <c r="AA135" t="str">
        <f t="shared" si="163"/>
        <v>1B</v>
      </c>
      <c r="AB135" t="str">
        <f t="shared" si="164"/>
        <v>2B</v>
      </c>
      <c r="AD135" s="46"/>
      <c r="AE135" s="46">
        <f t="array" ref="AE135">SUM(IF(ISNUMBER(FIND("TmDi",$BE$1:$AAQ$1)),IF(IFERROR(ISNUMBER(VALUE(SUBSTITUTE($BE135:$AAQ135,"B",""))),FALSE),IF(ISNUMBER(VALUE(SUBSTITUTE($BE135:$AAQ135,"B",""))),1,0),0)))</f>
        <v>0</v>
      </c>
      <c r="AP135" t="s">
        <v>137</v>
      </c>
      <c r="AS135" t="s">
        <v>396</v>
      </c>
      <c r="JZ135" s="27" t="str">
        <f t="shared" si="169"/>
        <v>XT55</v>
      </c>
      <c r="KC135" t="str">
        <f t="shared" si="170"/>
        <v>F0-AI16-1B</v>
      </c>
      <c r="KD135" t="str">
        <f t="shared" si="171"/>
        <v>F0-AI16-2B</v>
      </c>
      <c r="KI135">
        <f t="array" ref="KI135">IF(COUNTIFS($U$2:$U135,$U135)=1,1,INDEX(KI:KI,_xlfn.XMATCH(U135,U$1:U134,0,-1))+COUNT(KI134:KM134))</f>
        <v>246</v>
      </c>
      <c r="KJ135">
        <f t="shared" si="167"/>
        <v>247</v>
      </c>
      <c r="KK135">
        <f t="shared" si="168"/>
        <v>248</v>
      </c>
      <c r="KN135">
        <v>1</v>
      </c>
      <c r="KO135" s="16">
        <v>2</v>
      </c>
      <c r="KS135" s="16"/>
    </row>
    <row r="136" spans="1:305" x14ac:dyDescent="0.25">
      <c r="A136" s="83" t="s">
        <v>713</v>
      </c>
      <c r="B136" s="83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A3.16</v>
      </c>
      <c r="Y136" s="43">
        <f t="array" ref="Y136">IF(COUNTIFS($X$2:$X136,$X136)=1,"1",VALUE(SUBSTITUTE(INDEX(Y:Y,_xlfn.XMATCH($X136,$X$1:$X135,0,-1)),"A",""))+INDEX(Z:Z,_xlfn.XMATCH($X136,$X$1:$X135,0,-1))+1)</f>
        <v>2</v>
      </c>
      <c r="Z136" s="43">
        <f t="array" ref="Z136">SUM(IF(ISNUMBER(FIND("TmAi",$BE$1:$AAQ$1)),IF(IFERROR(ISODD(SUBSTITUTE($BE136:$AAQ136,"A","")),FALSE),IF(ISODD(SUBSTITUTE($BE136:$AAQ136,"A","")),1,0),0)))</f>
        <v>0</v>
      </c>
      <c r="AA136" t="str">
        <f t="shared" si="163"/>
        <v>3B</v>
      </c>
      <c r="AB136" t="str">
        <f t="shared" si="164"/>
        <v>4B</v>
      </c>
      <c r="AD136" s="46"/>
      <c r="AE136" s="46">
        <f t="array" ref="AE136">SUM(IF(ISNUMBER(FIND("TmDi",$BE$1:$AAQ$1)),IF(IFERROR(ISNUMBER(VALUE(SUBSTITUTE($BE136:$AAQ136,"B",""))),FALSE),IF(ISNUMBER(VALUE(SUBSTITUTE($BE136:$AAQ136,"B",""))),1,0),0)))</f>
        <v>0</v>
      </c>
      <c r="AP136" t="s">
        <v>137</v>
      </c>
      <c r="AS136" t="s">
        <v>396</v>
      </c>
      <c r="JZ136" s="27" t="str">
        <f t="shared" si="169"/>
        <v>XT55</v>
      </c>
      <c r="KC136" t="str">
        <f t="shared" si="170"/>
        <v>F0-AI16-3B</v>
      </c>
      <c r="KD136" t="str">
        <f t="shared" si="171"/>
        <v>F0-AI16-4B</v>
      </c>
      <c r="KI136">
        <f t="array" ref="KI136">IF(COUNTIFS($U$2:$U136,$U136)=1,1,INDEX(KI:KI,_xlfn.XMATCH(U136,U$1:U135,0,-1))+COUNT(KI135:KM135))</f>
        <v>249</v>
      </c>
      <c r="KJ136">
        <f t="shared" si="167"/>
        <v>250</v>
      </c>
      <c r="KK136">
        <f t="shared" si="168"/>
        <v>251</v>
      </c>
      <c r="KN136">
        <v>1</v>
      </c>
      <c r="KO136" s="16">
        <v>2</v>
      </c>
      <c r="KS136" s="16"/>
    </row>
    <row r="137" spans="1:305" x14ac:dyDescent="0.25">
      <c r="A137" s="83" t="s">
        <v>714</v>
      </c>
      <c r="B137" s="85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A3.16</v>
      </c>
      <c r="Y137" s="45">
        <f t="array" ref="Y137">IF(COUNTIFS($X$2:$X137,$X137)=1,"1",VALUE(SUBSTITUTE(INDEX(Y:Y,_xlfn.XMATCH($X137,$X$1:$X136,0,-1)),"A",""))+INDEX(Z:Z,_xlfn.XMATCH($X137,$X$1:$X136,0,-1))+1)</f>
        <v>3</v>
      </c>
      <c r="Z137" s="43">
        <f t="array" ref="Z137">SUM(IF(ISNUMBER(FIND("TmAi",$BE$1:$AAQ$1)),IF(IFERROR(ISODD(SUBSTITUTE($BE137:$AAQ137,"A","")),FALSE),IF(ISODD(SUBSTITUTE($BE137:$AAQ137,"A","")),1,0),0)))</f>
        <v>0</v>
      </c>
      <c r="AA137" t="str">
        <f t="shared" si="163"/>
        <v>5B</v>
      </c>
      <c r="AB137" t="str">
        <f t="shared" si="164"/>
        <v>6B</v>
      </c>
      <c r="AD137" s="46"/>
      <c r="AE137" s="46">
        <f t="array" ref="AE137">SUM(IF(ISNUMBER(FIND("TmDi",$BE$1:$AAQ$1)),IF(IFERROR(ISNUMBER(VALUE(SUBSTITUTE($BE137:$AAQ137,"B",""))),FALSE),IF(ISNUMBER(VALUE(SUBSTITUTE($BE137:$AAQ137,"B",""))),1,0),0)))</f>
        <v>0</v>
      </c>
      <c r="AP137" t="s">
        <v>137</v>
      </c>
      <c r="AS137" t="s">
        <v>396</v>
      </c>
      <c r="JZ137" s="27" t="str">
        <f t="shared" si="169"/>
        <v>XT55</v>
      </c>
      <c r="KC137" t="str">
        <f t="shared" si="170"/>
        <v>F0-AI16-5B</v>
      </c>
      <c r="KD137" t="str">
        <f t="shared" si="171"/>
        <v>F0-AI16-6B</v>
      </c>
      <c r="KI137">
        <f t="array" ref="KI137">IF(COUNTIFS($U$2:$U137,$U137)=1,1,INDEX(KI:KI,_xlfn.XMATCH(U137,U$1:U136,0,-1))+COUNT(KI136:KM136))</f>
        <v>252</v>
      </c>
      <c r="KJ137">
        <f t="shared" si="167"/>
        <v>253</v>
      </c>
      <c r="KK137">
        <f t="shared" si="168"/>
        <v>254</v>
      </c>
      <c r="KN137">
        <v>1</v>
      </c>
      <c r="KO137" s="16">
        <v>2</v>
      </c>
      <c r="KS137" s="16"/>
    </row>
    <row r="138" spans="1:305" x14ac:dyDescent="0.25">
      <c r="A138" s="83" t="s">
        <v>715</v>
      </c>
      <c r="B138" s="83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A3.16</v>
      </c>
      <c r="Y138" s="43">
        <f t="array" ref="Y138">IF(COUNTIFS($X$2:$X138,$X138)=1,"1",VALUE(SUBSTITUTE(INDEX(Y:Y,_xlfn.XMATCH($X138,$X$1:$X137,0,-1)),"A",""))+INDEX(Z:Z,_xlfn.XMATCH($X138,$X$1:$X137,0,-1))+1)</f>
        <v>4</v>
      </c>
      <c r="Z138" s="43">
        <f t="array" ref="Z138">SUM(IF(ISNUMBER(FIND("TmAi",$BE$1:$AAQ$1)),IF(IFERROR(ISODD(SUBSTITUTE($BE138:$AAQ138,"A","")),FALSE),IF(ISODD(SUBSTITUTE($BE138:$AAQ138,"A","")),1,0),0)))</f>
        <v>0</v>
      </c>
      <c r="AA138" t="str">
        <f t="shared" si="163"/>
        <v>7B</v>
      </c>
      <c r="AB138" t="str">
        <f t="shared" si="164"/>
        <v>8B</v>
      </c>
      <c r="AD138" s="46"/>
      <c r="AE138" s="46">
        <f t="array" ref="AE138">SUM(IF(ISNUMBER(FIND("TmDi",$BE$1:$AAQ$1)),IF(IFERROR(ISNUMBER(VALUE(SUBSTITUTE($BE138:$AAQ138,"B",""))),FALSE),IF(ISNUMBER(VALUE(SUBSTITUTE($BE138:$AAQ138,"B",""))),1,0),0)))</f>
        <v>0</v>
      </c>
      <c r="AP138" t="s">
        <v>137</v>
      </c>
      <c r="AS138" t="s">
        <v>396</v>
      </c>
      <c r="JZ138" s="27" t="str">
        <f t="shared" si="169"/>
        <v>XT55</v>
      </c>
      <c r="KC138" t="str">
        <f t="shared" si="170"/>
        <v>F0-AI16-7B</v>
      </c>
      <c r="KD138" t="str">
        <f t="shared" si="171"/>
        <v>F0-AI16-8B</v>
      </c>
      <c r="KI138">
        <f t="array" ref="KI138">IF(COUNTIFS($U$2:$U138,$U138)=1,1,INDEX(KI:KI,_xlfn.XMATCH(U138,U$1:U137,0,-1))+COUNT(KI137:KM137))</f>
        <v>255</v>
      </c>
      <c r="KJ138">
        <f t="shared" si="167"/>
        <v>256</v>
      </c>
      <c r="KK138">
        <f t="shared" si="168"/>
        <v>257</v>
      </c>
      <c r="KN138">
        <v>1</v>
      </c>
      <c r="KO138" s="16">
        <v>2</v>
      </c>
      <c r="KS138" s="16"/>
    </row>
    <row r="139" spans="1:305" x14ac:dyDescent="0.25">
      <c r="A139" s="83" t="s">
        <v>716</v>
      </c>
      <c r="B139" s="83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A3.16</v>
      </c>
      <c r="Y139" s="43">
        <f t="array" ref="Y139">IF(COUNTIFS($X$2:$X139,$X139)=1,"1",VALUE(SUBSTITUTE(INDEX(Y:Y,_xlfn.XMATCH($X139,$X$1:$X138,0,-1)),"A",""))+INDEX(Z:Z,_xlfn.XMATCH($X139,$X$1:$X138,0,-1))+1)</f>
        <v>5</v>
      </c>
      <c r="Z139" s="43">
        <f t="array" ref="Z139">SUM(IF(ISNUMBER(FIND("TmAi",$BE$1:$AAQ$1)),IF(IFERROR(ISODD(SUBSTITUTE($BE139:$AAQ139,"A","")),FALSE),IF(ISODD(SUBSTITUTE($BE139:$AAQ139,"A","")),1,0),0)))</f>
        <v>0</v>
      </c>
      <c r="AA139" t="str">
        <f t="shared" si="163"/>
        <v>9B</v>
      </c>
      <c r="AB139" t="str">
        <f t="shared" si="164"/>
        <v>10B</v>
      </c>
      <c r="AD139" s="46"/>
      <c r="AE139" s="46">
        <f t="array" ref="AE139">SUM(IF(ISNUMBER(FIND("TmDi",$BE$1:$AAQ$1)),IF(IFERROR(ISNUMBER(VALUE(SUBSTITUTE($BE139:$AAQ139,"B",""))),FALSE),IF(ISNUMBER(VALUE(SUBSTITUTE($BE139:$AAQ139,"B",""))),1,0),0)))</f>
        <v>0</v>
      </c>
      <c r="AP139" t="s">
        <v>137</v>
      </c>
      <c r="AS139" t="s">
        <v>396</v>
      </c>
      <c r="JZ139" s="27" t="str">
        <f t="shared" si="169"/>
        <v>XT55</v>
      </c>
      <c r="KC139" t="str">
        <f t="shared" si="170"/>
        <v>F0-AI16-9B</v>
      </c>
      <c r="KD139" t="str">
        <f t="shared" si="171"/>
        <v>F0-AI16-10B</v>
      </c>
      <c r="KI139">
        <f t="array" ref="KI139">IF(COUNTIFS($U$2:$U139,$U139)=1,1,INDEX(KI:KI,_xlfn.XMATCH(U139,U$1:U138,0,-1))+COUNT(KI138:KM138))</f>
        <v>258</v>
      </c>
      <c r="KJ139">
        <f t="shared" si="167"/>
        <v>259</v>
      </c>
      <c r="KK139">
        <f t="shared" si="168"/>
        <v>260</v>
      </c>
      <c r="KN139">
        <v>1</v>
      </c>
      <c r="KO139" s="16">
        <v>2</v>
      </c>
      <c r="KS139" s="16"/>
    </row>
    <row r="140" spans="1:305" x14ac:dyDescent="0.25">
      <c r="A140" s="83" t="s">
        <v>717</v>
      </c>
      <c r="B140" s="85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A3.16</v>
      </c>
      <c r="Y140" s="43">
        <f t="array" ref="Y140">IF(COUNTIFS($X$2:$X140,$X140)=1,"1",VALUE(SUBSTITUTE(INDEX(Y:Y,_xlfn.XMATCH($X140,$X$1:$X139,0,-1)),"A",""))+INDEX(Z:Z,_xlfn.XMATCH($X140,$X$1:$X139,0,-1))+1)</f>
        <v>6</v>
      </c>
      <c r="Z140" s="43">
        <f t="array" ref="Z140">SUM(IF(ISNUMBER(FIND("TmAi",$BE$1:$AAQ$1)),IF(IFERROR(ISODD(SUBSTITUTE($BE140:$AAQ140,"A","")),FALSE),IF(ISODD(SUBSTITUTE($BE140:$AAQ140,"A","")),1,0),0)))</f>
        <v>0</v>
      </c>
      <c r="AA140" t="str">
        <f t="shared" si="163"/>
        <v>11B</v>
      </c>
      <c r="AB140" t="str">
        <f t="shared" si="164"/>
        <v>12B</v>
      </c>
      <c r="AD140" s="46"/>
      <c r="AE140" s="46">
        <f t="array" ref="AE140">SUM(IF(ISNUMBER(FIND("TmDi",$BE$1:$AAQ$1)),IF(IFERROR(ISNUMBER(VALUE(SUBSTITUTE($BE140:$AAQ140,"B",""))),FALSE),IF(ISNUMBER(VALUE(SUBSTITUTE($BE140:$AAQ140,"B",""))),1,0),0)))</f>
        <v>0</v>
      </c>
      <c r="AP140" t="s">
        <v>137</v>
      </c>
      <c r="AS140" t="s">
        <v>396</v>
      </c>
      <c r="JZ140" s="27" t="str">
        <f t="shared" si="169"/>
        <v>XT55</v>
      </c>
      <c r="KC140" t="str">
        <f t="shared" si="170"/>
        <v>F0-AI16-11B</v>
      </c>
      <c r="KD140" t="str">
        <f t="shared" si="171"/>
        <v>F0-AI16-12B</v>
      </c>
      <c r="KI140">
        <f t="array" ref="KI140">IF(COUNTIFS($U$2:$U140,$U140)=1,1,INDEX(KI:KI,_xlfn.XMATCH(U140,U$1:U139,0,-1))+COUNT(KI139:KM139))</f>
        <v>261</v>
      </c>
      <c r="KJ140">
        <f t="shared" si="167"/>
        <v>262</v>
      </c>
      <c r="KK140">
        <f t="shared" si="168"/>
        <v>263</v>
      </c>
      <c r="KN140">
        <v>1</v>
      </c>
      <c r="KO140" s="16">
        <v>2</v>
      </c>
      <c r="KS140" s="16"/>
    </row>
    <row r="141" spans="1:305" x14ac:dyDescent="0.25">
      <c r="A141" s="83" t="s">
        <v>764</v>
      </c>
      <c r="B141" s="83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">
        <v>917</v>
      </c>
      <c r="Y141" s="43" t="str">
        <f t="array" ref="Y141">IF(COUNTIFS($X$2:$X141,$X141)=1,"1",VALUE(SUBSTITUTE(INDEX(Y:Y,_xlfn.XMATCH($X141,$X$1:$X140,0,-1)),"A",""))+INDEX(Z:Z,_xlfn.XMATCH($X141,$X$1:$X140,0,-1))+1)</f>
        <v>1</v>
      </c>
      <c r="Z141" s="43">
        <f t="array" ref="Z141">SUM(IF(ISNUMBER(FIND("TmAi",$BE$1:$AAQ$1)),IF(IFERROR(ISODD(SUBSTITUTE($BE141:$AAQ141,"A","")),FALSE),IF(ISODD(SUBSTITUTE($BE141:$AAQ141,"A","")),1,0),0)))</f>
        <v>0</v>
      </c>
      <c r="AA141" t="str">
        <f t="shared" si="163"/>
        <v>1B</v>
      </c>
      <c r="AB141" t="str">
        <f t="shared" si="164"/>
        <v>2B</v>
      </c>
      <c r="AD141" s="46"/>
      <c r="AE141" s="46">
        <f t="array" ref="AE141">SUM(IF(ISNUMBER(FIND("TmDi",$BE$1:$AAQ$1)),IF(IFERROR(ISNUMBER(VALUE(SUBSTITUTE($BE141:$AAQ141,"B",""))),FALSE),IF(ISNUMBER(VALUE(SUBSTITUTE($BE141:$AAQ141,"B",""))),1,0),0)))</f>
        <v>0</v>
      </c>
      <c r="AP141" t="s">
        <v>137</v>
      </c>
      <c r="AS141" t="s">
        <v>396</v>
      </c>
      <c r="JZ141" s="27" t="str">
        <f t="shared" si="169"/>
        <v>XT55</v>
      </c>
      <c r="KC141" t="str">
        <f t="shared" si="170"/>
        <v>F0-AI17-1B</v>
      </c>
      <c r="KD141" t="str">
        <f t="shared" si="171"/>
        <v>F0-AI17-2B</v>
      </c>
      <c r="KI141">
        <f t="array" ref="KI141">IF(COUNTIFS($U$2:$U141,$U141)=1,1,INDEX(KI:KI,_xlfn.XMATCH(U141,U$1:U140,0,-1))+COUNT(KI140:KM140))</f>
        <v>264</v>
      </c>
      <c r="KJ141">
        <f t="shared" si="167"/>
        <v>265</v>
      </c>
      <c r="KK141">
        <f t="shared" si="168"/>
        <v>266</v>
      </c>
      <c r="KN141">
        <v>1</v>
      </c>
      <c r="KO141" s="16">
        <v>2</v>
      </c>
      <c r="KS141" s="16"/>
    </row>
    <row r="142" spans="1:305" x14ac:dyDescent="0.25">
      <c r="A142" s="83" t="s">
        <v>766</v>
      </c>
      <c r="B142" s="85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A3.17</v>
      </c>
      <c r="Y142" s="43">
        <f t="array" ref="Y142">IF(COUNTIFS($X$2:$X142,$X142)=1,"1",VALUE(SUBSTITUTE(INDEX(Y:Y,_xlfn.XMATCH($X142,$X$1:$X141,0,-1)),"A",""))+INDEX(Z:Z,_xlfn.XMATCH($X142,$X$1:$X141,0,-1))+1)</f>
        <v>2</v>
      </c>
      <c r="Z142" s="43">
        <f t="array" ref="Z142">SUM(IF(ISNUMBER(FIND("TmAi",$BE$1:$AAQ$1)),IF(IFERROR(ISODD(SUBSTITUTE($BE142:$AAQ142,"A","")),FALSE),IF(ISODD(SUBSTITUTE($BE142:$AAQ142,"A","")),1,0),0)))</f>
        <v>0</v>
      </c>
      <c r="AA142" t="str">
        <f t="shared" si="163"/>
        <v>3B</v>
      </c>
      <c r="AB142" t="str">
        <f t="shared" si="164"/>
        <v>4B</v>
      </c>
      <c r="AD142" s="46"/>
      <c r="AE142" s="46">
        <f t="array" ref="AE142">SUM(IF(ISNUMBER(FIND("TmDi",$BE$1:$AAQ$1)),IF(IFERROR(ISNUMBER(VALUE(SUBSTITUTE($BE142:$AAQ142,"B",""))),FALSE),IF(ISNUMBER(VALUE(SUBSTITUTE($BE142:$AAQ142,"B",""))),1,0),0)))</f>
        <v>0</v>
      </c>
      <c r="AP142" t="s">
        <v>137</v>
      </c>
      <c r="AS142" t="s">
        <v>396</v>
      </c>
      <c r="JZ142" s="27" t="str">
        <f t="shared" si="169"/>
        <v>XT55</v>
      </c>
      <c r="KC142" t="str">
        <f t="shared" si="170"/>
        <v>F0-AI17-3B</v>
      </c>
      <c r="KD142" t="str">
        <f t="shared" si="171"/>
        <v>F0-AI17-4B</v>
      </c>
      <c r="KI142">
        <f t="array" ref="KI142">IF(COUNTIFS($U$2:$U142,$U142)=1,1,INDEX(KI:KI,_xlfn.XMATCH(U142,U$1:U141,0,-1))+COUNT(KI141:KM141))</f>
        <v>267</v>
      </c>
      <c r="KJ142">
        <f t="shared" si="167"/>
        <v>268</v>
      </c>
      <c r="KK142">
        <f t="shared" si="168"/>
        <v>269</v>
      </c>
      <c r="KN142">
        <v>1</v>
      </c>
      <c r="KO142" s="16">
        <v>2</v>
      </c>
      <c r="KS142" s="16"/>
    </row>
    <row r="143" spans="1:305" x14ac:dyDescent="0.25">
      <c r="A143" s="83" t="s">
        <v>768</v>
      </c>
      <c r="B143" s="8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">
        <v>1055</v>
      </c>
      <c r="Y143" s="43" t="str">
        <f t="array" ref="Y143">IF(COUNTIFS($X$2:$X143,$X143)=1,"1",VALUE(SUBSTITUTE(INDEX(Y:Y,_xlfn.XMATCH($X143,$X$1:$X142,0,-1)),"A",""))+INDEX(Z:Z,_xlfn.XMATCH($X143,$X$1:$X142,0,-1))+1)</f>
        <v>1</v>
      </c>
      <c r="Z143" s="43">
        <f t="array" ref="Z143">SUM(IF(ISNUMBER(FIND("TmAi",$BE$1:$AAQ$1)),IF(IFERROR(ISODD(SUBSTITUTE($BE143:$AAQ143,"A","")),FALSE),IF(ISODD(SUBSTITUTE($BE143:$AAQ143,"A","")),1,0),0)))</f>
        <v>0</v>
      </c>
      <c r="AA143" t="str">
        <f t="shared" si="163"/>
        <v>1B</v>
      </c>
      <c r="AB143" t="str">
        <f t="shared" si="164"/>
        <v>2B</v>
      </c>
      <c r="AD143" s="46"/>
      <c r="AE143" s="46">
        <f t="array" ref="AE143">SUM(IF(ISNUMBER(FIND("TmDi",$BE$1:$AAQ$1)),IF(IFERROR(ISNUMBER(VALUE(SUBSTITUTE($BE143:$AAQ143,"B",""))),FALSE),IF(ISNUMBER(VALUE(SUBSTITUTE($BE143:$AAQ143,"B",""))),1,0),0)))</f>
        <v>0</v>
      </c>
      <c r="AP143" t="s">
        <v>137</v>
      </c>
      <c r="AS143" t="s">
        <v>396</v>
      </c>
      <c r="JZ143" s="27" t="str">
        <f t="shared" si="169"/>
        <v>XT55</v>
      </c>
      <c r="KC143" t="str">
        <f t="shared" si="170"/>
        <v>F0-AI18-1B</v>
      </c>
      <c r="KD143" t="str">
        <f t="shared" si="171"/>
        <v>F0-AI18-2B</v>
      </c>
      <c r="KI143">
        <f t="array" ref="KI143">IF(COUNTIFS($U$2:$U143,$U143)=1,1,INDEX(KI:KI,_xlfn.XMATCH(U143,U$1:U142,0,-1))+COUNT(KI142:KM142))</f>
        <v>270</v>
      </c>
      <c r="KJ143">
        <f t="shared" si="167"/>
        <v>271</v>
      </c>
      <c r="KK143">
        <f t="shared" si="168"/>
        <v>272</v>
      </c>
      <c r="KN143">
        <v>1</v>
      </c>
      <c r="KO143" s="16">
        <v>2</v>
      </c>
      <c r="KS143" s="16"/>
    </row>
    <row r="144" spans="1:305" x14ac:dyDescent="0.25">
      <c r="A144" s="83" t="s">
        <v>774</v>
      </c>
      <c r="B144" s="85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A3.18</v>
      </c>
      <c r="Y144" s="43">
        <f t="array" ref="Y144">IF(COUNTIFS($X$2:$X144,$X144)=1,"1",VALUE(SUBSTITUTE(INDEX(Y:Y,_xlfn.XMATCH($X144,$X$1:$X143,0,-1)),"A",""))+INDEX(Z:Z,_xlfn.XMATCH($X144,$X$1:$X143,0,-1))+1)</f>
        <v>2</v>
      </c>
      <c r="Z144" s="43">
        <f t="array" ref="Z144">SUM(IF(ISNUMBER(FIND("TmAi",$BE$1:$AAQ$1)),IF(IFERROR(ISODD(SUBSTITUTE($BE144:$AAQ144,"A","")),FALSE),IF(ISODD(SUBSTITUTE($BE144:$AAQ144,"A","")),1,0),0)))</f>
        <v>0</v>
      </c>
      <c r="AA144" t="str">
        <f t="shared" si="163"/>
        <v>3B</v>
      </c>
      <c r="AB144" t="str">
        <f t="shared" si="164"/>
        <v>4B</v>
      </c>
      <c r="AD144" s="46"/>
      <c r="AE144" s="46">
        <f t="array" ref="AE144">SUM(IF(ISNUMBER(FIND("TmDi",$BE$1:$AAQ$1)),IF(IFERROR(ISNUMBER(VALUE(SUBSTITUTE($BE144:$AAQ144,"B",""))),FALSE),IF(ISNUMBER(VALUE(SUBSTITUTE($BE144:$AAQ144,"B",""))),1,0),0)))</f>
        <v>0</v>
      </c>
      <c r="AP144" t="s">
        <v>137</v>
      </c>
      <c r="AS144" t="s">
        <v>396</v>
      </c>
      <c r="JZ144" s="27" t="str">
        <f t="shared" si="169"/>
        <v>XT55</v>
      </c>
      <c r="KC144" t="str">
        <f t="shared" si="170"/>
        <v>F0-AI18-3B</v>
      </c>
      <c r="KD144" t="str">
        <f t="shared" si="171"/>
        <v>F0-AI18-4B</v>
      </c>
      <c r="KI144">
        <f t="array" ref="KI144">IF(COUNTIFS($U$2:$U144,$U144)=1,1,INDEX(KI:KI,_xlfn.XMATCH(U144,U$1:U143,0,-1))+COUNT(KI143:KM143))</f>
        <v>273</v>
      </c>
      <c r="KJ144">
        <f t="shared" si="167"/>
        <v>274</v>
      </c>
      <c r="KK144">
        <f t="shared" si="168"/>
        <v>275</v>
      </c>
      <c r="KN144">
        <v>1</v>
      </c>
      <c r="KO144" s="16">
        <v>2</v>
      </c>
      <c r="KS144" s="16"/>
    </row>
    <row r="145" spans="1:305" x14ac:dyDescent="0.25">
      <c r="A145" s="83" t="s">
        <v>775</v>
      </c>
      <c r="B145" s="83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A3.18</v>
      </c>
      <c r="Y145" s="45">
        <f t="array" ref="Y145">IF(COUNTIFS($X$2:$X145,$X145)=1,"1",VALUE(SUBSTITUTE(INDEX(Y:Y,_xlfn.XMATCH($X145,$X$1:$X144,0,-1)),"A",""))+INDEX(Z:Z,_xlfn.XMATCH($X145,$X$1:$X144,0,-1))+1)</f>
        <v>3</v>
      </c>
      <c r="Z145" s="43">
        <f t="array" ref="Z145">SUM(IF(ISNUMBER(FIND("TmAi",$BE$1:$AAQ$1)),IF(IFERROR(ISODD(SUBSTITUTE($BE145:$AAQ145,"A","")),FALSE),IF(ISODD(SUBSTITUTE($BE145:$AAQ145,"A","")),1,0),0)))</f>
        <v>0</v>
      </c>
      <c r="AA145" t="str">
        <f t="shared" si="163"/>
        <v>5B</v>
      </c>
      <c r="AB145" t="str">
        <f t="shared" si="164"/>
        <v>6B</v>
      </c>
      <c r="AD145" s="46"/>
      <c r="AE145" s="46">
        <f t="array" ref="AE145">SUM(IF(ISNUMBER(FIND("TmDi",$BE$1:$AAQ$1)),IF(IFERROR(ISNUMBER(VALUE(SUBSTITUTE($BE145:$AAQ145,"B",""))),FALSE),IF(ISNUMBER(VALUE(SUBSTITUTE($BE145:$AAQ145,"B",""))),1,0),0)))</f>
        <v>0</v>
      </c>
      <c r="AP145" t="s">
        <v>137</v>
      </c>
      <c r="AS145" t="s">
        <v>396</v>
      </c>
      <c r="JZ145" s="27" t="str">
        <f t="shared" si="169"/>
        <v>XT55</v>
      </c>
      <c r="KC145" t="str">
        <f t="shared" si="170"/>
        <v>F0-AI18-5B</v>
      </c>
      <c r="KD145" t="str">
        <f t="shared" si="171"/>
        <v>F0-AI18-6B</v>
      </c>
      <c r="KI145">
        <f t="array" ref="KI145">IF(COUNTIFS($U$2:$U145,$U145)=1,1,INDEX(KI:KI,_xlfn.XMATCH(U145,U$1:U144,0,-1))+COUNT(KI144:KM144))</f>
        <v>276</v>
      </c>
      <c r="KJ145">
        <f t="shared" si="167"/>
        <v>277</v>
      </c>
      <c r="KK145">
        <f t="shared" si="168"/>
        <v>278</v>
      </c>
      <c r="KN145">
        <v>1</v>
      </c>
      <c r="KO145" s="16">
        <v>2</v>
      </c>
      <c r="KS145" s="16"/>
    </row>
    <row r="146" spans="1:305" x14ac:dyDescent="0.25">
      <c r="A146" s="83" t="s">
        <v>776</v>
      </c>
      <c r="B146" s="85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A3.18</v>
      </c>
      <c r="Y146" s="43">
        <f t="array" ref="Y146">IF(COUNTIFS($X$2:$X146,$X146)=1,"1",VALUE(SUBSTITUTE(INDEX(Y:Y,_xlfn.XMATCH($X146,$X$1:$X145,0,-1)),"A",""))+INDEX(Z:Z,_xlfn.XMATCH($X146,$X$1:$X145,0,-1))+1)</f>
        <v>4</v>
      </c>
      <c r="Z146" s="43">
        <f t="array" ref="Z146">SUM(IF(ISNUMBER(FIND("TmAi",$BE$1:$AAQ$1)),IF(IFERROR(ISODD(SUBSTITUTE($BE146:$AAQ146,"A","")),FALSE),IF(ISODD(SUBSTITUTE($BE146:$AAQ146,"A","")),1,0),0)))</f>
        <v>0</v>
      </c>
      <c r="AA146" t="str">
        <f t="shared" si="163"/>
        <v>7B</v>
      </c>
      <c r="AB146" t="str">
        <f t="shared" si="164"/>
        <v>8B</v>
      </c>
      <c r="AD146" s="46"/>
      <c r="AE146" s="46">
        <f t="array" ref="AE146">SUM(IF(ISNUMBER(FIND("TmDi",$BE$1:$AAQ$1)),IF(IFERROR(ISNUMBER(VALUE(SUBSTITUTE($BE146:$AAQ146,"B",""))),FALSE),IF(ISNUMBER(VALUE(SUBSTITUTE($BE146:$AAQ146,"B",""))),1,0),0)))</f>
        <v>0</v>
      </c>
      <c r="AP146" t="s">
        <v>137</v>
      </c>
      <c r="AS146" t="s">
        <v>396</v>
      </c>
      <c r="JZ146" s="27" t="str">
        <f t="shared" si="169"/>
        <v>XT55</v>
      </c>
      <c r="KC146" t="str">
        <f t="shared" si="170"/>
        <v>F0-AI18-7B</v>
      </c>
      <c r="KD146" t="str">
        <f t="shared" si="171"/>
        <v>F0-AI18-8B</v>
      </c>
      <c r="KI146">
        <f t="array" ref="KI146">IF(COUNTIFS($U$2:$U146,$U146)=1,1,INDEX(KI:KI,_xlfn.XMATCH(U146,U$1:U145,0,-1))+COUNT(KI145:KM145))</f>
        <v>279</v>
      </c>
      <c r="KJ146">
        <f t="shared" si="167"/>
        <v>280</v>
      </c>
      <c r="KK146">
        <f t="shared" si="168"/>
        <v>281</v>
      </c>
      <c r="KN146">
        <v>1</v>
      </c>
      <c r="KO146" s="16">
        <v>2</v>
      </c>
      <c r="KS146" s="16"/>
    </row>
    <row r="147" spans="1:305" x14ac:dyDescent="0.25">
      <c r="A147" s="83" t="s">
        <v>777</v>
      </c>
      <c r="B147" s="83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A3.18</v>
      </c>
      <c r="Y147" s="43">
        <f t="array" ref="Y147">IF(COUNTIFS($X$2:$X147,$X147)=1,"1",VALUE(SUBSTITUTE(INDEX(Y:Y,_xlfn.XMATCH($X147,$X$1:$X146,0,-1)),"A",""))+INDEX(Z:Z,_xlfn.XMATCH($X147,$X$1:$X146,0,-1))+1)</f>
        <v>5</v>
      </c>
      <c r="Z147" s="43">
        <f t="array" ref="Z147">SUM(IF(ISNUMBER(FIND("TmAi",$BE$1:$AAQ$1)),IF(IFERROR(ISODD(SUBSTITUTE($BE147:$AAQ147,"A","")),FALSE),IF(ISODD(SUBSTITUTE($BE147:$AAQ147,"A","")),1,0),0)))</f>
        <v>0</v>
      </c>
      <c r="AA147" t="str">
        <f t="shared" si="163"/>
        <v>9B</v>
      </c>
      <c r="AB147" t="str">
        <f t="shared" si="164"/>
        <v>10B</v>
      </c>
      <c r="AD147" s="46"/>
      <c r="AE147" s="46">
        <f t="array" ref="AE147">SUM(IF(ISNUMBER(FIND("TmDi",$BE$1:$AAQ$1)),IF(IFERROR(ISNUMBER(VALUE(SUBSTITUTE($BE147:$AAQ147,"B",""))),FALSE),IF(ISNUMBER(VALUE(SUBSTITUTE($BE147:$AAQ147,"B",""))),1,0),0)))</f>
        <v>0</v>
      </c>
      <c r="AP147" t="s">
        <v>137</v>
      </c>
      <c r="AS147" t="s">
        <v>396</v>
      </c>
      <c r="JZ147" s="27" t="str">
        <f t="shared" si="169"/>
        <v>XT55</v>
      </c>
      <c r="KC147" t="str">
        <f t="shared" si="170"/>
        <v>F0-AI18-9B</v>
      </c>
      <c r="KD147" t="str">
        <f t="shared" si="171"/>
        <v>F0-AI18-10B</v>
      </c>
      <c r="KI147">
        <f t="array" ref="KI147">IF(COUNTIFS($U$2:$U147,$U147)=1,1,INDEX(KI:KI,_xlfn.XMATCH(U147,U$1:U146,0,-1))+COUNT(KI146:KM146))</f>
        <v>282</v>
      </c>
      <c r="KJ147">
        <f t="shared" si="167"/>
        <v>283</v>
      </c>
      <c r="KK147">
        <f t="shared" si="168"/>
        <v>284</v>
      </c>
      <c r="KN147">
        <v>1</v>
      </c>
      <c r="KO147" s="16">
        <v>2</v>
      </c>
      <c r="KS147" s="16"/>
    </row>
    <row r="148" spans="1:305" x14ac:dyDescent="0.25">
      <c r="A148" s="83" t="s">
        <v>778</v>
      </c>
      <c r="B148" s="85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A3.18</v>
      </c>
      <c r="Y148" s="43">
        <f t="array" ref="Y148">IF(COUNTIFS($X$2:$X148,$X148)=1,"1",VALUE(SUBSTITUTE(INDEX(Y:Y,_xlfn.XMATCH($X148,$X$1:$X147,0,-1)),"A",""))+INDEX(Z:Z,_xlfn.XMATCH($X148,$X$1:$X147,0,-1))+1)</f>
        <v>6</v>
      </c>
      <c r="Z148" s="43">
        <f t="array" ref="Z148">SUM(IF(ISNUMBER(FIND("TmAi",$BE$1:$AAQ$1)),IF(IFERROR(ISODD(SUBSTITUTE($BE148:$AAQ148,"A","")),FALSE),IF(ISODD(SUBSTITUTE($BE148:$AAQ148,"A","")),1,0),0)))</f>
        <v>0</v>
      </c>
      <c r="AA148" t="str">
        <f t="shared" si="163"/>
        <v>11B</v>
      </c>
      <c r="AB148" t="str">
        <f t="shared" si="164"/>
        <v>12B</v>
      </c>
      <c r="AD148" s="46"/>
      <c r="AE148" s="46">
        <f t="array" ref="AE148">SUM(IF(ISNUMBER(FIND("TmDi",$BE$1:$AAQ$1)),IF(IFERROR(ISNUMBER(VALUE(SUBSTITUTE($BE148:$AAQ148,"B",""))),FALSE),IF(ISNUMBER(VALUE(SUBSTITUTE($BE148:$AAQ148,"B",""))),1,0),0)))</f>
        <v>0</v>
      </c>
      <c r="AP148" t="s">
        <v>137</v>
      </c>
      <c r="AS148" t="s">
        <v>396</v>
      </c>
      <c r="JZ148" s="27" t="str">
        <f t="shared" si="169"/>
        <v>XT55</v>
      </c>
      <c r="KC148" t="str">
        <f t="shared" si="170"/>
        <v>F0-AI18-11B</v>
      </c>
      <c r="KD148" t="str">
        <f t="shared" si="171"/>
        <v>F0-AI18-12B</v>
      </c>
      <c r="KI148">
        <f t="array" ref="KI148">IF(COUNTIFS($U$2:$U148,$U148)=1,1,INDEX(KI:KI,_xlfn.XMATCH(U148,U$1:U147,0,-1))+COUNT(KI147:KM147))</f>
        <v>285</v>
      </c>
      <c r="KJ148">
        <f t="shared" si="167"/>
        <v>286</v>
      </c>
      <c r="KK148">
        <f t="shared" si="168"/>
        <v>287</v>
      </c>
      <c r="KN148">
        <v>1</v>
      </c>
      <c r="KO148" s="16">
        <v>2</v>
      </c>
      <c r="KS148" s="16"/>
    </row>
    <row r="149" spans="1:305" x14ac:dyDescent="0.25">
      <c r="A149" s="83" t="s">
        <v>779</v>
      </c>
      <c r="B149" s="83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A3.18</v>
      </c>
      <c r="Y149" s="43">
        <f t="array" ref="Y149">IF(COUNTIFS($X$2:$X149,$X149)=1,"1",VALUE(SUBSTITUTE(INDEX(Y:Y,_xlfn.XMATCH($X149,$X$1:$X148,0,-1)),"A",""))+INDEX(Z:Z,_xlfn.XMATCH($X149,$X$1:$X148,0,-1))+1)</f>
        <v>7</v>
      </c>
      <c r="Z149" s="43">
        <f t="array" ref="Z149">SUM(IF(ISNUMBER(FIND("TmAi",$BE$1:$AAQ$1)),IF(IFERROR(ISODD(SUBSTITUTE($BE149:$AAQ149,"A","")),FALSE),IF(ISODD(SUBSTITUTE($BE149:$AAQ149,"A","")),1,0),0)))</f>
        <v>0</v>
      </c>
      <c r="AA149" t="str">
        <f t="shared" si="163"/>
        <v>13B</v>
      </c>
      <c r="AB149" t="str">
        <f t="shared" si="164"/>
        <v>14B</v>
      </c>
      <c r="AD149" s="46"/>
      <c r="AE149" s="46">
        <f t="array" ref="AE149">SUM(IF(ISNUMBER(FIND("TmDi",$BE$1:$AAQ$1)),IF(IFERROR(ISNUMBER(VALUE(SUBSTITUTE($BE149:$AAQ149,"B",""))),FALSE),IF(ISNUMBER(VALUE(SUBSTITUTE($BE149:$AAQ149,"B",""))),1,0),0)))</f>
        <v>0</v>
      </c>
      <c r="AP149" t="s">
        <v>137</v>
      </c>
      <c r="AS149" t="s">
        <v>396</v>
      </c>
      <c r="JZ149" s="27" t="str">
        <f t="shared" si="169"/>
        <v>XT55</v>
      </c>
      <c r="KC149" t="str">
        <f t="shared" si="170"/>
        <v>F0-AI18-13B</v>
      </c>
      <c r="KD149" t="str">
        <f t="shared" si="171"/>
        <v>F0-AI18-14B</v>
      </c>
      <c r="KI149">
        <f t="array" ref="KI149">IF(COUNTIFS($U$2:$U149,$U149)=1,1,INDEX(KI:KI,_xlfn.XMATCH(U149,U$1:U148,0,-1))+COUNT(KI148:KM148))</f>
        <v>288</v>
      </c>
      <c r="KJ149">
        <f t="shared" si="167"/>
        <v>289</v>
      </c>
      <c r="KK149">
        <f t="shared" si="168"/>
        <v>290</v>
      </c>
      <c r="KN149">
        <v>1</v>
      </c>
      <c r="KO149" s="16">
        <v>2</v>
      </c>
      <c r="KS149" s="16"/>
    </row>
    <row r="150" spans="1:305" x14ac:dyDescent="0.25">
      <c r="A150" s="83" t="s">
        <v>780</v>
      </c>
      <c r="B150" s="85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A3.18</v>
      </c>
      <c r="Y150" s="43">
        <f t="array" ref="Y150">IF(COUNTIFS($X$2:$X150,$X150)=1,"1",VALUE(SUBSTITUTE(INDEX(Y:Y,_xlfn.XMATCH($X150,$X$1:$X149,0,-1)),"A",""))+INDEX(Z:Z,_xlfn.XMATCH($X150,$X$1:$X149,0,-1))+1)</f>
        <v>8</v>
      </c>
      <c r="Z150" s="43">
        <f t="array" ref="Z150">SUM(IF(ISNUMBER(FIND("TmAi",$BE$1:$AAQ$1)),IF(IFERROR(ISODD(SUBSTITUTE($BE150:$AAQ150,"A","")),FALSE),IF(ISODD(SUBSTITUTE($BE150:$AAQ150,"A","")),1,0),0)))</f>
        <v>0</v>
      </c>
      <c r="AA150" t="str">
        <f t="shared" si="163"/>
        <v>15B</v>
      </c>
      <c r="AB150" t="str">
        <f t="shared" si="164"/>
        <v>16B</v>
      </c>
      <c r="AD150" s="46"/>
      <c r="AE150" s="46">
        <f t="array" ref="AE150">SUM(IF(ISNUMBER(FIND("TmDi",$BE$1:$AAQ$1)),IF(IFERROR(ISNUMBER(VALUE(SUBSTITUTE($BE150:$AAQ150,"B",""))),FALSE),IF(ISNUMBER(VALUE(SUBSTITUTE($BE150:$AAQ150,"B",""))),1,0),0)))</f>
        <v>0</v>
      </c>
      <c r="AP150" t="s">
        <v>137</v>
      </c>
      <c r="AS150" t="s">
        <v>396</v>
      </c>
      <c r="JZ150" s="27" t="str">
        <f t="shared" si="169"/>
        <v>XT55</v>
      </c>
      <c r="KC150" t="str">
        <f t="shared" si="170"/>
        <v>F0-AI18-15B</v>
      </c>
      <c r="KD150" t="str">
        <f t="shared" si="171"/>
        <v>F0-AI18-16B</v>
      </c>
      <c r="KI150">
        <f t="array" ref="KI150">IF(COUNTIFS($U$2:$U150,$U150)=1,1,INDEX(KI:KI,_xlfn.XMATCH(U150,U$1:U149,0,-1))+COUNT(KI149:KM149))</f>
        <v>291</v>
      </c>
      <c r="KJ150">
        <f t="shared" si="167"/>
        <v>292</v>
      </c>
      <c r="KK150">
        <f t="shared" si="168"/>
        <v>293</v>
      </c>
      <c r="KN150">
        <v>1</v>
      </c>
      <c r="KO150" s="16">
        <v>2</v>
      </c>
      <c r="KS150" s="16"/>
    </row>
    <row r="151" spans="1:305" x14ac:dyDescent="0.25">
      <c r="A151" s="83" t="s">
        <v>781</v>
      </c>
      <c r="B151" s="83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A3.19</v>
      </c>
      <c r="Y151" s="43" t="str">
        <f t="array" ref="Y151">IF(COUNTIFS($X$2:$X151,$X151)=1,"1",VALUE(SUBSTITUTE(INDEX(Y:Y,_xlfn.XMATCH($X151,$X$1:$X150,0,-1)),"A",""))+INDEX(Z:Z,_xlfn.XMATCH($X151,$X$1:$X150,0,-1))+1)</f>
        <v>1</v>
      </c>
      <c r="Z151" s="43">
        <f t="array" ref="Z151">SUM(IF(ISNUMBER(FIND("TmAi",$BE$1:$AAQ$1)),IF(IFERROR(ISODD(SUBSTITUTE($BE151:$AAQ151,"A","")),FALSE),IF(ISODD(SUBSTITUTE($BE151:$AAQ151,"A","")),1,0),0)))</f>
        <v>0</v>
      </c>
      <c r="AA151" t="str">
        <f t="shared" si="163"/>
        <v>1B</v>
      </c>
      <c r="AB151" t="str">
        <f t="shared" si="164"/>
        <v>2B</v>
      </c>
      <c r="AD151" s="46"/>
      <c r="AE151" s="46">
        <f t="array" ref="AE151">SUM(IF(ISNUMBER(FIND("TmDi",$BE$1:$AAQ$1)),IF(IFERROR(ISNUMBER(VALUE(SUBSTITUTE($BE151:$AAQ151,"B",""))),FALSE),IF(ISNUMBER(VALUE(SUBSTITUTE($BE151:$AAQ151,"B",""))),1,0),0)))</f>
        <v>0</v>
      </c>
      <c r="AP151" t="s">
        <v>137</v>
      </c>
      <c r="AS151" t="s">
        <v>396</v>
      </c>
      <c r="JZ151" s="27" t="str">
        <f t="shared" si="169"/>
        <v>XT55</v>
      </c>
      <c r="KC151" t="str">
        <f t="shared" si="170"/>
        <v>F0-AI19-1B</v>
      </c>
      <c r="KD151" t="str">
        <f t="shared" si="171"/>
        <v>F0-AI19-2B</v>
      </c>
      <c r="KI151">
        <f t="array" ref="KI151">IF(COUNTIFS($U$2:$U151,$U151)=1,1,INDEX(KI:KI,_xlfn.XMATCH(U151,U$1:U150,0,-1))+COUNT(KI150:KM150))</f>
        <v>294</v>
      </c>
      <c r="KJ151">
        <f t="shared" si="167"/>
        <v>295</v>
      </c>
      <c r="KK151">
        <f t="shared" si="168"/>
        <v>296</v>
      </c>
      <c r="KN151">
        <v>1</v>
      </c>
      <c r="KO151" s="16">
        <v>2</v>
      </c>
      <c r="KS151" s="16"/>
    </row>
    <row r="152" spans="1:305" x14ac:dyDescent="0.25">
      <c r="A152" s="83" t="s">
        <v>782</v>
      </c>
      <c r="B152" s="85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A3.19</v>
      </c>
      <c r="Y152" s="43">
        <f t="array" ref="Y152">IF(COUNTIFS($X$2:$X152,$X152)=1,"1",VALUE(SUBSTITUTE(INDEX(Y:Y,_xlfn.XMATCH($X152,$X$1:$X151,0,-1)),"A",""))+INDEX(Z:Z,_xlfn.XMATCH($X152,$X$1:$X151,0,-1))+1)</f>
        <v>2</v>
      </c>
      <c r="Z152" s="43">
        <f t="array" ref="Z152">SUM(IF(ISNUMBER(FIND("TmAi",$BE$1:$AAQ$1)),IF(IFERROR(ISODD(SUBSTITUTE($BE152:$AAQ152,"A","")),FALSE),IF(ISODD(SUBSTITUTE($BE152:$AAQ152,"A","")),1,0),0)))</f>
        <v>0</v>
      </c>
      <c r="AA152" t="str">
        <f t="shared" si="163"/>
        <v>3B</v>
      </c>
      <c r="AB152" t="str">
        <f t="shared" si="164"/>
        <v>4B</v>
      </c>
      <c r="AD152" s="46"/>
      <c r="AE152" s="46">
        <f t="array" ref="AE152">SUM(IF(ISNUMBER(FIND("TmDi",$BE$1:$AAQ$1)),IF(IFERROR(ISNUMBER(VALUE(SUBSTITUTE($BE152:$AAQ152,"B",""))),FALSE),IF(ISNUMBER(VALUE(SUBSTITUTE($BE152:$AAQ152,"B",""))),1,0),0)))</f>
        <v>0</v>
      </c>
      <c r="AP152" t="s">
        <v>137</v>
      </c>
      <c r="AS152" t="s">
        <v>396</v>
      </c>
      <c r="JZ152" s="27" t="str">
        <f t="shared" ref="JZ152:JZ168" si="172">CONCATENATE("XT",U152)</f>
        <v>XT55</v>
      </c>
      <c r="KC152" t="str">
        <f t="shared" ref="KC152:KC168" si="173">CONCATENATE(T152,"-AI",REPLACE($X152,1,3,""),"-",AA152)</f>
        <v>F0-AI19-3B</v>
      </c>
      <c r="KD152" t="str">
        <f t="shared" ref="KD152:KD168" si="174">CONCATENATE(T152,"-AI",REPLACE($X152,1,3,""),"-",AB152)</f>
        <v>F0-AI19-4B</v>
      </c>
      <c r="KI152">
        <f t="array" ref="KI152">IF(COUNTIFS($U$2:$U152,$U152)=1,1,INDEX(KI:KI,_xlfn.XMATCH(U152,U$1:U151,0,-1))+COUNT(KI151:KM151))</f>
        <v>297</v>
      </c>
      <c r="KJ152">
        <f t="shared" si="167"/>
        <v>298</v>
      </c>
      <c r="KK152">
        <f t="shared" si="168"/>
        <v>299</v>
      </c>
      <c r="KN152">
        <v>1</v>
      </c>
      <c r="KO152" s="16">
        <v>2</v>
      </c>
      <c r="KS152" s="16"/>
    </row>
    <row r="153" spans="1:305" x14ac:dyDescent="0.25">
      <c r="A153" s="83" t="s">
        <v>783</v>
      </c>
      <c r="B153" s="8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A3.19</v>
      </c>
      <c r="Y153" s="45">
        <f t="array" ref="Y153">IF(COUNTIFS($X$2:$X153,$X153)=1,"1",VALUE(SUBSTITUTE(INDEX(Y:Y,_xlfn.XMATCH($X153,$X$1:$X152,0,-1)),"A",""))+INDEX(Z:Z,_xlfn.XMATCH($X153,$X$1:$X152,0,-1))+1)</f>
        <v>3</v>
      </c>
      <c r="Z153" s="43">
        <f t="array" ref="Z153">SUM(IF(ISNUMBER(FIND("TmAi",$BE$1:$AAQ$1)),IF(IFERROR(ISODD(SUBSTITUTE($BE153:$AAQ153,"A","")),FALSE),IF(ISODD(SUBSTITUTE($BE153:$AAQ153,"A","")),1,0),0)))</f>
        <v>0</v>
      </c>
      <c r="AA153" t="str">
        <f t="shared" si="163"/>
        <v>5B</v>
      </c>
      <c r="AB153" t="str">
        <f t="shared" si="164"/>
        <v>6B</v>
      </c>
      <c r="AD153" s="46"/>
      <c r="AE153" s="46">
        <f t="array" ref="AE153">SUM(IF(ISNUMBER(FIND("TmDi",$BE$1:$AAQ$1)),IF(IFERROR(ISNUMBER(VALUE(SUBSTITUTE($BE153:$AAQ153,"B",""))),FALSE),IF(ISNUMBER(VALUE(SUBSTITUTE($BE153:$AAQ153,"B",""))),1,0),0)))</f>
        <v>0</v>
      </c>
      <c r="AP153" t="s">
        <v>137</v>
      </c>
      <c r="AS153" t="s">
        <v>396</v>
      </c>
      <c r="JZ153" s="27" t="str">
        <f t="shared" si="172"/>
        <v>XT55</v>
      </c>
      <c r="KC153" t="str">
        <f t="shared" si="173"/>
        <v>F0-AI19-5B</v>
      </c>
      <c r="KD153" t="str">
        <f t="shared" si="174"/>
        <v>F0-AI19-6B</v>
      </c>
      <c r="KI153">
        <f t="array" ref="KI153">IF(COUNTIFS($U$2:$U153,$U153)=1,1,INDEX(KI:KI,_xlfn.XMATCH(U153,U$1:U152,0,-1))+COUNT(KI152:KM152))</f>
        <v>300</v>
      </c>
      <c r="KJ153">
        <f t="shared" ref="KJ153:KJ168" si="175">KI153+1</f>
        <v>301</v>
      </c>
      <c r="KK153">
        <f t="shared" ref="KK153:KK168" si="176">KJ153+1</f>
        <v>302</v>
      </c>
      <c r="KN153">
        <v>1</v>
      </c>
      <c r="KO153" s="16">
        <v>2</v>
      </c>
      <c r="KS153" s="16"/>
    </row>
    <row r="154" spans="1:305" x14ac:dyDescent="0.25">
      <c r="A154" s="83" t="s">
        <v>784</v>
      </c>
      <c r="B154" s="85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A3.19</v>
      </c>
      <c r="Y154" s="43">
        <f t="array" ref="Y154">IF(COUNTIFS($X$2:$X154,$X154)=1,"1",VALUE(SUBSTITUTE(INDEX(Y:Y,_xlfn.XMATCH($X154,$X$1:$X153,0,-1)),"A",""))+INDEX(Z:Z,_xlfn.XMATCH($X154,$X$1:$X153,0,-1))+1)</f>
        <v>4</v>
      </c>
      <c r="Z154" s="43">
        <f t="array" ref="Z154">SUM(IF(ISNUMBER(FIND("TmAi",$BE$1:$AAQ$1)),IF(IFERROR(ISODD(SUBSTITUTE($BE154:$AAQ154,"A","")),FALSE),IF(ISODD(SUBSTITUTE($BE154:$AAQ154,"A","")),1,0),0)))</f>
        <v>0</v>
      </c>
      <c r="AA154" t="str">
        <f t="shared" ref="AA154:AA165" si="177">CONCATENATE($Y154*2-1,"B")</f>
        <v>7B</v>
      </c>
      <c r="AB154" t="str">
        <f t="shared" ref="AB154:AB165" si="178">CONCATENATE($Y154*2,"B")</f>
        <v>8B</v>
      </c>
      <c r="AD154" s="46"/>
      <c r="AE154" s="46">
        <f t="array" ref="AE154">SUM(IF(ISNUMBER(FIND("TmDi",$BE$1:$AAQ$1)),IF(IFERROR(ISNUMBER(VALUE(SUBSTITUTE($BE154:$AAQ154,"B",""))),FALSE),IF(ISNUMBER(VALUE(SUBSTITUTE($BE154:$AAQ154,"B",""))),1,0),0)))</f>
        <v>0</v>
      </c>
      <c r="AP154" t="s">
        <v>137</v>
      </c>
      <c r="AS154" t="s">
        <v>396</v>
      </c>
      <c r="JZ154" s="27" t="str">
        <f t="shared" si="172"/>
        <v>XT55</v>
      </c>
      <c r="KC154" t="str">
        <f t="shared" si="173"/>
        <v>F0-AI19-7B</v>
      </c>
      <c r="KD154" t="str">
        <f t="shared" si="174"/>
        <v>F0-AI19-8B</v>
      </c>
      <c r="KI154">
        <f t="array" ref="KI154">IF(COUNTIFS($U$2:$U154,$U154)=1,1,INDEX(KI:KI,_xlfn.XMATCH(U154,U$1:U153,0,-1))+COUNT(KI153:KM153))</f>
        <v>303</v>
      </c>
      <c r="KJ154">
        <f t="shared" si="175"/>
        <v>304</v>
      </c>
      <c r="KK154">
        <f t="shared" si="176"/>
        <v>305</v>
      </c>
      <c r="KN154">
        <v>1</v>
      </c>
      <c r="KO154" s="16">
        <v>2</v>
      </c>
      <c r="KS154" s="16"/>
    </row>
    <row r="155" spans="1:305" x14ac:dyDescent="0.25">
      <c r="A155" s="83" t="s">
        <v>785</v>
      </c>
      <c r="B155" s="83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A3.19</v>
      </c>
      <c r="Y155" s="43">
        <f t="array" ref="Y155">IF(COUNTIFS($X$2:$X155,$X155)=1,"1",VALUE(SUBSTITUTE(INDEX(Y:Y,_xlfn.XMATCH($X155,$X$1:$X154,0,-1)),"A",""))+INDEX(Z:Z,_xlfn.XMATCH($X155,$X$1:$X154,0,-1))+1)</f>
        <v>5</v>
      </c>
      <c r="Z155" s="43">
        <f t="array" ref="Z155">SUM(IF(ISNUMBER(FIND("TmAi",$BE$1:$AAQ$1)),IF(IFERROR(ISODD(SUBSTITUTE($BE155:$AAQ155,"A","")),FALSE),IF(ISODD(SUBSTITUTE($BE155:$AAQ155,"A","")),1,0),0)))</f>
        <v>0</v>
      </c>
      <c r="AA155" t="str">
        <f t="shared" si="177"/>
        <v>9B</v>
      </c>
      <c r="AB155" t="str">
        <f t="shared" si="178"/>
        <v>10B</v>
      </c>
      <c r="AD155" s="46"/>
      <c r="AE155" s="46">
        <f t="array" ref="AE155">SUM(IF(ISNUMBER(FIND("TmDi",$BE$1:$AAQ$1)),IF(IFERROR(ISNUMBER(VALUE(SUBSTITUTE($BE155:$AAQ155,"B",""))),FALSE),IF(ISNUMBER(VALUE(SUBSTITUTE($BE155:$AAQ155,"B",""))),1,0),0)))</f>
        <v>0</v>
      </c>
      <c r="AP155" t="s">
        <v>137</v>
      </c>
      <c r="AS155" t="s">
        <v>396</v>
      </c>
      <c r="JZ155" s="27" t="str">
        <f t="shared" si="172"/>
        <v>XT55</v>
      </c>
      <c r="KC155" t="str">
        <f t="shared" si="173"/>
        <v>F0-AI19-9B</v>
      </c>
      <c r="KD155" t="str">
        <f t="shared" si="174"/>
        <v>F0-AI19-10B</v>
      </c>
      <c r="KI155">
        <f t="array" ref="KI155">IF(COUNTIFS($U$2:$U155,$U155)=1,1,INDEX(KI:KI,_xlfn.XMATCH(U155,U$1:U154,0,-1))+COUNT(KI154:KM154))</f>
        <v>306</v>
      </c>
      <c r="KJ155">
        <f t="shared" si="175"/>
        <v>307</v>
      </c>
      <c r="KK155">
        <f t="shared" si="176"/>
        <v>308</v>
      </c>
      <c r="KN155">
        <v>1</v>
      </c>
      <c r="KO155" s="16">
        <v>2</v>
      </c>
      <c r="KS155" s="16"/>
    </row>
    <row r="156" spans="1:305" x14ac:dyDescent="0.25">
      <c r="A156" s="83" t="s">
        <v>786</v>
      </c>
      <c r="B156" s="85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A3.19</v>
      </c>
      <c r="Y156" s="43">
        <f t="array" ref="Y156">IF(COUNTIFS($X$2:$X156,$X156)=1,"1",VALUE(SUBSTITUTE(INDEX(Y:Y,_xlfn.XMATCH($X156,$X$1:$X155,0,-1)),"A",""))+INDEX(Z:Z,_xlfn.XMATCH($X156,$X$1:$X155,0,-1))+1)</f>
        <v>6</v>
      </c>
      <c r="Z156" s="43">
        <f t="array" ref="Z156">SUM(IF(ISNUMBER(FIND("TmAi",$BE$1:$AAQ$1)),IF(IFERROR(ISODD(SUBSTITUTE($BE156:$AAQ156,"A","")),FALSE),IF(ISODD(SUBSTITUTE($BE156:$AAQ156,"A","")),1,0),0)))</f>
        <v>0</v>
      </c>
      <c r="AA156" t="str">
        <f t="shared" si="177"/>
        <v>11B</v>
      </c>
      <c r="AB156" t="str">
        <f t="shared" si="178"/>
        <v>12B</v>
      </c>
      <c r="AD156" s="46"/>
      <c r="AE156" s="46">
        <f t="array" ref="AE156">SUM(IF(ISNUMBER(FIND("TmDi",$BE$1:$AAQ$1)),IF(IFERROR(ISNUMBER(VALUE(SUBSTITUTE($BE156:$AAQ156,"B",""))),FALSE),IF(ISNUMBER(VALUE(SUBSTITUTE($BE156:$AAQ156,"B",""))),1,0),0)))</f>
        <v>0</v>
      </c>
      <c r="AP156" t="s">
        <v>137</v>
      </c>
      <c r="AS156" t="s">
        <v>396</v>
      </c>
      <c r="JZ156" s="27" t="str">
        <f t="shared" si="172"/>
        <v>XT55</v>
      </c>
      <c r="KC156" t="str">
        <f t="shared" si="173"/>
        <v>F0-AI19-11B</v>
      </c>
      <c r="KD156" t="str">
        <f t="shared" si="174"/>
        <v>F0-AI19-12B</v>
      </c>
      <c r="KI156">
        <f t="array" ref="KI156">IF(COUNTIFS($U$2:$U156,$U156)=1,1,INDEX(KI:KI,_xlfn.XMATCH(U156,U$1:U155,0,-1))+COUNT(KI155:KM155))</f>
        <v>309</v>
      </c>
      <c r="KJ156">
        <f t="shared" si="175"/>
        <v>310</v>
      </c>
      <c r="KK156">
        <f t="shared" si="176"/>
        <v>311</v>
      </c>
      <c r="KN156">
        <v>1</v>
      </c>
      <c r="KO156" s="16">
        <v>2</v>
      </c>
      <c r="KS156" s="16"/>
    </row>
    <row r="157" spans="1:305" x14ac:dyDescent="0.25">
      <c r="A157" s="83" t="s">
        <v>787</v>
      </c>
      <c r="B157" s="83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A3.19</v>
      </c>
      <c r="Y157" s="43">
        <f t="array" ref="Y157">IF(COUNTIFS($X$2:$X157,$X157)=1,"1",VALUE(SUBSTITUTE(INDEX(Y:Y,_xlfn.XMATCH($X157,$X$1:$X156,0,-1)),"A",""))+INDEX(Z:Z,_xlfn.XMATCH($X157,$X$1:$X156,0,-1))+1)</f>
        <v>7</v>
      </c>
      <c r="Z157" s="43">
        <f t="array" ref="Z157">SUM(IF(ISNUMBER(FIND("TmAi",$BE$1:$AAQ$1)),IF(IFERROR(ISODD(SUBSTITUTE($BE157:$AAQ157,"A","")),FALSE),IF(ISODD(SUBSTITUTE($BE157:$AAQ157,"A","")),1,0),0)))</f>
        <v>0</v>
      </c>
      <c r="AA157" t="str">
        <f t="shared" si="177"/>
        <v>13B</v>
      </c>
      <c r="AB157" t="str">
        <f t="shared" si="178"/>
        <v>14B</v>
      </c>
      <c r="AD157" s="46"/>
      <c r="AE157" s="46">
        <f t="array" ref="AE157">SUM(IF(ISNUMBER(FIND("TmDi",$BE$1:$AAQ$1)),IF(IFERROR(ISNUMBER(VALUE(SUBSTITUTE($BE157:$AAQ157,"B",""))),FALSE),IF(ISNUMBER(VALUE(SUBSTITUTE($BE157:$AAQ157,"B",""))),1,0),0)))</f>
        <v>0</v>
      </c>
      <c r="AP157" t="s">
        <v>137</v>
      </c>
      <c r="AS157" t="s">
        <v>396</v>
      </c>
      <c r="JZ157" s="27" t="str">
        <f t="shared" si="172"/>
        <v>XT55</v>
      </c>
      <c r="KC157" t="str">
        <f t="shared" si="173"/>
        <v>F0-AI19-13B</v>
      </c>
      <c r="KD157" t="str">
        <f t="shared" si="174"/>
        <v>F0-AI19-14B</v>
      </c>
      <c r="KI157">
        <f t="array" ref="KI157">IF(COUNTIFS($U$2:$U157,$U157)=1,1,INDEX(KI:KI,_xlfn.XMATCH(U157,U$1:U156,0,-1))+COUNT(KI156:KM156))</f>
        <v>312</v>
      </c>
      <c r="KJ157">
        <f t="shared" si="175"/>
        <v>313</v>
      </c>
      <c r="KK157">
        <f t="shared" si="176"/>
        <v>314</v>
      </c>
      <c r="KN157">
        <v>1</v>
      </c>
      <c r="KO157" s="16">
        <v>2</v>
      </c>
      <c r="KS157" s="16"/>
    </row>
    <row r="158" spans="1:305" x14ac:dyDescent="0.25">
      <c r="A158" s="83" t="s">
        <v>788</v>
      </c>
      <c r="B158" s="85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A3.19</v>
      </c>
      <c r="Y158" s="43">
        <f t="array" ref="Y158">IF(COUNTIFS($X$2:$X158,$X158)=1,"1",VALUE(SUBSTITUTE(INDEX(Y:Y,_xlfn.XMATCH($X158,$X$1:$X157,0,-1)),"A",""))+INDEX(Z:Z,_xlfn.XMATCH($X158,$X$1:$X157,0,-1))+1)</f>
        <v>8</v>
      </c>
      <c r="Z158" s="43">
        <f t="array" ref="Z158">SUM(IF(ISNUMBER(FIND("TmAi",$BE$1:$AAQ$1)),IF(IFERROR(ISODD(SUBSTITUTE($BE158:$AAQ158,"A","")),FALSE),IF(ISODD(SUBSTITUTE($BE158:$AAQ158,"A","")),1,0),0)))</f>
        <v>0</v>
      </c>
      <c r="AA158" t="str">
        <f t="shared" si="177"/>
        <v>15B</v>
      </c>
      <c r="AB158" t="str">
        <f t="shared" si="178"/>
        <v>16B</v>
      </c>
      <c r="AD158" s="46"/>
      <c r="AE158" s="46">
        <f t="array" ref="AE158">SUM(IF(ISNUMBER(FIND("TmDi",$BE$1:$AAQ$1)),IF(IFERROR(ISNUMBER(VALUE(SUBSTITUTE($BE158:$AAQ158,"B",""))),FALSE),IF(ISNUMBER(VALUE(SUBSTITUTE($BE158:$AAQ158,"B",""))),1,0),0)))</f>
        <v>0</v>
      </c>
      <c r="AP158" t="s">
        <v>137</v>
      </c>
      <c r="AS158" t="s">
        <v>396</v>
      </c>
      <c r="JZ158" s="27" t="str">
        <f t="shared" si="172"/>
        <v>XT55</v>
      </c>
      <c r="KC158" t="str">
        <f t="shared" si="173"/>
        <v>F0-AI19-15B</v>
      </c>
      <c r="KD158" t="str">
        <f t="shared" si="174"/>
        <v>F0-AI19-16B</v>
      </c>
      <c r="KI158">
        <f t="array" ref="KI158">IF(COUNTIFS($U$2:$U158,$U158)=1,1,INDEX(KI:KI,_xlfn.XMATCH(U158,U$1:U157,0,-1))+COUNT(KI157:KM157))</f>
        <v>315</v>
      </c>
      <c r="KJ158">
        <f t="shared" si="175"/>
        <v>316</v>
      </c>
      <c r="KK158">
        <f t="shared" si="176"/>
        <v>317</v>
      </c>
      <c r="KN158">
        <v>1</v>
      </c>
      <c r="KO158" s="16">
        <v>2</v>
      </c>
      <c r="KS158" s="16"/>
    </row>
    <row r="159" spans="1:305" x14ac:dyDescent="0.25">
      <c r="A159" s="83" t="s">
        <v>818</v>
      </c>
      <c r="B159" s="87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">
        <v>917</v>
      </c>
      <c r="Y159" s="43">
        <f t="array" ref="Y159">IF(COUNTIFS($X$2:$X159,$X159)=1,"1",VALUE(SUBSTITUTE(INDEX(Y:Y,_xlfn.XMATCH($X159,$X$1:$X158,0,-1)),"A",""))+INDEX(Z:Z,_xlfn.XMATCH($X159,$X$1:$X158,0,-1))+1)</f>
        <v>3</v>
      </c>
      <c r="Z159" s="43">
        <f t="array" ref="Z159">SUM(IF(ISNUMBER(FIND("TmAi",$BE$1:$AAQ$1)),IF(IFERROR(ISODD(SUBSTITUTE($BE159:$AAQ159,"A","")),FALSE),IF(ISODD(SUBSTITUTE($BE159:$AAQ159,"A","")),1,0),0)))</f>
        <v>0</v>
      </c>
      <c r="AA159" t="str">
        <f t="shared" si="177"/>
        <v>5B</v>
      </c>
      <c r="AB159" t="str">
        <f t="shared" si="178"/>
        <v>6B</v>
      </c>
      <c r="AD159" s="46"/>
      <c r="AE159" s="46">
        <f t="array" ref="AE159">SUM(IF(ISNUMBER(FIND("TmDi",$BE$1:$AAQ$1)),IF(IFERROR(ISNUMBER(VALUE(SUBSTITUTE($BE159:$AAQ159,"B",""))),FALSE),IF(ISNUMBER(VALUE(SUBSTITUTE($BE159:$AAQ159,"B",""))),1,0),0)))</f>
        <v>0</v>
      </c>
      <c r="AP159" t="s">
        <v>137</v>
      </c>
      <c r="AS159" t="s">
        <v>396</v>
      </c>
      <c r="JZ159" s="27" t="str">
        <f t="shared" si="172"/>
        <v>XT55</v>
      </c>
      <c r="KC159" t="str">
        <f t="shared" si="173"/>
        <v>F0-AI17-5B</v>
      </c>
      <c r="KD159" t="str">
        <f t="shared" si="174"/>
        <v>F0-AI17-6B</v>
      </c>
      <c r="KI159">
        <f t="array" ref="KI159">IF(COUNTIFS($U$2:$U159,$U159)=1,1,INDEX(KI:KI,_xlfn.XMATCH(U159,U$1:U158,0,-1))+COUNT(KI158:KM158))</f>
        <v>318</v>
      </c>
      <c r="KJ159">
        <f t="shared" si="175"/>
        <v>319</v>
      </c>
      <c r="KK159">
        <f t="shared" si="176"/>
        <v>320</v>
      </c>
      <c r="KN159">
        <v>1</v>
      </c>
      <c r="KO159" s="16">
        <v>2</v>
      </c>
      <c r="KS159" s="16"/>
    </row>
    <row r="160" spans="1:305" x14ac:dyDescent="0.25">
      <c r="A160" s="83" t="s">
        <v>820</v>
      </c>
      <c r="B160" s="87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A3.17</v>
      </c>
      <c r="Y160" s="43">
        <f t="array" ref="Y160">IF(COUNTIFS($X$2:$X160,$X160)=1,"1",VALUE(SUBSTITUTE(INDEX(Y:Y,_xlfn.XMATCH($X160,$X$1:$X159,0,-1)),"A",""))+INDEX(Z:Z,_xlfn.XMATCH($X160,$X$1:$X159,0,-1))+1)</f>
        <v>4</v>
      </c>
      <c r="Z160" s="43">
        <f t="array" ref="Z160">SUM(IF(ISNUMBER(FIND("TmAi",$BE$1:$AAQ$1)),IF(IFERROR(ISODD(SUBSTITUTE($BE160:$AAQ160,"A","")),FALSE),IF(ISODD(SUBSTITUTE($BE160:$AAQ160,"A","")),1,0),0)))</f>
        <v>0</v>
      </c>
      <c r="AA160" t="str">
        <f t="shared" si="177"/>
        <v>7B</v>
      </c>
      <c r="AB160" t="str">
        <f t="shared" si="178"/>
        <v>8B</v>
      </c>
      <c r="AD160" s="46"/>
      <c r="AE160" s="46">
        <f t="array" ref="AE160">SUM(IF(ISNUMBER(FIND("TmDi",$BE$1:$AAQ$1)),IF(IFERROR(ISNUMBER(VALUE(SUBSTITUTE($BE160:$AAQ160,"B",""))),FALSE),IF(ISNUMBER(VALUE(SUBSTITUTE($BE160:$AAQ160,"B",""))),1,0),0)))</f>
        <v>0</v>
      </c>
      <c r="AP160" t="s">
        <v>137</v>
      </c>
      <c r="AS160" t="s">
        <v>396</v>
      </c>
      <c r="JZ160" s="27" t="str">
        <f t="shared" si="172"/>
        <v>XT55</v>
      </c>
      <c r="KC160" t="str">
        <f t="shared" si="173"/>
        <v>F0-AI17-7B</v>
      </c>
      <c r="KD160" t="str">
        <f t="shared" si="174"/>
        <v>F0-AI17-8B</v>
      </c>
      <c r="KI160">
        <f t="array" ref="KI160">IF(COUNTIFS($U$2:$U160,$U160)=1,1,INDEX(KI:KI,_xlfn.XMATCH(U160,U$1:U159,0,-1))+COUNT(KI159:KM159))</f>
        <v>321</v>
      </c>
      <c r="KJ160">
        <f t="shared" si="175"/>
        <v>322</v>
      </c>
      <c r="KK160">
        <f t="shared" si="176"/>
        <v>323</v>
      </c>
      <c r="KN160">
        <v>1</v>
      </c>
      <c r="KO160" s="16">
        <v>2</v>
      </c>
      <c r="KS160" s="16"/>
    </row>
    <row r="161" spans="1:335" x14ac:dyDescent="0.25">
      <c r="A161" s="83" t="s">
        <v>822</v>
      </c>
      <c r="B161" s="83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A3.17</v>
      </c>
      <c r="Y161" s="45">
        <f t="array" ref="Y161">IF(COUNTIFS($X$2:$X161,$X161)=1,"1",VALUE(SUBSTITUTE(INDEX(Y:Y,_xlfn.XMATCH($X161,$X$1:$X160,0,-1)),"A",""))+INDEX(Z:Z,_xlfn.XMATCH($X161,$X$1:$X160,0,-1))+1)</f>
        <v>5</v>
      </c>
      <c r="Z161" s="43">
        <f t="array" ref="Z161">SUM(IF(ISNUMBER(FIND("TmAi",$BE$1:$AAQ$1)),IF(IFERROR(ISODD(SUBSTITUTE($BE161:$AAQ161,"A","")),FALSE),IF(ISODD(SUBSTITUTE($BE161:$AAQ161,"A","")),1,0),0)))</f>
        <v>0</v>
      </c>
      <c r="AA161" t="str">
        <f t="shared" si="177"/>
        <v>9B</v>
      </c>
      <c r="AB161" t="str">
        <f t="shared" si="178"/>
        <v>10B</v>
      </c>
      <c r="AD161" s="46"/>
      <c r="AE161" s="46">
        <f t="array" ref="AE161">SUM(IF(ISNUMBER(FIND("TmDi",$BE$1:$AAQ$1)),IF(IFERROR(ISNUMBER(VALUE(SUBSTITUTE($BE161:$AAQ161,"B",""))),FALSE),IF(ISNUMBER(VALUE(SUBSTITUTE($BE161:$AAQ161,"B",""))),1,0),0)))</f>
        <v>0</v>
      </c>
      <c r="AP161" t="s">
        <v>137</v>
      </c>
      <c r="AS161" t="s">
        <v>396</v>
      </c>
      <c r="JZ161" s="27" t="str">
        <f t="shared" si="172"/>
        <v>XT55</v>
      </c>
      <c r="KC161" t="str">
        <f t="shared" si="173"/>
        <v>F0-AI17-9B</v>
      </c>
      <c r="KD161" t="str">
        <f t="shared" si="174"/>
        <v>F0-AI17-10B</v>
      </c>
      <c r="KI161">
        <f t="array" ref="KI161">IF(COUNTIFS($U$2:$U161,$U161)=1,1,INDEX(KI:KI,_xlfn.XMATCH(U161,U$1:U160,0,-1))+COUNT(KI160:KM160))</f>
        <v>324</v>
      </c>
      <c r="KJ161">
        <f t="shared" si="175"/>
        <v>325</v>
      </c>
      <c r="KK161">
        <f t="shared" si="176"/>
        <v>326</v>
      </c>
      <c r="KN161">
        <v>1</v>
      </c>
      <c r="KO161" s="16">
        <v>2</v>
      </c>
      <c r="KS161" s="16"/>
    </row>
    <row r="162" spans="1:335" x14ac:dyDescent="0.25">
      <c r="A162" s="83" t="s">
        <v>824</v>
      </c>
      <c r="B162" s="83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A3.17</v>
      </c>
      <c r="Y162" s="43">
        <f t="array" ref="Y162">IF(COUNTIFS($X$2:$X162,$X162)=1,"1",VALUE(SUBSTITUTE(INDEX(Y:Y,_xlfn.XMATCH($X162,$X$1:$X161,0,-1)),"A",""))+INDEX(Z:Z,_xlfn.XMATCH($X162,$X$1:$X161,0,-1))+1)</f>
        <v>6</v>
      </c>
      <c r="Z162" s="46">
        <f t="array" ref="Z162">SUM(IF(ISNUMBER(FIND("TmAi",$BE$1:$AAQ$1)),IF(IFERROR(ISODD(SUBSTITUTE($BE162:$AAQ162,"A","")),FALSE),IF(ISODD(SUBSTITUTE($BE162:$AAQ162,"A","")),1,0),0)))</f>
        <v>0</v>
      </c>
      <c r="AA162" t="str">
        <f t="shared" si="177"/>
        <v>11B</v>
      </c>
      <c r="AB162" t="str">
        <f t="shared" si="178"/>
        <v>12B</v>
      </c>
      <c r="AD162" s="46"/>
      <c r="AE162" s="46">
        <f t="array" ref="AE162">SUM(IF(ISNUMBER(FIND("TmDi",$BE$1:$AAQ$1)),IF(IFERROR(ISNUMBER(VALUE(SUBSTITUTE($BE162:$AAQ162,"B",""))),FALSE),IF(ISNUMBER(VALUE(SUBSTITUTE($BE162:$AAQ162,"B",""))),1,0),0)))</f>
        <v>0</v>
      </c>
      <c r="AP162" t="s">
        <v>137</v>
      </c>
      <c r="AS162" t="s">
        <v>396</v>
      </c>
      <c r="JZ162" s="27" t="str">
        <f t="shared" si="172"/>
        <v>XT55</v>
      </c>
      <c r="KC162" t="str">
        <f t="shared" si="173"/>
        <v>F0-AI17-11B</v>
      </c>
      <c r="KD162" t="str">
        <f t="shared" si="174"/>
        <v>F0-AI17-12B</v>
      </c>
      <c r="KI162">
        <f t="array" ref="KI162">IF(COUNTIFS($U$2:$U162,$U162)=1,1,INDEX(KI:KI,_xlfn.XMATCH(U162,U$1:U161,0,-1))+COUNT(KI161:KM161))</f>
        <v>327</v>
      </c>
      <c r="KJ162">
        <f t="shared" si="175"/>
        <v>328</v>
      </c>
      <c r="KK162">
        <f t="shared" si="176"/>
        <v>329</v>
      </c>
      <c r="KN162">
        <v>1</v>
      </c>
      <c r="KO162" s="16">
        <v>2</v>
      </c>
      <c r="KS162" s="16"/>
    </row>
    <row r="163" spans="1:335" x14ac:dyDescent="0.25">
      <c r="A163" s="83" t="s">
        <v>826</v>
      </c>
      <c r="B163" s="8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A3.17</v>
      </c>
      <c r="Y163" s="43">
        <f t="array" ref="Y163">IF(COUNTIFS($X$2:$X163,$X163)=1,"1",VALUE(SUBSTITUTE(INDEX(Y:Y,_xlfn.XMATCH($X163,$X$1:$X162,0,-1)),"A",""))+INDEX(Z:Z,_xlfn.XMATCH($X163,$X$1:$X162,0,-1))+1)</f>
        <v>7</v>
      </c>
      <c r="Z163" s="46">
        <f t="array" ref="Z163">SUM(IF(ISNUMBER(FIND("TmAi",$BE$1:$AAQ$1)),IF(IFERROR(ISODD(SUBSTITUTE($BE163:$AAQ163,"A","")),FALSE),IF(ISODD(SUBSTITUTE($BE163:$AAQ163,"A","")),1,0),0)))</f>
        <v>0</v>
      </c>
      <c r="AA163" t="str">
        <f t="shared" si="177"/>
        <v>13B</v>
      </c>
      <c r="AB163" t="str">
        <f t="shared" si="178"/>
        <v>14B</v>
      </c>
      <c r="AD163" s="46"/>
      <c r="AE163" s="46">
        <f t="array" ref="AE163">SUM(IF(ISNUMBER(FIND("TmDi",$BE$1:$AAQ$1)),IF(IFERROR(ISNUMBER(VALUE(SUBSTITUTE($BE163:$AAQ163,"B",""))),FALSE),IF(ISNUMBER(VALUE(SUBSTITUTE($BE163:$AAQ163,"B",""))),1,0),0)))</f>
        <v>0</v>
      </c>
      <c r="AP163" t="s">
        <v>137</v>
      </c>
      <c r="AS163" t="s">
        <v>396</v>
      </c>
      <c r="JZ163" s="27" t="str">
        <f t="shared" si="172"/>
        <v>XT55</v>
      </c>
      <c r="KC163" t="str">
        <f t="shared" si="173"/>
        <v>F0-AI17-13B</v>
      </c>
      <c r="KD163" t="str">
        <f t="shared" si="174"/>
        <v>F0-AI17-14B</v>
      </c>
      <c r="KI163">
        <f t="array" ref="KI163">IF(COUNTIFS($U$2:$U163,$U163)=1,1,INDEX(KI:KI,_xlfn.XMATCH(U163,U$1:U162,0,-1))+COUNT(KI162:KM162))</f>
        <v>330</v>
      </c>
      <c r="KJ163">
        <f t="shared" si="175"/>
        <v>331</v>
      </c>
      <c r="KK163">
        <f t="shared" si="176"/>
        <v>332</v>
      </c>
      <c r="KN163">
        <v>1</v>
      </c>
      <c r="KO163" s="16">
        <v>2</v>
      </c>
      <c r="KS163" s="16"/>
    </row>
    <row r="164" spans="1:335" x14ac:dyDescent="0.25">
      <c r="A164" s="83" t="s">
        <v>828</v>
      </c>
      <c r="B164" s="85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A3.17</v>
      </c>
      <c r="Y164" s="43">
        <f t="array" ref="Y164">IF(COUNTIFS($X$2:$X164,$X164)=1,"1",VALUE(SUBSTITUTE(INDEX(Y:Y,_xlfn.XMATCH($X164,$X$1:$X163,0,-1)),"A",""))+INDEX(Z:Z,_xlfn.XMATCH($X164,$X$1:$X163,0,-1))+1)</f>
        <v>8</v>
      </c>
      <c r="Z164" s="46">
        <f t="array" ref="Z164">SUM(IF(ISNUMBER(FIND("TmAi",$BE$1:$AAQ$1)),IF(IFERROR(ISODD(SUBSTITUTE($BE164:$AAQ164,"A","")),FALSE),IF(ISODD(SUBSTITUTE($BE164:$AAQ164,"A","")),1,0),0)))</f>
        <v>0</v>
      </c>
      <c r="AA164" t="str">
        <f t="shared" si="177"/>
        <v>15B</v>
      </c>
      <c r="AB164" t="str">
        <f t="shared" si="178"/>
        <v>16B</v>
      </c>
      <c r="AD164" s="46"/>
      <c r="AE164" s="46">
        <f t="array" ref="AE164">SUM(IF(ISNUMBER(FIND("TmDi",$BE$1:$AAQ$1)),IF(IFERROR(ISNUMBER(VALUE(SUBSTITUTE($BE164:$AAQ164,"B",""))),FALSE),IF(ISNUMBER(VALUE(SUBSTITUTE($BE164:$AAQ164,"B",""))),1,0),0)))</f>
        <v>0</v>
      </c>
      <c r="AP164" t="s">
        <v>137</v>
      </c>
      <c r="AS164" t="s">
        <v>396</v>
      </c>
      <c r="JZ164" s="27" t="str">
        <f t="shared" si="172"/>
        <v>XT55</v>
      </c>
      <c r="KC164" t="str">
        <f t="shared" si="173"/>
        <v>F0-AI17-15B</v>
      </c>
      <c r="KD164" t="str">
        <f t="shared" si="174"/>
        <v>F0-AI17-16B</v>
      </c>
      <c r="KI164">
        <f t="array" ref="KI164">IF(COUNTIFS($U$2:$U164,$U164)=1,1,INDEX(KI:KI,_xlfn.XMATCH(U164,U$1:U163,0,-1))+COUNT(KI163:KM163))</f>
        <v>333</v>
      </c>
      <c r="KJ164">
        <f t="shared" si="175"/>
        <v>334</v>
      </c>
      <c r="KK164">
        <f t="shared" si="176"/>
        <v>335</v>
      </c>
      <c r="KN164">
        <v>1</v>
      </c>
      <c r="KO164" s="16">
        <v>2</v>
      </c>
      <c r="KS164" s="16"/>
    </row>
    <row r="165" spans="1:335" x14ac:dyDescent="0.25">
      <c r="A165" s="83" t="s">
        <v>830</v>
      </c>
      <c r="B165" s="83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">
        <v>1148</v>
      </c>
      <c r="Y165" s="45" t="str">
        <f t="array" ref="Y165">IF(COUNTIFS($X$2:$X165,$X165)=1,"1",VALUE(SUBSTITUTE(INDEX(Y:Y,_xlfn.XMATCH($X165,$X$1:$X164,0,-1)),"A",""))+INDEX(Z:Z,_xlfn.XMATCH($X165,$X$1:$X164,0,-1))+1)</f>
        <v>1</v>
      </c>
      <c r="Z165" s="46">
        <f t="array" ref="Z165">SUM(IF(ISNUMBER(FIND("TmAi",$BE$1:$AAQ$1)),IF(IFERROR(ISODD(SUBSTITUTE($BE165:$AAQ165,"A","")),FALSE),IF(ISODD(SUBSTITUTE($BE165:$AAQ165,"A","")),1,0),0)))</f>
        <v>0</v>
      </c>
      <c r="AA165" t="str">
        <f t="shared" si="177"/>
        <v>1B</v>
      </c>
      <c r="AB165" t="str">
        <f t="shared" si="178"/>
        <v>2B</v>
      </c>
      <c r="AD165" s="46"/>
      <c r="AE165" s="46">
        <f t="array" ref="AE165">SUM(IF(ISNUMBER(FIND("TmDi",$BE$1:$AAQ$1)),IF(IFERROR(ISNUMBER(VALUE(SUBSTITUTE($BE165:$AAQ165,"B",""))),FALSE),IF(ISNUMBER(VALUE(SUBSTITUTE($BE165:$AAQ165,"B",""))),1,0),0)))</f>
        <v>0</v>
      </c>
      <c r="AP165" t="s">
        <v>137</v>
      </c>
      <c r="AS165" t="s">
        <v>396</v>
      </c>
      <c r="JZ165" s="27" t="str">
        <f t="shared" si="172"/>
        <v>XT55</v>
      </c>
      <c r="KC165" t="str">
        <f t="shared" si="173"/>
        <v>F0-AI20-1B</v>
      </c>
      <c r="KD165" t="str">
        <f t="shared" si="174"/>
        <v>F0-AI20-2B</v>
      </c>
      <c r="KI165">
        <f t="array" ref="KI165">IF(COUNTIFS($U$2:$U165,$U165)=1,1,INDEX(KI:KI,_xlfn.XMATCH(U165,U$1:U164,0,-1))+COUNT(KI164:KM164))</f>
        <v>336</v>
      </c>
      <c r="KJ165">
        <f t="shared" si="175"/>
        <v>337</v>
      </c>
      <c r="KK165">
        <f t="shared" si="176"/>
        <v>338</v>
      </c>
      <c r="KN165">
        <v>1</v>
      </c>
      <c r="KO165" s="16">
        <v>2</v>
      </c>
      <c r="KS165" s="16"/>
    </row>
    <row r="166" spans="1:335" x14ac:dyDescent="0.25">
      <c r="A166" s="83" t="s">
        <v>832</v>
      </c>
      <c r="B166" s="83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1362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SUM(IF(ISNUMBER(FIND("TmAi",$BE$1:$AAQ$1)),IF(IFERROR(ISODD(SUBSTITUTE($BE166:$AAQ166,"A","")),FALSE),IF(ISODD(SUBSTITUTE($BE166:$AAQ166,"A","")),1,0),0)))</f>
        <v>0</v>
      </c>
      <c r="AA166" t="str">
        <f t="shared" ref="AA166:AA180" si="179">CONCATENATE($Y166*2-1,"A")</f>
        <v>5A</v>
      </c>
      <c r="AB166" t="str">
        <f t="shared" ref="AB166:AB180" si="180">CONCATENATE($Y166*2-1,"B")</f>
        <v>5B</v>
      </c>
      <c r="AD166" s="46"/>
      <c r="AE166" s="46">
        <f t="array" ref="AE166">SUM(IF(ISNUMBER(FIND("TmDi",$BE$1:$AAQ$1)),IF(IFERROR(ISNUMBER(VALUE(SUBSTITUTE($BE166:$AAQ166,"B",""))),FALSE),IF(ISNUMBER(VALUE(SUBSTITUTE($BE166:$AAQ166,"B",""))),1,0),0)))</f>
        <v>0</v>
      </c>
      <c r="AP166" t="s">
        <v>137</v>
      </c>
      <c r="AS166" t="s">
        <v>396</v>
      </c>
      <c r="JZ166" s="27" t="str">
        <f t="shared" si="172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73"/>
        <v>F0-AI38-5A</v>
      </c>
      <c r="KD166" t="str">
        <f t="shared" si="174"/>
        <v>F0-AI38-5B</v>
      </c>
      <c r="KE166" t="str">
        <f t="shared" ref="KE166:KF168" si="181">CONCATENATE($T166,"-AI",REPLACE($X166,1,3,""),"-",KA166)</f>
        <v>F0-AI38-6A</v>
      </c>
      <c r="KF166" t="str">
        <f t="shared" si="181"/>
        <v>F0-AI38-6B</v>
      </c>
      <c r="KI166">
        <f t="array" ref="KI166">IF(COUNTIFS($U$2:$U166,$U166)=1,1,INDEX(KI:KI,_xlfn.XMATCH(U166,U$1:U165,0,-1))+COUNT(KI165:KM165))</f>
        <v>339</v>
      </c>
      <c r="KJ166">
        <f t="shared" si="175"/>
        <v>340</v>
      </c>
      <c r="KK166">
        <f t="shared" si="176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5" x14ac:dyDescent="0.25">
      <c r="A167" s="83" t="s">
        <v>835</v>
      </c>
      <c r="B167" s="83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A3.38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SUM(IF(ISNUMBER(FIND("TmAi",$BE$1:$AAQ$1)),IF(IFERROR(ISODD(SUBSTITUTE($BE167:$AAQ167,"A","")),FALSE),IF(ISODD(SUBSTITUTE($BE167:$AAQ167,"A","")),1,0),0)))</f>
        <v>0</v>
      </c>
      <c r="AA167" t="str">
        <f t="shared" si="179"/>
        <v>7A</v>
      </c>
      <c r="AB167" t="str">
        <f t="shared" si="180"/>
        <v>7B</v>
      </c>
      <c r="AD167" s="46"/>
      <c r="AE167" s="46">
        <f t="array" ref="AE167">SUM(IF(ISNUMBER(FIND("TmDi",$BE$1:$AAQ$1)),IF(IFERROR(ISNUMBER(VALUE(SUBSTITUTE($BE167:$AAQ167,"B",""))),FALSE),IF(ISNUMBER(VALUE(SUBSTITUTE($BE167:$AAQ167,"B",""))),1,0),0)))</f>
        <v>0</v>
      </c>
      <c r="AP167" t="s">
        <v>137</v>
      </c>
      <c r="AS167" t="s">
        <v>396</v>
      </c>
      <c r="JZ167" s="27" t="str">
        <f t="shared" si="172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73"/>
        <v>F0-AI38-7A</v>
      </c>
      <c r="KD167" t="str">
        <f t="shared" si="174"/>
        <v>F0-AI38-7B</v>
      </c>
      <c r="KE167" t="str">
        <f t="shared" si="181"/>
        <v>F0-AI38-8A</v>
      </c>
      <c r="KF167" t="str">
        <f t="shared" si="181"/>
        <v>F0-AI38-8B</v>
      </c>
      <c r="KI167">
        <f t="array" ref="KI167">IF(COUNTIFS($U$2:$U167,$U167)=1,1,INDEX(KI:KI,_xlfn.XMATCH(U167,U$1:U166,0,-1))+COUNT(KI166:KM166))</f>
        <v>343</v>
      </c>
      <c r="KJ167">
        <f t="shared" si="175"/>
        <v>344</v>
      </c>
      <c r="KK167">
        <f t="shared" si="176"/>
        <v>345</v>
      </c>
      <c r="KL167">
        <f>KK167+1</f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5" ht="15.75" thickBot="1" x14ac:dyDescent="0.3">
      <c r="A168" s="83" t="s">
        <v>837</v>
      </c>
      <c r="B168" s="85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A3.38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SUM(IF(ISNUMBER(FIND("TmAi",$BE$1:$AAQ$1)),IF(IFERROR(ISODD(SUBSTITUTE($BE168:$AAQ168,"A","")),FALSE),IF(ISODD(SUBSTITUTE($BE168:$AAQ168,"A","")),1,0),0)))</f>
        <v>0</v>
      </c>
      <c r="AA168" t="str">
        <f t="shared" si="179"/>
        <v>9A</v>
      </c>
      <c r="AB168" t="str">
        <f t="shared" si="180"/>
        <v>9B</v>
      </c>
      <c r="AD168" s="46"/>
      <c r="AE168" s="46">
        <f t="array" ref="AE168">SUM(IF(ISNUMBER(FIND("TmDi",$BE$1:$AAQ$1)),IF(IFERROR(ISNUMBER(VALUE(SUBSTITUTE($BE168:$AAQ168,"B",""))),FALSE),IF(ISNUMBER(VALUE(SUBSTITUTE($BE168:$AAQ168,"B",""))),1,0),0)))</f>
        <v>0</v>
      </c>
      <c r="AP168" t="s">
        <v>137</v>
      </c>
      <c r="AS168" t="s">
        <v>396</v>
      </c>
      <c r="JZ168" s="28" t="str">
        <f t="shared" si="172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73"/>
        <v>F0-AI38-9A</v>
      </c>
      <c r="KD168" s="19" t="str">
        <f t="shared" si="174"/>
        <v>F0-AI38-9B</v>
      </c>
      <c r="KE168" s="19" t="str">
        <f t="shared" si="181"/>
        <v>F0-AI38-10A</v>
      </c>
      <c r="KF168" s="19" t="str">
        <f t="shared" si="181"/>
        <v>F0-AI38-10B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75"/>
        <v>348</v>
      </c>
      <c r="KK168" s="19">
        <f t="shared" si="176"/>
        <v>349</v>
      </c>
      <c r="KL168" s="19">
        <f>KK168+1</f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5" ht="15.75" thickBot="1" x14ac:dyDescent="0.3">
      <c r="A169" s="83" t="s">
        <v>852</v>
      </c>
      <c r="B169" s="83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s="46" t="str">
        <f t="array" ref="AD169">IF(COUNTIFS(AC$2:AC169,AC169)=1,"1",VALUE(SUBSTITUTE(INDEX(AD:AD,_xlfn.XMATCH(AC169,AC$1:AC168,0,-1)),"A",""))+INDEX(AE:AE,_xlfn.XMATCH(AC169,AC$1:AC168,0,-1))+1)</f>
        <v>1</v>
      </c>
      <c r="AE169" s="46">
        <f t="array" ref="AE169">SUM(IF(ISNUMBER(FIND("TmDi",$BE$1:$AAQ$1)),IF(IFERROR(ISNUMBER(VALUE(SUBSTITUTE($BE169:$AAQ169,"B",""))),FALSE),IF(ISNUMBER(VALUE(SUBSTITUTE($BE169:$AAQ169,"B",""))),1,0),0)))</f>
        <v>0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tr">
        <f>CONCATENATE("DI",REPLACE($AC169,1,3,""),"-",$AG169)</f>
        <v>DI12-B1</v>
      </c>
      <c r="KW169" s="12" t="s">
        <v>865</v>
      </c>
      <c r="KX169" s="12" t="str">
        <f>CONCATENATE("K",$U169,"-01")</f>
        <v>K56-01</v>
      </c>
      <c r="KY169" s="12">
        <v>11</v>
      </c>
      <c r="KZ169" s="12">
        <v>14</v>
      </c>
      <c r="LA169" s="12" t="s">
        <v>142</v>
      </c>
      <c r="LB169" s="12" t="s">
        <v>143</v>
      </c>
      <c r="LC169" s="12" t="s">
        <v>488</v>
      </c>
      <c r="LD169" s="12" t="s">
        <v>487</v>
      </c>
      <c r="LE169" s="12" t="s">
        <v>414</v>
      </c>
      <c r="LF169" s="12" t="s">
        <v>413</v>
      </c>
      <c r="LG169" s="12">
        <f t="array" ref="LG169">IF(COUNTIFS($U$2:$U169,$U169)=1,1,INDEX(LG:LG,_xlfn.XMATCH(AW169,AW$1:AW168,0,-1))+COUNT(LG168:LK168))</f>
        <v>1</v>
      </c>
      <c r="LH169" s="12">
        <f>LG169+1</f>
        <v>2</v>
      </c>
      <c r="LI169" s="12">
        <f>LH169+1</f>
        <v>3</v>
      </c>
      <c r="LJ169" s="12" t="s">
        <v>547</v>
      </c>
      <c r="LK169" s="12" t="s">
        <v>548</v>
      </c>
      <c r="LL169" s="12">
        <v>1</v>
      </c>
      <c r="LM169" s="12">
        <v>2</v>
      </c>
      <c r="LN169" s="13">
        <v>3</v>
      </c>
    </row>
    <row r="170" spans="1:335" x14ac:dyDescent="0.25">
      <c r="A170" s="83" t="s">
        <v>868</v>
      </c>
      <c r="B170" s="83" t="s">
        <v>867</v>
      </c>
      <c r="P170" t="s">
        <v>869</v>
      </c>
      <c r="T170" s="14" t="s">
        <v>554</v>
      </c>
      <c r="U170">
        <v>57</v>
      </c>
      <c r="V170" t="s">
        <v>2968</v>
      </c>
      <c r="X170" t="s">
        <v>1148</v>
      </c>
      <c r="Y170" s="43">
        <f t="array" ref="Y170">IF(COUNTIFS($X$2:$X170,$X170)=1,"1",VALUE(SUBSTITUTE(INDEX(Y:Y,_xlfn.XMATCH($X170,$X$1:$X169,0,-1)),"A",""))+INDEX(Z:Z,_xlfn.XMATCH($X170,$X$1:$X169,0,-1))+1)</f>
        <v>2</v>
      </c>
      <c r="Z170" s="46">
        <f t="array" ref="Z170">SUM(IF(ISNUMBER(FIND("TmAi",$BE$1:$AAQ$1)),IF(IFERROR(ISODD(SUBSTITUTE($BE170:$AAQ170,"A","")),FALSE),IF(ISODD(SUBSTITUTE($BE170:$AAQ170,"A","")),1,0),0)))</f>
        <v>0</v>
      </c>
      <c r="AA170" t="str">
        <f t="shared" si="179"/>
        <v>3A</v>
      </c>
      <c r="AB170" t="str">
        <f t="shared" si="180"/>
        <v>3B</v>
      </c>
      <c r="AD170" s="46"/>
      <c r="AE170" s="46">
        <f t="array" ref="AE170">SUM(IF(ISNUMBER(FIND("TmDi",$BE$1:$AAQ$1)),IF(IFERROR(ISNUMBER(VALUE(SUBSTITUTE($BE170:$AAQ170,"B",""))),FALSE),IF(ISNUMBER(VALUE(SUBSTITUTE($BE170:$AAQ170,"B",""))),1,0),0)))</f>
        <v>0</v>
      </c>
      <c r="AP170" t="s">
        <v>137</v>
      </c>
      <c r="AQ170" t="s">
        <v>873</v>
      </c>
      <c r="AS170" t="s">
        <v>396</v>
      </c>
      <c r="KS170" s="16"/>
      <c r="LO170" s="25" t="str">
        <f t="shared" ref="LO170:LO176" si="182">CONCATENATE("XT",U170)</f>
        <v>XT57</v>
      </c>
      <c r="LP170" s="12" t="str">
        <f t="shared" ref="LP170:LP176" si="183">CONCATENATE(T170,"-AI",REPLACE($X170,1,3,""),"-",AA170)</f>
        <v>F0-AI20-3A</v>
      </c>
      <c r="LQ170" s="12" t="str">
        <f t="shared" ref="LQ170:LQ176" si="184">CONCATENATE(T170,"-AI",REPLACE($X170,1,3,""),"-",AB170)</f>
        <v>F0-AI20-3B</v>
      </c>
      <c r="LR170" s="12">
        <v>1</v>
      </c>
      <c r="LS170" s="12">
        <f>LR170+1</f>
        <v>2</v>
      </c>
      <c r="LT170" s="12">
        <f>LS170+1</f>
        <v>3</v>
      </c>
      <c r="LU170" s="12" t="s">
        <v>870</v>
      </c>
      <c r="LV170" s="12" t="s">
        <v>871</v>
      </c>
      <c r="LW170" s="13" t="s">
        <v>872</v>
      </c>
    </row>
    <row r="171" spans="1:335" x14ac:dyDescent="0.25">
      <c r="A171" s="83" t="s">
        <v>879</v>
      </c>
      <c r="B171" s="83" t="s">
        <v>878</v>
      </c>
      <c r="P171" t="s">
        <v>869</v>
      </c>
      <c r="T171" s="14" t="s">
        <v>554</v>
      </c>
      <c r="U171">
        <v>57</v>
      </c>
      <c r="V171" t="s">
        <v>2969</v>
      </c>
      <c r="X171" t="str">
        <f>IF(COUNTIF(X$1:X170,X170)&gt;7,REPLACE(X170,LEN(X170),1,VALUE(RIGHT(X170,1))+1),X170)</f>
        <v>A3.20</v>
      </c>
      <c r="Y171" s="43">
        <f t="array" ref="Y171">IF(COUNTIFS($X$2:$X171,$X171)=1,"1",VALUE(SUBSTITUTE(INDEX(Y:Y,_xlfn.XMATCH($X171,$X$1:$X170,0,-1)),"A",""))+INDEX(Z:Z,_xlfn.XMATCH($X171,$X$1:$X170,0,-1))+1)</f>
        <v>3</v>
      </c>
      <c r="Z171" s="46">
        <f t="array" ref="Z171">SUM(IF(ISNUMBER(FIND("TmAi",$BE$1:$AAQ$1)),IF(IFERROR(ISODD(SUBSTITUTE($BE171:$AAQ171,"A","")),FALSE),IF(ISODD(SUBSTITUTE($BE171:$AAQ171,"A","")),1,0),0)))</f>
        <v>0</v>
      </c>
      <c r="AA171" t="str">
        <f t="shared" si="179"/>
        <v>5A</v>
      </c>
      <c r="AB171" t="str">
        <f t="shared" si="180"/>
        <v>5B</v>
      </c>
      <c r="AD171" s="46"/>
      <c r="AE171" s="46">
        <f t="array" ref="AE171">SUM(IF(ISNUMBER(FIND("TmDi",$BE$1:$AAQ$1)),IF(IFERROR(ISNUMBER(VALUE(SUBSTITUTE($BE171:$AAQ171,"B",""))),FALSE),IF(ISNUMBER(VALUE(SUBSTITUTE($BE171:$AAQ171,"B",""))),1,0),0)))</f>
        <v>0</v>
      </c>
      <c r="AP171" t="s">
        <v>137</v>
      </c>
      <c r="AQ171" t="s">
        <v>873</v>
      </c>
      <c r="AS171" t="s">
        <v>396</v>
      </c>
      <c r="LO171" s="27" t="str">
        <f t="shared" si="182"/>
        <v>XT57</v>
      </c>
      <c r="LP171" t="str">
        <f t="shared" si="183"/>
        <v>F0-AI20-5A</v>
      </c>
      <c r="LQ171" t="str">
        <f t="shared" si="184"/>
        <v>F0-AI20-5B</v>
      </c>
      <c r="LR171">
        <f t="shared" ref="LR171:LR176" si="185">LR170+3</f>
        <v>4</v>
      </c>
      <c r="LS171">
        <f t="shared" ref="LS171:LS176" si="186">LR171+1</f>
        <v>5</v>
      </c>
      <c r="LT171">
        <f t="shared" ref="LT171:LT176" si="187">LS171+1</f>
        <v>6</v>
      </c>
      <c r="LU171" t="s">
        <v>892</v>
      </c>
      <c r="LV171" t="s">
        <v>871</v>
      </c>
      <c r="LW171" s="16" t="s">
        <v>872</v>
      </c>
    </row>
    <row r="172" spans="1:335" x14ac:dyDescent="0.25">
      <c r="A172" s="83" t="s">
        <v>881</v>
      </c>
      <c r="B172" s="83" t="s">
        <v>880</v>
      </c>
      <c r="P172" t="s">
        <v>869</v>
      </c>
      <c r="T172" s="14" t="s">
        <v>554</v>
      </c>
      <c r="U172">
        <v>57</v>
      </c>
      <c r="V172" t="s">
        <v>2970</v>
      </c>
      <c r="X172" t="str">
        <f>IF(COUNTIF(X$1:X171,X171)&gt;7,REPLACE(X171,LEN(X171),1,VALUE(RIGHT(X171,1))+1),X171)</f>
        <v>A3.20</v>
      </c>
      <c r="Y172" s="43">
        <f t="array" ref="Y172">IF(COUNTIFS($X$2:$X172,$X172)=1,"1",VALUE(SUBSTITUTE(INDEX(Y:Y,_xlfn.XMATCH($X172,$X$1:$X171,0,-1)),"A",""))+INDEX(Z:Z,_xlfn.XMATCH($X172,$X$1:$X171,0,-1))+1)</f>
        <v>4</v>
      </c>
      <c r="Z172" s="46">
        <f t="array" ref="Z172">SUM(IF(ISNUMBER(FIND("TmAi",$BE$1:$AAQ$1)),IF(IFERROR(ISODD(SUBSTITUTE($BE172:$AAQ172,"A","")),FALSE),IF(ISODD(SUBSTITUTE($BE172:$AAQ172,"A","")),1,0),0)))</f>
        <v>0</v>
      </c>
      <c r="AA172" t="str">
        <f t="shared" si="179"/>
        <v>7A</v>
      </c>
      <c r="AB172" t="str">
        <f t="shared" si="180"/>
        <v>7B</v>
      </c>
      <c r="AD172" s="46"/>
      <c r="AE172" s="46">
        <f t="array" ref="AE172">SUM(IF(ISNUMBER(FIND("TmDi",$BE$1:$AAQ$1)),IF(IFERROR(ISNUMBER(VALUE(SUBSTITUTE($BE172:$AAQ172,"B",""))),FALSE),IF(ISNUMBER(VALUE(SUBSTITUTE($BE172:$AAQ172,"B",""))),1,0),0)))</f>
        <v>0</v>
      </c>
      <c r="AP172" t="s">
        <v>137</v>
      </c>
      <c r="AQ172" t="s">
        <v>873</v>
      </c>
      <c r="AS172" t="s">
        <v>396</v>
      </c>
      <c r="LO172" s="27" t="str">
        <f t="shared" si="182"/>
        <v>XT57</v>
      </c>
      <c r="LP172" t="str">
        <f t="shared" si="183"/>
        <v>F0-AI20-7A</v>
      </c>
      <c r="LQ172" t="str">
        <f t="shared" si="184"/>
        <v>F0-AI20-7B</v>
      </c>
      <c r="LR172">
        <f t="shared" si="185"/>
        <v>7</v>
      </c>
      <c r="LS172">
        <f t="shared" si="186"/>
        <v>8</v>
      </c>
      <c r="LT172">
        <f t="shared" si="187"/>
        <v>9</v>
      </c>
      <c r="LU172" t="s">
        <v>893</v>
      </c>
      <c r="LV172" t="s">
        <v>871</v>
      </c>
      <c r="LW172" s="16" t="s">
        <v>872</v>
      </c>
    </row>
    <row r="173" spans="1:335" x14ac:dyDescent="0.25">
      <c r="A173" s="83" t="s">
        <v>883</v>
      </c>
      <c r="B173" s="83" t="s">
        <v>882</v>
      </c>
      <c r="P173" t="s">
        <v>869</v>
      </c>
      <c r="T173" s="14" t="s">
        <v>554</v>
      </c>
      <c r="U173">
        <v>57</v>
      </c>
      <c r="V173" t="s">
        <v>2971</v>
      </c>
      <c r="X173" s="33" t="str">
        <f>IF(COUNTIF(X$1:X172,X172)&gt;7,REPLACE(X172,LEN(X172),1,VALUE(RIGHT(X172,1))+1),X172)</f>
        <v>A3.20</v>
      </c>
      <c r="Y173" s="45">
        <f t="array" ref="Y173">IF(COUNTIFS($X$2:$X173,$X173)=1,"1",VALUE(SUBSTITUTE(INDEX(Y:Y,_xlfn.XMATCH($X173,$X$1:$X172,0,-1)),"A",""))+INDEX(Z:Z,_xlfn.XMATCH($X173,$X$1:$X172,0,-1))+1)</f>
        <v>5</v>
      </c>
      <c r="Z173" s="46">
        <f t="array" ref="Z173">SUM(IF(ISNUMBER(FIND("TmAi",$BE$1:$AAQ$1)),IF(IFERROR(ISODD(SUBSTITUTE($BE173:$AAQ173,"A","")),FALSE),IF(ISODD(SUBSTITUTE($BE173:$AAQ173,"A","")),1,0),0)))</f>
        <v>0</v>
      </c>
      <c r="AA173" t="str">
        <f t="shared" si="179"/>
        <v>9A</v>
      </c>
      <c r="AB173" t="str">
        <f t="shared" si="180"/>
        <v>9B</v>
      </c>
      <c r="AD173" s="46"/>
      <c r="AE173" s="46">
        <f t="array" ref="AE173">SUM(IF(ISNUMBER(FIND("TmDi",$BE$1:$AAQ$1)),IF(IFERROR(ISNUMBER(VALUE(SUBSTITUTE($BE173:$AAQ173,"B",""))),FALSE),IF(ISNUMBER(VALUE(SUBSTITUTE($BE173:$AAQ173,"B",""))),1,0),0)))</f>
        <v>0</v>
      </c>
      <c r="AP173" t="s">
        <v>137</v>
      </c>
      <c r="AQ173" t="s">
        <v>873</v>
      </c>
      <c r="AS173" t="s">
        <v>396</v>
      </c>
      <c r="LO173" s="27" t="str">
        <f t="shared" si="182"/>
        <v>XT57</v>
      </c>
      <c r="LP173" t="str">
        <f t="shared" si="183"/>
        <v>F0-AI20-9A</v>
      </c>
      <c r="LQ173" t="str">
        <f t="shared" si="184"/>
        <v>F0-AI20-9B</v>
      </c>
      <c r="LR173">
        <f t="shared" si="185"/>
        <v>10</v>
      </c>
      <c r="LS173">
        <f t="shared" si="186"/>
        <v>11</v>
      </c>
      <c r="LT173">
        <f t="shared" si="187"/>
        <v>12</v>
      </c>
      <c r="LU173" t="s">
        <v>894</v>
      </c>
      <c r="LV173" t="s">
        <v>871</v>
      </c>
      <c r="LW173" s="16" t="s">
        <v>872</v>
      </c>
    </row>
    <row r="174" spans="1:335" x14ac:dyDescent="0.25">
      <c r="A174" s="83" t="s">
        <v>885</v>
      </c>
      <c r="B174" s="83" t="s">
        <v>884</v>
      </c>
      <c r="P174" t="s">
        <v>869</v>
      </c>
      <c r="T174" s="14" t="s">
        <v>554</v>
      </c>
      <c r="U174">
        <v>57</v>
      </c>
      <c r="V174" t="s">
        <v>2972</v>
      </c>
      <c r="X174" t="str">
        <f>IF(COUNTIF(X$1:X173,X173)&gt;7,REPLACE(X173,LEN(X173),1,VALUE(RIGHT(X173,1))+1),X173)</f>
        <v>A3.20</v>
      </c>
      <c r="Y174" s="43">
        <f t="array" ref="Y174">IF(COUNTIFS($X$2:$X174,$X174)=1,"1",VALUE(SUBSTITUTE(INDEX(Y:Y,_xlfn.XMATCH($X174,$X$1:$X173,0,-1)),"A",""))+INDEX(Z:Z,_xlfn.XMATCH($X174,$X$1:$X173,0,-1))+1)</f>
        <v>6</v>
      </c>
      <c r="Z174" s="46">
        <f t="array" ref="Z174">SUM(IF(ISNUMBER(FIND("TmAi",$BE$1:$AAQ$1)),IF(IFERROR(ISODD(SUBSTITUTE($BE174:$AAQ174,"A","")),FALSE),IF(ISODD(SUBSTITUTE($BE174:$AAQ174,"A","")),1,0),0)))</f>
        <v>0</v>
      </c>
      <c r="AA174" t="str">
        <f t="shared" si="179"/>
        <v>11A</v>
      </c>
      <c r="AB174" t="str">
        <f t="shared" si="180"/>
        <v>11B</v>
      </c>
      <c r="AD174" s="46"/>
      <c r="AE174" s="46">
        <f t="array" ref="AE174">SUM(IF(ISNUMBER(FIND("TmDi",$BE$1:$AAQ$1)),IF(IFERROR(ISNUMBER(VALUE(SUBSTITUTE($BE174:$AAQ174,"B",""))),FALSE),IF(ISNUMBER(VALUE(SUBSTITUTE($BE174:$AAQ174,"B",""))),1,0),0)))</f>
        <v>0</v>
      </c>
      <c r="AP174" t="s">
        <v>137</v>
      </c>
      <c r="AQ174" t="s">
        <v>873</v>
      </c>
      <c r="AS174" t="s">
        <v>396</v>
      </c>
      <c r="LO174" s="27" t="str">
        <f t="shared" si="182"/>
        <v>XT57</v>
      </c>
      <c r="LP174" t="str">
        <f t="shared" si="183"/>
        <v>F0-AI20-11A</v>
      </c>
      <c r="LQ174" t="str">
        <f t="shared" si="184"/>
        <v>F0-AI20-11B</v>
      </c>
      <c r="LR174">
        <f t="shared" si="185"/>
        <v>13</v>
      </c>
      <c r="LS174">
        <f t="shared" si="186"/>
        <v>14</v>
      </c>
      <c r="LT174">
        <f t="shared" si="187"/>
        <v>15</v>
      </c>
      <c r="LU174" t="s">
        <v>895</v>
      </c>
      <c r="LV174" t="s">
        <v>871</v>
      </c>
      <c r="LW174" s="16" t="s">
        <v>872</v>
      </c>
    </row>
    <row r="175" spans="1:335" x14ac:dyDescent="0.25">
      <c r="A175" s="83" t="s">
        <v>889</v>
      </c>
      <c r="B175" s="83" t="s">
        <v>888</v>
      </c>
      <c r="P175" t="s">
        <v>869</v>
      </c>
      <c r="T175" s="14" t="s">
        <v>554</v>
      </c>
      <c r="U175">
        <v>57</v>
      </c>
      <c r="V175" t="s">
        <v>2973</v>
      </c>
      <c r="X175" t="str">
        <f>IF(COUNTIF(X$1:X174,X174)&gt;7,REPLACE(X174,LEN(X174),1,VALUE(RIGHT(X174,1))+1),X174)</f>
        <v>A3.20</v>
      </c>
      <c r="Y175" s="43">
        <f t="array" ref="Y175">IF(COUNTIFS($X$2:$X175,$X175)=1,"1",VALUE(SUBSTITUTE(INDEX(Y:Y,_xlfn.XMATCH($X175,$X$1:$X174,0,-1)),"A",""))+INDEX(Z:Z,_xlfn.XMATCH($X175,$X$1:$X174,0,-1))+1)</f>
        <v>7</v>
      </c>
      <c r="Z175" s="46">
        <f t="array" ref="Z175">SUM(IF(ISNUMBER(FIND("TmAi",$BE$1:$AAQ$1)),IF(IFERROR(ISODD(SUBSTITUTE($BE175:$AAQ175,"A","")),FALSE),IF(ISODD(SUBSTITUTE($BE175:$AAQ175,"A","")),1,0),0)))</f>
        <v>0</v>
      </c>
      <c r="AA175" t="str">
        <f t="shared" si="179"/>
        <v>13A</v>
      </c>
      <c r="AB175" t="str">
        <f t="shared" si="180"/>
        <v>13B</v>
      </c>
      <c r="AD175" s="46"/>
      <c r="AE175" s="46">
        <f t="array" ref="AE175">SUM(IF(ISNUMBER(FIND("TmDi",$BE$1:$AAQ$1)),IF(IFERROR(ISNUMBER(VALUE(SUBSTITUTE($BE175:$AAQ175,"B",""))),FALSE),IF(ISNUMBER(VALUE(SUBSTITUTE($BE175:$AAQ175,"B",""))),1,0),0)))</f>
        <v>0</v>
      </c>
      <c r="AP175" t="s">
        <v>137</v>
      </c>
      <c r="AQ175" t="s">
        <v>873</v>
      </c>
      <c r="AS175" t="s">
        <v>396</v>
      </c>
      <c r="LO175" s="27" t="str">
        <f t="shared" si="182"/>
        <v>XT57</v>
      </c>
      <c r="LP175" t="str">
        <f t="shared" si="183"/>
        <v>F0-AI20-13A</v>
      </c>
      <c r="LQ175" t="str">
        <f t="shared" si="184"/>
        <v>F0-AI20-13B</v>
      </c>
      <c r="LR175">
        <f t="shared" si="185"/>
        <v>16</v>
      </c>
      <c r="LS175">
        <f t="shared" si="186"/>
        <v>17</v>
      </c>
      <c r="LT175">
        <f t="shared" si="187"/>
        <v>18</v>
      </c>
      <c r="LU175" t="s">
        <v>896</v>
      </c>
      <c r="LV175" t="s">
        <v>871</v>
      </c>
      <c r="LW175" s="16" t="s">
        <v>872</v>
      </c>
    </row>
    <row r="176" spans="1:335" ht="15.75" thickBot="1" x14ac:dyDescent="0.3">
      <c r="A176" s="83" t="s">
        <v>891</v>
      </c>
      <c r="B176" s="85" t="s">
        <v>890</v>
      </c>
      <c r="P176" t="s">
        <v>869</v>
      </c>
      <c r="T176" s="14" t="s">
        <v>554</v>
      </c>
      <c r="U176">
        <v>57</v>
      </c>
      <c r="V176" t="s">
        <v>2974</v>
      </c>
      <c r="X176" t="str">
        <f>IF(COUNTIF(X$1:X175,X175)&gt;7,REPLACE(X175,LEN(X175),1,VALUE(RIGHT(X175,1))+1),X175)</f>
        <v>A3.20</v>
      </c>
      <c r="Y176" s="43">
        <f t="array" ref="Y176">IF(COUNTIFS($X$2:$X176,$X176)=1,"1",VALUE(SUBSTITUTE(INDEX(Y:Y,_xlfn.XMATCH($X176,$X$1:$X175,0,-1)),"A",""))+INDEX(Z:Z,_xlfn.XMATCH($X176,$X$1:$X175,0,-1))+1)</f>
        <v>8</v>
      </c>
      <c r="Z176" s="46">
        <f t="array" ref="Z176">SUM(IF(ISNUMBER(FIND("TmAi",$BE$1:$AAQ$1)),IF(IFERROR(ISODD(SUBSTITUTE($BE176:$AAQ176,"A","")),FALSE),IF(ISODD(SUBSTITUTE($BE176:$AAQ176,"A","")),1,0),0)))</f>
        <v>0</v>
      </c>
      <c r="AA176" t="str">
        <f t="shared" si="179"/>
        <v>15A</v>
      </c>
      <c r="AB176" t="str">
        <f t="shared" si="180"/>
        <v>15B</v>
      </c>
      <c r="AD176" s="46"/>
      <c r="AE176" s="46">
        <f t="array" ref="AE176">SUM(IF(ISNUMBER(FIND("TmDi",$BE$1:$AAQ$1)),IF(IFERROR(ISNUMBER(VALUE(SUBSTITUTE($BE176:$AAQ176,"B",""))),FALSE),IF(ISNUMBER(VALUE(SUBSTITUTE($BE176:$AAQ176,"B",""))),1,0),0)))</f>
        <v>0</v>
      </c>
      <c r="AP176" t="s">
        <v>137</v>
      </c>
      <c r="AQ176" t="s">
        <v>873</v>
      </c>
      <c r="AS176" t="s">
        <v>396</v>
      </c>
      <c r="LO176" s="27" t="str">
        <f t="shared" si="182"/>
        <v>XT57</v>
      </c>
      <c r="LP176" t="str">
        <f t="shared" si="183"/>
        <v>F0-AI20-15A</v>
      </c>
      <c r="LQ176" t="str">
        <f t="shared" si="184"/>
        <v>F0-AI20-15B</v>
      </c>
      <c r="LR176">
        <f t="shared" si="185"/>
        <v>19</v>
      </c>
      <c r="LS176">
        <f t="shared" si="186"/>
        <v>20</v>
      </c>
      <c r="LT176">
        <f t="shared" si="187"/>
        <v>21</v>
      </c>
      <c r="LU176" t="s">
        <v>897</v>
      </c>
      <c r="LV176" t="s">
        <v>871</v>
      </c>
      <c r="LW176" s="16" t="s">
        <v>872</v>
      </c>
    </row>
    <row r="177" spans="1:543" x14ac:dyDescent="0.25">
      <c r="A177" s="83" t="s">
        <v>901</v>
      </c>
      <c r="B177" s="83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2975</v>
      </c>
      <c r="Y177" s="43"/>
      <c r="Z177" s="46"/>
      <c r="AC177" t="s">
        <v>853</v>
      </c>
      <c r="AD177" s="46">
        <f t="array" ref="AD177">IF(COUNTIFS(AC$2:AC177,AC177)=1,"1",VALUE(SUBSTITUTE(INDEX(AD:AD,_xlfn.XMATCH(AC177,AC$1:AC176,0,-1)),"A",""))+INDEX(AE:AE,_xlfn.XMATCH(AC177,AC$1:AC176,0,-1))+1)</f>
        <v>2</v>
      </c>
      <c r="AE177" s="46">
        <f t="array" ref="AE177">SUM(IF(ISNUMBER(FIND("TmDi",$BE$1:$AAQ$1)),IF(IFERROR(ISNUMBER(VALUE(SUBSTITUTE($BE177:$AAQ177,"B",""))),FALSE),IF(ISNUMBER(VALUE(SUBSTITUTE($BE177:$AAQ177,"B",""))),1,0),0)))</f>
        <v>0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Y177" s="25" t="str">
        <f>CONCATENATE("XT",U177)</f>
        <v>XT56</v>
      </c>
      <c r="LZ177" s="12" t="str">
        <f>CONCATENATE("DI",REPLACE($AC177,1,3,""),"-",$AF177)</f>
        <v>DI12-C2</v>
      </c>
      <c r="MA177" s="12" t="str">
        <f>CONCATENATE("DI",REPLACE($AC177,1,3,""),"-",$AG177)</f>
        <v>DI12-B2</v>
      </c>
      <c r="MB177" s="12" t="s">
        <v>910</v>
      </c>
      <c r="MC177" s="12" t="str">
        <f>CONCATENATE("K",$U177,"-02")</f>
        <v>K56-02</v>
      </c>
      <c r="MD177" s="12">
        <v>11</v>
      </c>
      <c r="ME177" s="12">
        <v>14</v>
      </c>
      <c r="MF177" s="12" t="s">
        <v>142</v>
      </c>
      <c r="MG177" s="12" t="s">
        <v>143</v>
      </c>
      <c r="MH177" s="12" t="s">
        <v>488</v>
      </c>
      <c r="MI177" s="12" t="s">
        <v>487</v>
      </c>
      <c r="MJ177" s="12" t="s">
        <v>414</v>
      </c>
      <c r="MK177" s="12" t="s">
        <v>413</v>
      </c>
      <c r="ML177" s="12">
        <v>4</v>
      </c>
      <c r="MM177" s="12">
        <f t="shared" ref="MM177:MO178" si="188">ML177+1</f>
        <v>5</v>
      </c>
      <c r="MN177" s="12">
        <f t="shared" si="188"/>
        <v>6</v>
      </c>
      <c r="MO177" s="12">
        <f t="shared" si="188"/>
        <v>7</v>
      </c>
      <c r="MP177" s="12">
        <v>1</v>
      </c>
      <c r="MQ177" s="12">
        <v>2</v>
      </c>
      <c r="MR177" s="12">
        <v>3</v>
      </c>
      <c r="MS177" s="12">
        <v>4</v>
      </c>
      <c r="MT177" s="13">
        <v>5</v>
      </c>
    </row>
    <row r="178" spans="1:543" ht="15.75" thickBot="1" x14ac:dyDescent="0.3">
      <c r="A178" s="83" t="s">
        <v>903</v>
      </c>
      <c r="B178" s="85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2976</v>
      </c>
      <c r="Y178" s="43"/>
      <c r="Z178" s="46"/>
      <c r="AC178" t="s">
        <v>853</v>
      </c>
      <c r="AD178" s="46">
        <f t="array" ref="AD178">IF(COUNTIFS(AC$2:AC178,AC178)=1,"1",VALUE(SUBSTITUTE(INDEX(AD:AD,_xlfn.XMATCH(AC178,AC$1:AC177,0,-1)),"A",""))+INDEX(AE:AE,_xlfn.XMATCH(AC178,AC$1:AC177,0,-1))+1)</f>
        <v>3</v>
      </c>
      <c r="AE178" s="46">
        <f t="array" ref="AE178">SUM(IF(ISNUMBER(FIND("TmDi",$BE$1:$AAQ$1)),IF(IFERROR(ISNUMBER(VALUE(SUBSTITUTE($BE178:$AAQ178,"B",""))),FALSE),IF(ISNUMBER(VALUE(SUBSTITUTE($BE178:$AAQ178,"B",""))),1,0),0)))</f>
        <v>0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Y178" s="27" t="str">
        <f>CONCATENATE("XT",$U178)</f>
        <v>XT56</v>
      </c>
      <c r="LZ178" t="str">
        <f>CONCATENATE("DI",REPLACE($AC178,1,3,""),"-",$AF178)</f>
        <v>DI12-C3</v>
      </c>
      <c r="MA178" t="str">
        <f>CONCATENATE("DI",REPLACE($AC178,1,3,""),"-",$AG178)</f>
        <v>DI12-B3</v>
      </c>
      <c r="MB178" t="s">
        <v>911</v>
      </c>
      <c r="MC178" t="str">
        <f>CONCATENATE("K",$U178,"-03")</f>
        <v>K56-03</v>
      </c>
      <c r="MD178">
        <v>11</v>
      </c>
      <c r="ME178">
        <v>14</v>
      </c>
      <c r="MF178" t="s">
        <v>142</v>
      </c>
      <c r="MG178" t="s">
        <v>143</v>
      </c>
      <c r="MH178" t="s">
        <v>488</v>
      </c>
      <c r="MI178" t="s">
        <v>487</v>
      </c>
      <c r="MJ178" t="s">
        <v>414</v>
      </c>
      <c r="MK178" t="s">
        <v>413</v>
      </c>
      <c r="ML178">
        <f>ML177+4</f>
        <v>8</v>
      </c>
      <c r="MM178">
        <f t="shared" si="188"/>
        <v>9</v>
      </c>
      <c r="MN178">
        <f t="shared" si="188"/>
        <v>10</v>
      </c>
      <c r="MO178">
        <f t="shared" si="188"/>
        <v>11</v>
      </c>
      <c r="MP178">
        <v>1</v>
      </c>
      <c r="MQ178">
        <v>2</v>
      </c>
      <c r="MR178">
        <v>3</v>
      </c>
      <c r="MS178">
        <v>4</v>
      </c>
      <c r="MT178" s="16">
        <v>5</v>
      </c>
    </row>
    <row r="179" spans="1:543" ht="15.75" thickBot="1" x14ac:dyDescent="0.3">
      <c r="A179" s="83" t="s">
        <v>914</v>
      </c>
      <c r="B179" s="83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2407</v>
      </c>
      <c r="Y179" s="43" t="str">
        <f t="array" ref="Y179">IF(COUNTIFS($X$2:$X179,$X179)=1,"1",VALUE(SUBSTITUTE(INDEX(Y:Y,_xlfn.XMATCH($X179,$X$1:$X178,0,-1)),"A",""))+INDEX(Z:Z,_xlfn.XMATCH($X179,$X$1:$X178,0,-1))+1)</f>
        <v>1</v>
      </c>
      <c r="Z179" s="46">
        <f t="array" ref="Z179">SUM(IF(ISNUMBER(FIND("TmAi",$BE$1:$AAQ$1)),IF(IFERROR(ISODD(SUBSTITUTE($BE179:$AAQ179,"A","")),FALSE),IF(ISODD(SUBSTITUTE($BE179:$AAQ179,"A","")),1,0),0)))</f>
        <v>1</v>
      </c>
      <c r="AA179" t="str">
        <f t="shared" si="179"/>
        <v>1A</v>
      </c>
      <c r="AB179" t="str">
        <f t="shared" si="180"/>
        <v>1B</v>
      </c>
      <c r="AC179" t="s">
        <v>853</v>
      </c>
      <c r="AD179" s="46">
        <f t="array" ref="AD179">IF(COUNTIFS(AC$2:AC179,AC179)=1,"1",VALUE(SUBSTITUTE(INDEX(AD:AD,_xlfn.XMATCH(AC179,AC$1:AC178,0,-1)),"A",""))+INDEX(AE:AE,_xlfn.XMATCH(AC179,AC$1:AC178,0,-1))+1)</f>
        <v>4</v>
      </c>
      <c r="AE179" s="46">
        <f t="array" ref="AE179">SUM(IF(ISNUMBER(FIND("TmDi",$BE$1:$AAQ$1)),IF(IFERROR(ISNUMBER(VALUE(SUBSTITUTE($BE179:$AAQ179,"B",""))),FALSE),IF(ISNUMBER(VALUE(SUBSTITUTE($BE179:$AAQ179,"B",""))),1,0),0)))</f>
        <v>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IX179">
        <v>1</v>
      </c>
      <c r="IY179">
        <v>2</v>
      </c>
      <c r="IZ179">
        <v>3</v>
      </c>
      <c r="JA179">
        <v>4</v>
      </c>
      <c r="JB179">
        <v>5</v>
      </c>
      <c r="JC179">
        <v>6</v>
      </c>
      <c r="JD179">
        <v>7</v>
      </c>
      <c r="JE179">
        <v>8</v>
      </c>
      <c r="JF179">
        <v>9</v>
      </c>
      <c r="JG179">
        <v>10</v>
      </c>
      <c r="JH179">
        <v>11</v>
      </c>
      <c r="JI179">
        <v>12</v>
      </c>
      <c r="MU179" s="25" t="s">
        <v>926</v>
      </c>
      <c r="MV179" s="12" t="s">
        <v>927</v>
      </c>
      <c r="MW179" s="12" t="s">
        <v>931</v>
      </c>
      <c r="MX179" s="12" t="s">
        <v>932</v>
      </c>
      <c r="MY179" s="12" t="s">
        <v>912</v>
      </c>
      <c r="MZ179" s="12" t="str">
        <f>CONCATENATE("XT",$U179)</f>
        <v>XT58</v>
      </c>
      <c r="NA179" s="12" t="str">
        <f>CONCATENATE("B",REPLACE(AF179,1,1,"")+1)</f>
        <v>B5</v>
      </c>
      <c r="NB179" s="12" t="str">
        <f>CONCATENATE("C",REPLACE(AG179,1,1,"")+1)</f>
        <v>C5</v>
      </c>
      <c r="NC179" s="12" t="str">
        <f>CONCATENATE("B",REPLACE(NA179,1,1,"")+1)</f>
        <v>B6</v>
      </c>
      <c r="ND179" s="12" t="str">
        <f>CONCATENATE("C",REPLACE(NB179,1,1,"")+1)</f>
        <v>C6</v>
      </c>
      <c r="NE179" s="12" t="str">
        <f>CONCATENATE("B",REPLACE(NC179,1,1,"")+1)</f>
        <v>B7</v>
      </c>
      <c r="NF179" s="12" t="str">
        <f>CONCATENATE("C",REPLACE(ND179,1,1,"")+1)</f>
        <v>C7</v>
      </c>
      <c r="NG179" s="12" t="str">
        <f>REPLACE($AA179,1,1,LEFT($AA179,1)+2)</f>
        <v>3A</v>
      </c>
      <c r="NH179" s="12" t="str">
        <f>REPLACE($AB179,1,1,LEFT($AB179,1)+2)</f>
        <v>3B</v>
      </c>
      <c r="NI179" s="12" t="str">
        <f>CONCATENATE("DI",REPLACE($AC179,1,3,""),"-",$AF179)</f>
        <v>DI12-C4</v>
      </c>
      <c r="NJ179" s="12" t="str">
        <f>CONCATENATE("DI",REPLACE($AC179,1,3,""),"-",$AG179)</f>
        <v>DI12-B4</v>
      </c>
      <c r="NK179" s="12" t="str">
        <f>CONCATENATE("DI",REPLACE($AC179,1,3,""),"-",$NB179)</f>
        <v>DI12-C5</v>
      </c>
      <c r="NL179" s="12" t="str">
        <f>CONCATENATE("DI",REPLACE($AC179,1,3,""),"-",$NA179)</f>
        <v>DI12-B5</v>
      </c>
      <c r="NM179" s="12" t="str">
        <f>CONCATENATE("DI",REPLACE($AC179,1,3,""),"-",$ND179)</f>
        <v>DI12-C6</v>
      </c>
      <c r="NN179" s="12" t="str">
        <f>CONCATENATE("DI",REPLACE($AC179,1,3,""),"-",$NC179)</f>
        <v>DI12-B6</v>
      </c>
      <c r="NO179" s="12" t="str">
        <f>CONCATENATE("DI",REPLACE($AC179,1,3,""),"-",$NF179)</f>
        <v>DI12-C7</v>
      </c>
      <c r="NP179" s="12" t="str">
        <f>CONCATENATE("DI",REPLACE($AC179,1,3,""),"-",$NE179)</f>
        <v>DI12-B7</v>
      </c>
      <c r="NQ179" s="12" t="s">
        <v>933</v>
      </c>
      <c r="NR179" s="12" t="s">
        <v>934</v>
      </c>
      <c r="NS179" s="12" t="s">
        <v>947</v>
      </c>
      <c r="NT179" s="12" t="s">
        <v>935</v>
      </c>
      <c r="NU179" s="12" t="s">
        <v>936</v>
      </c>
      <c r="NV179" s="12" t="s">
        <v>937</v>
      </c>
      <c r="NW179" s="12" t="s">
        <v>938</v>
      </c>
      <c r="NX179" s="12" t="s">
        <v>939</v>
      </c>
      <c r="NY179" s="12" t="s">
        <v>940</v>
      </c>
      <c r="NZ179" s="12" t="s">
        <v>941</v>
      </c>
      <c r="OA179" s="12" t="s">
        <v>942</v>
      </c>
      <c r="OB179" s="12">
        <v>11</v>
      </c>
      <c r="OC179" s="12">
        <v>14</v>
      </c>
      <c r="OD179" s="12" t="s">
        <v>142</v>
      </c>
      <c r="OE179" s="12" t="s">
        <v>143</v>
      </c>
      <c r="OF179" s="12" t="s">
        <v>488</v>
      </c>
      <c r="OG179" s="12" t="s">
        <v>487</v>
      </c>
      <c r="OH179" s="12" t="s">
        <v>414</v>
      </c>
      <c r="OI179" s="13" t="s">
        <v>413</v>
      </c>
    </row>
    <row r="180" spans="1:543" x14ac:dyDescent="0.25">
      <c r="A180" s="83" t="s">
        <v>949</v>
      </c>
      <c r="B180" s="83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A3.21</v>
      </c>
      <c r="Y180" s="43">
        <f t="array" ref="Y180">IF(COUNTIFS($X$2:$X180,$X180)=1,"1",VALUE(SUBSTITUTE(INDEX(Y:Y,_xlfn.XMATCH($X180,$X$1:$X179,0,-1)),"A",""))+INDEX(Z:Z,_xlfn.XMATCH($X180,$X$1:$X179,0,-1))+1)</f>
        <v>3</v>
      </c>
      <c r="Z180" s="46">
        <f t="array" ref="Z180">SUM(IF(ISNUMBER(FIND("TmAi",$BE$1:$AAQ$1)),IF(IFERROR(ISODD(SUBSTITUTE($BE180:$AAQ180,"A","")),FALSE),IF(ISODD(SUBSTITUTE($BE180:$AAQ180,"A","")),1,0),0)))</f>
        <v>0</v>
      </c>
      <c r="AA180" t="str">
        <f t="shared" si="179"/>
        <v>5A</v>
      </c>
      <c r="AB180" t="str">
        <f t="shared" si="180"/>
        <v>5B</v>
      </c>
      <c r="AC180" t="s">
        <v>853</v>
      </c>
      <c r="AD180" s="46">
        <f t="array" ref="AD180">IF(COUNTIFS(AC$2:AC180,AC180)=1,"1",VALUE(SUBSTITUTE(INDEX(AD:AD,_xlfn.XMATCH(AC180,AC$1:AC179,0,-1)),"A",""))+INDEX(AE:AE,_xlfn.XMATCH(AC180,AC$1:AC179,0,-1))+1)</f>
        <v>8</v>
      </c>
      <c r="AE180" s="46">
        <f t="array" ref="AE180">SUM(IF(ISNUMBER(FIND("TmDi",$BE$1:$AAQ$1)),IF(IFERROR(ISNUMBER(VALUE(SUBSTITUTE($BE180:$AAQ180,"B",""))),FALSE),IF(ISNUMBER(VALUE(SUBSTITUTE($BE180:$AAQ180,"B",""))),1,0),0)))</f>
        <v>1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IX180">
        <v>13</v>
      </c>
      <c r="IY180">
        <v>14</v>
      </c>
      <c r="IZ180">
        <v>15</v>
      </c>
      <c r="JA180">
        <v>16</v>
      </c>
      <c r="JB180">
        <v>17</v>
      </c>
      <c r="JC180">
        <v>18</v>
      </c>
      <c r="JD180">
        <v>19</v>
      </c>
      <c r="JE180">
        <v>20</v>
      </c>
      <c r="JF180">
        <v>21</v>
      </c>
      <c r="JG180">
        <v>22</v>
      </c>
      <c r="MU180" s="25"/>
      <c r="MV180" s="12"/>
      <c r="MW180" s="12" t="s">
        <v>960</v>
      </c>
      <c r="MX180" s="12"/>
      <c r="MY180" s="12" t="s">
        <v>959</v>
      </c>
      <c r="MZ180" s="12" t="str">
        <f>CONCATENATE("XT",$U180)</f>
        <v>XT58</v>
      </c>
      <c r="NA180" s="12" t="str">
        <f>CONCATENATE("B",REPLACE(AF180,1,1,"")+1)</f>
        <v>B9</v>
      </c>
      <c r="NB180" s="12" t="str">
        <f>CONCATENATE("C",REPLACE(AG180,1,1,"")+1)</f>
        <v>C9</v>
      </c>
      <c r="NC180" s="12"/>
      <c r="ND180" s="12"/>
      <c r="NE180" s="12"/>
      <c r="NF180" s="12"/>
      <c r="NG180" s="12"/>
      <c r="NH180" s="12"/>
      <c r="NI180" s="12" t="str">
        <f>CONCATENATE("DI",REPLACE($AC180,1,3,""),"-",$AF180)</f>
        <v>DI12-C8</v>
      </c>
      <c r="NJ180" s="12" t="str">
        <f>CONCATENATE("DI",REPLACE($AC180,1,3,""),"-",$AG180)</f>
        <v>DI12-B8</v>
      </c>
      <c r="NK180" s="12" t="str">
        <f>CONCATENATE("DI",REPLACE($AC180,1,3,""),"-",$NB180)</f>
        <v>DI12-C9</v>
      </c>
      <c r="NL180" s="12" t="str">
        <f>CONCATENATE("DI",REPLACE($AC180,1,3,""),"-",$NA180)</f>
        <v>DI12-B9</v>
      </c>
      <c r="NM180" s="12" t="str">
        <f>CONCATENATE("DI",REPLACE($AC180,1,3,""),"-",$ND180)</f>
        <v>DI12-</v>
      </c>
      <c r="NN180" s="12" t="str">
        <f>CONCATENATE("DI",REPLACE($AC180,1,3,""),"-",$NC180)</f>
        <v>DI12-</v>
      </c>
      <c r="NO180" s="12" t="str">
        <f>CONCATENATE("DI",REPLACE($AC180,1,3,""),"-",$NF180)</f>
        <v>DI12-</v>
      </c>
      <c r="NP180" s="12" t="str">
        <f>CONCATENATE("DI",REPLACE($AC180,1,3,""),"-",$NE180)</f>
        <v>DI12-</v>
      </c>
      <c r="NQ180" s="12" t="s">
        <v>952</v>
      </c>
      <c r="NR180" s="12"/>
      <c r="NS180" s="12" t="s">
        <v>957</v>
      </c>
      <c r="NT180" s="12" t="s">
        <v>956</v>
      </c>
      <c r="NU180" s="12" t="s">
        <v>955</v>
      </c>
      <c r="NV180" s="12"/>
      <c r="NW180" s="12"/>
      <c r="NX180" s="12" t="s">
        <v>950</v>
      </c>
      <c r="NY180" s="12" t="s">
        <v>951</v>
      </c>
      <c r="NZ180" s="12"/>
      <c r="OA180" s="12"/>
      <c r="OB180" s="12">
        <v>11</v>
      </c>
      <c r="OC180" s="12">
        <v>14</v>
      </c>
      <c r="OD180" s="12" t="s">
        <v>142</v>
      </c>
      <c r="OE180" s="12" t="s">
        <v>143</v>
      </c>
      <c r="OF180" s="12" t="s">
        <v>488</v>
      </c>
      <c r="OG180" s="12" t="s">
        <v>487</v>
      </c>
      <c r="OH180" s="12" t="s">
        <v>414</v>
      </c>
      <c r="OI180" s="12" t="s">
        <v>413</v>
      </c>
      <c r="OJ180" s="12" t="s">
        <v>144</v>
      </c>
      <c r="OK180" s="13" t="s">
        <v>961</v>
      </c>
    </row>
    <row r="181" spans="1:543" x14ac:dyDescent="0.25">
      <c r="A181" s="83" t="s">
        <v>963</v>
      </c>
      <c r="B181" s="83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A3.21</v>
      </c>
      <c r="Y181" s="43">
        <f t="array" ref="Y181">IF(COUNTIFS($X$2:$X181,$X181)=1,"1",VALUE(SUBSTITUTE(INDEX(Y:Y,_xlfn.XMATCH($X181,$X$1:$X180,0,-1)),"A",""))+INDEX(Z:Z,_xlfn.XMATCH($X181,$X$1:$X180,0,-1))+1)</f>
        <v>4</v>
      </c>
      <c r="Z181" s="46">
        <f t="array" ref="Z181">SUM(IF(ISNUMBER(FIND("TmAi",$BE$1:$AAQ$1)),IF(IFERROR(ISODD(SUBSTITUTE($BE181:$AAQ181,"A","")),FALSE),IF(ISODD(SUBSTITUTE($BE181:$AAQ181,"A","")),1,0),0)))</f>
        <v>0</v>
      </c>
      <c r="AA181" t="str">
        <f t="shared" ref="AA181:AA215" si="189">CONCATENATE($Y181*2-1,"A")</f>
        <v>7A</v>
      </c>
      <c r="AB181" t="str">
        <f t="shared" ref="AB181:AB215" si="190">CONCATENATE($Y181*2-1,"B")</f>
        <v>7B</v>
      </c>
      <c r="AD181" s="46"/>
      <c r="AE181" s="46">
        <f t="array" ref="AE181">SUM(IF(ISNUMBER(FIND("TmDi",$BE$1:$AAQ$1)),IF(IFERROR(ISNUMBER(VALUE(SUBSTITUTE($BE181:$AAQ181,"B",""))),FALSE),IF(ISNUMBER(VALUE(SUBSTITUTE($BE181:$AAQ181,"B",""))),1,0),0)))</f>
        <v>0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F0-AI21-7A</v>
      </c>
      <c r="KD181" t="str">
        <f>CONCATENATE(T181,"-AI",REPLACE($X181,1,3,""),"-",AB181)</f>
        <v>F0-AI21-7B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91">KI181+1</f>
        <v>352</v>
      </c>
      <c r="KK181">
        <f t="shared" si="191"/>
        <v>353</v>
      </c>
      <c r="KL181">
        <f t="shared" si="191"/>
        <v>354</v>
      </c>
      <c r="KM181">
        <f t="shared" si="191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43" ht="15.75" thickBot="1" x14ac:dyDescent="0.3">
      <c r="A182" s="83" t="s">
        <v>964</v>
      </c>
      <c r="B182" s="83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A3.21</v>
      </c>
      <c r="Y182" s="45">
        <f t="array" ref="Y182">IF(COUNTIFS($X$2:$X182,$X182)=1,"1",VALUE(SUBSTITUTE(INDEX(Y:Y,_xlfn.XMATCH($X182,$X$1:$X181,0,-1)),"A",""))+INDEX(Z:Z,_xlfn.XMATCH($X182,$X$1:$X181,0,-1))+1)</f>
        <v>5</v>
      </c>
      <c r="Z182" s="46">
        <f t="array" ref="Z182">SUM(IF(ISNUMBER(FIND("TmAi",$BE$1:$AAQ$1)),IF(IFERROR(ISODD(SUBSTITUTE($BE182:$AAQ182,"A","")),FALSE),IF(ISODD(SUBSTITUTE($BE182:$AAQ182,"A","")),1,0),0)))</f>
        <v>0</v>
      </c>
      <c r="AA182" t="str">
        <f t="shared" si="189"/>
        <v>9A</v>
      </c>
      <c r="AB182" t="str">
        <f t="shared" si="190"/>
        <v>9B</v>
      </c>
      <c r="AD182" s="46"/>
      <c r="AE182" s="46">
        <f t="array" ref="AE182">SUM(IF(ISNUMBER(FIND("TmDi",$BE$1:$AAQ$1)),IF(IFERROR(ISNUMBER(VALUE(SUBSTITUTE($BE182:$AAQ182,"B",""))),FALSE),IF(ISNUMBER(VALUE(SUBSTITUTE($BE182:$AAQ182,"B",""))),1,0),0)))</f>
        <v>0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F0-AI21-9A</v>
      </c>
      <c r="KD182" t="str">
        <f>CONCATENATE(T182,"-AI",REPLACE($X182,1,3,""),"-",AB182)</f>
        <v>F0-AI21-9B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91"/>
        <v>357</v>
      </c>
      <c r="KK182">
        <f t="shared" si="191"/>
        <v>358</v>
      </c>
      <c r="KL182">
        <f t="shared" si="191"/>
        <v>359</v>
      </c>
      <c r="KM182">
        <f t="shared" si="191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43" x14ac:dyDescent="0.25">
      <c r="A183" s="83" t="s">
        <v>1027</v>
      </c>
      <c r="B183" s="86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1976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SUM(IF(ISNUMBER(FIND("TmAi",$BE$1:$AAQ$1)),IF(IFERROR(ISODD(SUBSTITUTE($BE183:$AAQ183,"A","")),FALSE),IF(ISODD(SUBSTITUTE($BE183:$AAQ183,"A","")),1,0),0)))</f>
        <v>1</v>
      </c>
      <c r="AA183" t="str">
        <f t="shared" si="189"/>
        <v>1A</v>
      </c>
      <c r="AB183" t="str">
        <f t="shared" si="190"/>
        <v>1B</v>
      </c>
      <c r="AD183" s="46"/>
      <c r="AE183" s="46">
        <f t="array" ref="AE183">SUM(IF(ISNUMBER(FIND("TmDi",$BE$1:$AAQ$1)),IF(IFERROR(ISNUMBER(VALUE(SUBSTITUTE($BE183:$AAQ183,"B",""))),FALSE),IF(ISNUMBER(VALUE(SUBSTITUTE($BE183:$AAQ183,"B",""))),1,0),0)))</f>
        <v>0</v>
      </c>
      <c r="AP183" t="s">
        <v>137</v>
      </c>
      <c r="AR183" t="s">
        <v>1023</v>
      </c>
      <c r="AS183" t="s">
        <v>396</v>
      </c>
      <c r="OL183" s="25" t="str">
        <f>CONCATENATE("XT",$U183)</f>
        <v>XT59</v>
      </c>
      <c r="OM183" s="12" t="s">
        <v>1028</v>
      </c>
      <c r="ON183" s="12" t="s">
        <v>1024</v>
      </c>
      <c r="OO183" s="12"/>
      <c r="OP183" s="12"/>
      <c r="OQ183" s="12" t="str">
        <f>CONCATENATE(REPLACE($AA183,LEN($AA183),1,"")+1,RIGHT($AA183))</f>
        <v>2A</v>
      </c>
      <c r="OR183" s="12" t="str">
        <f>CONCATENATE(REPLACE($AB183,LEN($AB183),1,"")+1,RIGHT($AB183))</f>
        <v>2B</v>
      </c>
      <c r="OS183" s="12" t="str">
        <f t="shared" ref="OS183:OV185" si="192">CONCATENATE(REPLACE(OQ183,LEN(OQ183),1,"")+1,RIGHT(OQ183))</f>
        <v>3A</v>
      </c>
      <c r="OT183" s="12" t="str">
        <f t="shared" si="192"/>
        <v>3B</v>
      </c>
      <c r="OU183" s="12" t="str">
        <f t="shared" si="192"/>
        <v>4A</v>
      </c>
      <c r="OV183" s="12" t="str">
        <f t="shared" si="192"/>
        <v>4B</v>
      </c>
      <c r="OW183" s="12"/>
      <c r="OX183" s="12"/>
      <c r="OY183" s="12"/>
      <c r="OZ183" s="12"/>
      <c r="PA183" s="12" t="str">
        <f>CONCATENATE($T183,"-AI",REPLACE($X183,1,3,""),"-",$AA183)</f>
        <v>F0-AI39-1A</v>
      </c>
      <c r="PB183" s="12" t="str">
        <f>CONCATENATE($T183,"-AI",REPLACE($X183,1,3,""),"-",$AB183)</f>
        <v>F0-AI39-1B</v>
      </c>
      <c r="PC183" s="12" t="str">
        <f t="shared" ref="PC183:PH183" si="193">CONCATENATE($T183,"-AI",REPLACE($X183,1,3,""),"-",OQ183)</f>
        <v>F0-AI39-2A</v>
      </c>
      <c r="PD183" s="12" t="str">
        <f t="shared" si="193"/>
        <v>F0-AI39-2B</v>
      </c>
      <c r="PE183" s="12" t="str">
        <f t="shared" si="193"/>
        <v>F0-AI39-3A</v>
      </c>
      <c r="PF183" s="12" t="str">
        <f t="shared" si="193"/>
        <v>F0-AI39-3B</v>
      </c>
      <c r="PG183" s="12" t="str">
        <f t="shared" si="193"/>
        <v>F0-AI39-4A</v>
      </c>
      <c r="PH183" s="12" t="str">
        <f t="shared" si="193"/>
        <v>F0-AI39-4B</v>
      </c>
      <c r="PI183" s="12"/>
      <c r="PJ183" s="12"/>
      <c r="PK183" s="12"/>
      <c r="PL183" s="12"/>
      <c r="PM183" s="12">
        <f t="array" ref="PM183">IF(COUNTIFS($U$2:$U183,$U183)=1,1,INDEX(PM:PM,_xlfn.XMATCH($U183,$U$1:EF182,0,-1))+COUNT(PM182:PR182))</f>
        <v>1</v>
      </c>
      <c r="PN183" s="12">
        <f t="shared" ref="PN183:PR184" si="194">PM183+1</f>
        <v>2</v>
      </c>
      <c r="PO183" s="12">
        <f t="shared" si="194"/>
        <v>3</v>
      </c>
      <c r="PP183" s="12">
        <f t="shared" si="194"/>
        <v>4</v>
      </c>
      <c r="PQ183" s="12">
        <f t="shared" si="194"/>
        <v>5</v>
      </c>
      <c r="PR183" s="12">
        <f t="shared" si="194"/>
        <v>6</v>
      </c>
      <c r="PS183" s="12"/>
      <c r="PT183" s="12"/>
      <c r="PU183" s="12"/>
      <c r="PV183" s="12">
        <v>1</v>
      </c>
      <c r="PW183" s="12">
        <v>2</v>
      </c>
      <c r="PX183" s="12">
        <v>3</v>
      </c>
      <c r="PY183" s="12">
        <v>4</v>
      </c>
      <c r="PZ183" s="12">
        <v>5</v>
      </c>
      <c r="QA183" s="13">
        <v>6</v>
      </c>
    </row>
    <row r="184" spans="1:543" ht="15.75" thickBot="1" x14ac:dyDescent="0.3">
      <c r="A184" s="83" t="s">
        <v>1029</v>
      </c>
      <c r="B184" s="83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A3.39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SUM(IF(ISNUMBER(FIND("TmAi",$BE$1:$AAQ$1)),IF(IFERROR(ISODD(SUBSTITUTE($BE184:$AAQ184,"A","")),FALSE),IF(ISODD(SUBSTITUTE($BE184:$AAQ184,"A","")),1,0),0)))</f>
        <v>1</v>
      </c>
      <c r="AA184" t="str">
        <f t="shared" si="189"/>
        <v>5A</v>
      </c>
      <c r="AB184" t="str">
        <f t="shared" si="190"/>
        <v>5B</v>
      </c>
      <c r="AD184" s="46"/>
      <c r="AE184" s="46">
        <f t="array" ref="AE184">SUM(IF(ISNUMBER(FIND("TmDi",$BE$1:$AAQ$1)),IF(IFERROR(ISNUMBER(VALUE(SUBSTITUTE($BE184:$AAQ184,"B",""))),FALSE),IF(ISNUMBER(VALUE(SUBSTITUTE($BE184:$AAQ184,"B",""))),1,0),0)))</f>
        <v>0</v>
      </c>
      <c r="AP184" t="s">
        <v>137</v>
      </c>
      <c r="AR184" t="s">
        <v>1023</v>
      </c>
      <c r="AS184" t="s">
        <v>396</v>
      </c>
      <c r="OL184" s="27" t="str">
        <f>CONCATENATE("XT",$U184)</f>
        <v>XT59</v>
      </c>
      <c r="OM184" t="s">
        <v>1030</v>
      </c>
      <c r="ON184" t="s">
        <v>1026</v>
      </c>
      <c r="OQ184" t="str">
        <f>CONCATENATE(REPLACE($AA184,LEN($AA184),1,"")+1,RIGHT($AA184))</f>
        <v>6A</v>
      </c>
      <c r="OR184" t="str">
        <f>CONCATENATE(REPLACE($AB184,LEN($AB184),1,"")+1,RIGHT($AB184))</f>
        <v>6B</v>
      </c>
      <c r="OS184" t="str">
        <f t="shared" si="192"/>
        <v>7A</v>
      </c>
      <c r="OT184" t="str">
        <f t="shared" si="192"/>
        <v>7B</v>
      </c>
      <c r="OU184" t="str">
        <f t="shared" si="192"/>
        <v>8A</v>
      </c>
      <c r="OV184" t="str">
        <f t="shared" si="192"/>
        <v>8B</v>
      </c>
      <c r="PA184" t="str">
        <f>CONCATENATE($T184,"-AI",REPLACE($X184,1,3,""),"-",$AA184)</f>
        <v>F0-AI39-5A</v>
      </c>
      <c r="PB184" t="str">
        <f>CONCATENATE($T184,"-AI",REPLACE($X184,1,3,""),"-",$AB184)</f>
        <v>F0-AI39-5B</v>
      </c>
      <c r="PC184" t="str">
        <f t="shared" ref="PC184:PH185" si="195">CONCATENATE($T184,"-AI",REPLACE($X184,1,3,""),"-",OQ184)</f>
        <v>F0-AI39-6A</v>
      </c>
      <c r="PD184" t="str">
        <f t="shared" si="195"/>
        <v>F0-AI39-6B</v>
      </c>
      <c r="PE184" t="str">
        <f t="shared" si="195"/>
        <v>F0-AI39-7A</v>
      </c>
      <c r="PF184" t="str">
        <f t="shared" si="195"/>
        <v>F0-AI39-7B</v>
      </c>
      <c r="PG184" t="str">
        <f t="shared" si="195"/>
        <v>F0-AI39-8A</v>
      </c>
      <c r="PH184" t="str">
        <f t="shared" si="195"/>
        <v>F0-AI39-8B</v>
      </c>
      <c r="PM184">
        <f t="array" ref="PM184">IF(COUNTIFS($U$2:$U184,$U184)=1,1,INDEX(PM:PM,_xlfn.XMATCH($U184,$U$1:$U183,0,-1))+COUNT(PM183:PR183))</f>
        <v>7</v>
      </c>
      <c r="PN184">
        <f t="shared" si="194"/>
        <v>8</v>
      </c>
      <c r="PO184">
        <f t="shared" si="194"/>
        <v>9</v>
      </c>
      <c r="PP184">
        <f t="shared" si="194"/>
        <v>10</v>
      </c>
      <c r="PQ184">
        <f t="shared" si="194"/>
        <v>11</v>
      </c>
      <c r="PR184">
        <f t="shared" si="194"/>
        <v>12</v>
      </c>
      <c r="PV184">
        <v>7</v>
      </c>
      <c r="PW184">
        <v>8</v>
      </c>
      <c r="PX184">
        <v>9</v>
      </c>
      <c r="PY184">
        <v>10</v>
      </c>
      <c r="PZ184">
        <v>11</v>
      </c>
      <c r="QA184" s="16">
        <v>12</v>
      </c>
    </row>
    <row r="185" spans="1:543" ht="15.75" thickBot="1" x14ac:dyDescent="0.3">
      <c r="A185" s="83" t="s">
        <v>1031</v>
      </c>
      <c r="B185" s="83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A3.39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SUM(IF(ISNUMBER(FIND("TmAi",$BE$1:$AAQ$1)),IF(IFERROR(ISODD(SUBSTITUTE($BE185:$AAQ185,"A","")),FALSE),IF(ISODD(SUBSTITUTE($BE185:$AAQ185,"A","")),1,0),0)))</f>
        <v>2</v>
      </c>
      <c r="AA185" t="str">
        <f t="shared" si="189"/>
        <v>9A</v>
      </c>
      <c r="AB185" t="str">
        <f t="shared" si="190"/>
        <v>9B</v>
      </c>
      <c r="AD185" s="46"/>
      <c r="AE185" s="46">
        <f t="array" ref="AE185">SUM(IF(ISNUMBER(FIND("TmDi",$BE$1:$AAQ$1)),IF(IFERROR(ISNUMBER(VALUE(SUBSTITUTE($BE185:$AAQ185,"B",""))),FALSE),IF(ISNUMBER(VALUE(SUBSTITUTE($BE185:$AAQ185,"B",""))),1,0),0)))</f>
        <v>0</v>
      </c>
      <c r="AP185" t="s">
        <v>137</v>
      </c>
      <c r="AR185" t="s">
        <v>1048</v>
      </c>
      <c r="AS185" t="s">
        <v>396</v>
      </c>
      <c r="OL185" s="27" t="str">
        <f>CONCATENATE("XT",$U185)</f>
        <v>XT59</v>
      </c>
      <c r="OM185" t="s">
        <v>1034</v>
      </c>
      <c r="ON185" t="s">
        <v>1050</v>
      </c>
      <c r="OO185" t="s">
        <v>1035</v>
      </c>
      <c r="OP185" t="s">
        <v>1049</v>
      </c>
      <c r="OQ185" t="str">
        <f>CONCATENATE(REPLACE($AA185,LEN($AA185),1,"")+1,RIGHT($AA185))</f>
        <v>10A</v>
      </c>
      <c r="OR185" t="str">
        <f>CONCATENATE(REPLACE($AB185,LEN($AB185),1,"")+1,RIGHT($AB185))</f>
        <v>10B</v>
      </c>
      <c r="OS185" t="str">
        <f t="shared" si="192"/>
        <v>11A</v>
      </c>
      <c r="OT185" t="str">
        <f t="shared" si="192"/>
        <v>11B</v>
      </c>
      <c r="OU185" t="str">
        <f t="shared" si="192"/>
        <v>12A</v>
      </c>
      <c r="OV185" t="str">
        <f t="shared" si="192"/>
        <v>12B</v>
      </c>
      <c r="OW185" t="str">
        <f>CONCATENATE(REPLACE(OU185,LEN(OU185),1,"")+1,RIGHT(OU185))</f>
        <v>13A</v>
      </c>
      <c r="OX185" t="str">
        <f>CONCATENATE(REPLACE(OV185,LEN(OV185),1,"")+1,RIGHT(OV185))</f>
        <v>13B</v>
      </c>
      <c r="OY185" t="str">
        <f>CONCATENATE(REPLACE(OW185,LEN(OW185),1,"")+1,RIGHT(OW185))</f>
        <v>14A</v>
      </c>
      <c r="OZ185" t="str">
        <f>CONCATENATE(REPLACE(OX185,LEN(OX185),1,"")+1,RIGHT(OX185))</f>
        <v>14B</v>
      </c>
      <c r="PA185" t="str">
        <f>CONCATENATE($T185,"-AI",REPLACE($X185,1,3,""),"-",$AA185)</f>
        <v>F0-AI39-9A</v>
      </c>
      <c r="PB185" t="str">
        <f>CONCATENATE($T185,"-AI",REPLACE($X185,1,3,""),"-",$AB185)</f>
        <v>F0-AI39-9B</v>
      </c>
      <c r="PC185" t="str">
        <f t="shared" si="195"/>
        <v>F0-AI39-10A</v>
      </c>
      <c r="PD185" t="str">
        <f t="shared" si="195"/>
        <v>F0-AI39-10B</v>
      </c>
      <c r="PE185" t="str">
        <f t="shared" si="195"/>
        <v>F0-AI39-11A</v>
      </c>
      <c r="PF185" t="str">
        <f t="shared" si="195"/>
        <v>F0-AI39-11B</v>
      </c>
      <c r="PG185" t="str">
        <f t="shared" si="195"/>
        <v>F0-AI39-12A</v>
      </c>
      <c r="PH185" t="str">
        <f t="shared" si="195"/>
        <v>F0-AI39-12B</v>
      </c>
      <c r="PI185" t="str">
        <f>CONCATENATE($T185,"-AI",REPLACE($X185,1,3,""),"-",OW185)</f>
        <v>F0-AI39-13A</v>
      </c>
      <c r="PJ185" t="str">
        <f>CONCATENATE($T185,"-AI",REPLACE($X185,1,3,""),"-",OX185)</f>
        <v>F0-AI39-13B</v>
      </c>
      <c r="PK185" t="str">
        <f>CONCATENATE($T185,"-AI",REPLACE($X185,1,3,""),"-",OY185)</f>
        <v>F0-AI39-14A</v>
      </c>
      <c r="PL185" t="str">
        <f>CONCATENATE($T185,"-AI",REPLACE($X185,1,3,""),"-",OZ185)</f>
        <v>F0-AI39-14B</v>
      </c>
      <c r="PM185">
        <f t="array" ref="PM185">IF(COUNTIFS($U$2:$U185,$U185)=1,1,INDEX(PM:PM,_xlfn.XMATCH($U185,$U$1:$U184,0,-1))+COUNT(PM184:PR184))</f>
        <v>13</v>
      </c>
      <c r="PN185">
        <f>PM185+1</f>
        <v>14</v>
      </c>
      <c r="PO185">
        <f>PN185+1</f>
        <v>15</v>
      </c>
      <c r="PP185">
        <f t="shared" ref="PP185:PU185" si="196">PO185+1</f>
        <v>16</v>
      </c>
      <c r="PQ185">
        <f t="shared" si="196"/>
        <v>17</v>
      </c>
      <c r="PR185">
        <f t="shared" si="196"/>
        <v>18</v>
      </c>
      <c r="PS185">
        <f t="shared" si="196"/>
        <v>19</v>
      </c>
      <c r="PT185">
        <f t="shared" si="196"/>
        <v>20</v>
      </c>
      <c r="PU185">
        <f t="shared" si="196"/>
        <v>21</v>
      </c>
      <c r="PV185">
        <v>1</v>
      </c>
      <c r="PW185">
        <v>2</v>
      </c>
      <c r="PX185">
        <v>3</v>
      </c>
      <c r="PY185">
        <v>4</v>
      </c>
      <c r="PZ185">
        <v>5</v>
      </c>
      <c r="QA185">
        <v>6</v>
      </c>
      <c r="QB185" s="23">
        <v>7</v>
      </c>
      <c r="QC185" s="23">
        <v>8</v>
      </c>
      <c r="QD185" s="24">
        <v>9</v>
      </c>
    </row>
    <row r="186" spans="1:543" ht="15.75" thickBot="1" x14ac:dyDescent="0.3">
      <c r="A186" s="83" t="s">
        <v>1054</v>
      </c>
      <c r="B186" s="83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1214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SUM(IF(ISNUMBER(FIND("TmAi",$BE$1:$AAQ$1)),IF(IFERROR(ISODD(SUBSTITUTE($BE186:$AAQ186,"A","")),FALSE),IF(ISODD(SUBSTITUTE($BE186:$AAQ186,"A","")),1,0),0)))</f>
        <v>0</v>
      </c>
      <c r="AA186" t="str">
        <f>CONCATENATE($Y186*2-1,"B")</f>
        <v>1B</v>
      </c>
      <c r="AB186" t="str">
        <f>CONCATENATE($Y186*2,"B")</f>
        <v>2B</v>
      </c>
      <c r="AD186" s="46"/>
      <c r="AE186" s="46">
        <f t="array" ref="AE186">SUM(IF(ISNUMBER(FIND("TmDi",$BE$1:$AAQ$1)),IF(IFERROR(ISNUMBER(VALUE(SUBSTITUTE($BE186:$AAQ186,"B",""))),FALSE),IF(ISNUMBER(VALUE(SUBSTITUTE($BE186:$AAQ186,"B",""))),1,0),0)))</f>
        <v>0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F0-AI22-1B</v>
      </c>
      <c r="KD186" t="str">
        <f>CONCATENATE(T186,"-AI",REPLACE($X186,1,3,""),"-",AB186)</f>
        <v>F0-AI22-2B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L186" s="27"/>
      <c r="QA186" s="16"/>
    </row>
    <row r="187" spans="1:543" ht="15.75" thickBot="1" x14ac:dyDescent="0.3">
      <c r="A187" s="83" t="s">
        <v>2362</v>
      </c>
      <c r="B187" s="85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A3.22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SUM(IF(ISNUMBER(FIND("TmAi",$BE$1:$AAQ$1)),IF(IFERROR(ISODD(SUBSTITUTE($BE187:$AAQ187,"A","")),FALSE),IF(ISODD(SUBSTITUTE($BE187:$AAQ187,"A","")),1,0),0)))</f>
        <v>11</v>
      </c>
      <c r="AA187" t="str">
        <f t="shared" si="189"/>
        <v>3A</v>
      </c>
      <c r="AB187" t="str">
        <f t="shared" si="190"/>
        <v>3B</v>
      </c>
      <c r="AD187" s="46"/>
      <c r="AE187" s="46">
        <f t="array" ref="AE187">SUM(IF(ISNUMBER(FIND("TmDi",$BE$1:$AAQ$1)),IF(IFERROR(ISNUMBER(VALUE(SUBSTITUTE($BE187:$AAQ187,"B",""))),FALSE),IF(ISNUMBER(VALUE(SUBSTITUTE($BE187:$AAQ187,"B",""))),1,0),0)))</f>
        <v>0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QE187" s="25" t="str">
        <f>REPLACE(X187,FIND(".",X187)+1,3,MID(X187,FIND(".",X187)+1,3)+1)</f>
        <v>A3.23</v>
      </c>
      <c r="QF187" s="12" t="str">
        <f>CONCATENATE(VALUE(SUBSTITUTE($AB187,"B",""))+2,"B")</f>
        <v>5B</v>
      </c>
      <c r="QG187" s="12" t="str">
        <f>CONCATENATE(VALUE(SUBSTITUTE($AA187,"A",""))+2,"A")</f>
        <v>5A</v>
      </c>
      <c r="QH187" s="12" t="str">
        <f>CONCATENATE(VALUE(SUBSTITUTE(QF187,"B",""))+2,"B")</f>
        <v>7B</v>
      </c>
      <c r="QI187" s="12" t="str">
        <f>CONCATENATE(VALUE(SUBSTITUTE(QG187,"A",""))+2,"A")</f>
        <v>7A</v>
      </c>
      <c r="QJ187" s="12" t="str">
        <f>CONCATENATE(VALUE(SUBSTITUTE(QH187,"B",""))+2,"B")</f>
        <v>9B</v>
      </c>
      <c r="QK187" s="12" t="str">
        <f>CONCATENATE(VALUE(SUBSTITUTE(QI187,"A",""))+2,"A")</f>
        <v>9A</v>
      </c>
      <c r="QL187" s="12" t="str">
        <f>CONCATENATE(VALUE(SUBSTITUTE(QJ187,"B",""))+2,"B")</f>
        <v>11B</v>
      </c>
      <c r="QM187" s="12" t="str">
        <f>CONCATENATE(VALUE(SUBSTITUTE(QK187,"A",""))+2,"A")</f>
        <v>11A</v>
      </c>
      <c r="QN187" s="12" t="str">
        <f>CONCATENATE(VALUE(SUBSTITUTE(QL187,"B",""))+2,"B")</f>
        <v>13B</v>
      </c>
      <c r="QO187" s="12" t="str">
        <f>CONCATENATE(VALUE(SUBSTITUTE(QM187,"A",""))+2,"A")</f>
        <v>13A</v>
      </c>
      <c r="QP187" s="12" t="s">
        <v>135</v>
      </c>
      <c r="QQ187" s="12" t="s">
        <v>136</v>
      </c>
      <c r="QR187" s="12" t="str">
        <f>CONCATENATE(VALUE(SUBSTITUTE(QP187,"B",""))+2,"B")</f>
        <v>3B</v>
      </c>
      <c r="QS187" s="12" t="str">
        <f>CONCATENATE(VALUE(SUBSTITUTE(QQ187,"A",""))+2,"A")</f>
        <v>3A</v>
      </c>
      <c r="QT187" s="12" t="str">
        <f>CONCATENATE(VALUE(SUBSTITUTE(QR187,"B",""))+2,"B")</f>
        <v>5B</v>
      </c>
      <c r="QU187" s="12" t="str">
        <f>CONCATENATE(VALUE(SUBSTITUTE(QS187,"A",""))+2,"A")</f>
        <v>5A</v>
      </c>
      <c r="QV187" s="12" t="str">
        <f>CONCATENATE(VALUE(SUBSTITUTE(QT187,"B",""))+2,"B")</f>
        <v>7B</v>
      </c>
      <c r="QW187" s="12" t="str">
        <f>CONCATENATE(VALUE(SUBSTITUTE(QU187,"A",""))+2,"A")</f>
        <v>7A</v>
      </c>
      <c r="QX187" s="12" t="str">
        <f>CONCATENATE(VALUE(SUBSTITUTE(QV187,"B",""))+2,"B")</f>
        <v>9B</v>
      </c>
      <c r="QY187" s="12" t="str">
        <f>CONCATENATE(VALUE(SUBSTITUTE(QW187,"A",""))+2,"A")</f>
        <v>9A</v>
      </c>
      <c r="QZ187" s="12" t="str">
        <f>CONCATENATE(VALUE(SUBSTITUTE(QX187,"B",""))+2,"B")</f>
        <v>11B</v>
      </c>
      <c r="RA187" s="12" t="str">
        <f>CONCATENATE(VALUE(SUBSTITUTE(QY187,"A",""))+2,"A")</f>
        <v>11A</v>
      </c>
      <c r="RB187" s="12" t="str">
        <f>CONCATENATE($T187,"-AI",REPLACE($X187,1,3,""),"-",AB187)</f>
        <v>F0-AI22-3B</v>
      </c>
      <c r="RC187" s="12" t="str">
        <f>CONCATENATE($T187,"-AI",REPLACE($X187,1,3,""),"-",AA187)</f>
        <v>F0-AI22-3A</v>
      </c>
      <c r="RD187" s="12" t="str">
        <f>CONCATENATE($T187,"-AI",REPLACE($X187,1,3,""),"-",QF187)</f>
        <v>F0-AI22-5B</v>
      </c>
      <c r="RE187" s="12" t="str">
        <f>CONCATENATE($T187,"-AI",REPLACE($X187,1,3,""),"-",QG187)</f>
        <v>F0-AI22-5A</v>
      </c>
      <c r="RF187" s="12" t="str">
        <f t="shared" ref="RF187:RM187" si="197">CONCATENATE($T187,"-AI",REPLACE($X187,1,3,""),"-",QH187)</f>
        <v>F0-AI22-7B</v>
      </c>
      <c r="RG187" s="12" t="str">
        <f t="shared" si="197"/>
        <v>F0-AI22-7A</v>
      </c>
      <c r="RH187" s="12" t="str">
        <f t="shared" si="197"/>
        <v>F0-AI22-9B</v>
      </c>
      <c r="RI187" s="12" t="str">
        <f t="shared" si="197"/>
        <v>F0-AI22-9A</v>
      </c>
      <c r="RJ187" s="12" t="str">
        <f t="shared" si="197"/>
        <v>F0-AI22-11B</v>
      </c>
      <c r="RK187" s="12" t="str">
        <f t="shared" si="197"/>
        <v>F0-AI22-11A</v>
      </c>
      <c r="RL187" s="12" t="str">
        <f t="shared" si="197"/>
        <v>F0-AI22-13B</v>
      </c>
      <c r="RM187" s="12" t="str">
        <f t="shared" si="197"/>
        <v>F0-AI22-13A</v>
      </c>
      <c r="RN187" s="12" t="str">
        <f t="shared" ref="RN187:RY187" si="198">CONCATENATE($T187,"-AI",REPLACE($QE187,1,3,""),"-",QP187)</f>
        <v>F0-AI23-1B</v>
      </c>
      <c r="RO187" s="12" t="str">
        <f t="shared" si="198"/>
        <v>F0-AI23-1A</v>
      </c>
      <c r="RP187" s="12" t="str">
        <f t="shared" si="198"/>
        <v>F0-AI23-3B</v>
      </c>
      <c r="RQ187" s="12" t="str">
        <f t="shared" si="198"/>
        <v>F0-AI23-3A</v>
      </c>
      <c r="RR187" s="12" t="str">
        <f t="shared" si="198"/>
        <v>F0-AI23-5B</v>
      </c>
      <c r="RS187" s="12" t="str">
        <f t="shared" si="198"/>
        <v>F0-AI23-5A</v>
      </c>
      <c r="RT187" s="12" t="str">
        <f t="shared" si="198"/>
        <v>F0-AI23-7B</v>
      </c>
      <c r="RU187" s="12" t="str">
        <f t="shared" si="198"/>
        <v>F0-AI23-7A</v>
      </c>
      <c r="RV187" s="12" t="str">
        <f t="shared" si="198"/>
        <v>F0-AI23-9B</v>
      </c>
      <c r="RW187" s="12" t="str">
        <f t="shared" si="198"/>
        <v>F0-AI23-9A</v>
      </c>
      <c r="RX187" s="12" t="str">
        <f t="shared" si="198"/>
        <v>F0-AI23-11B</v>
      </c>
      <c r="RY187" s="12" t="str">
        <f t="shared" si="198"/>
        <v>F0-AI23-11A</v>
      </c>
      <c r="RZ187" s="12" t="str">
        <f>CONCATENATE("XT",$U187)</f>
        <v>XT59</v>
      </c>
      <c r="SA187" s="12">
        <v>25</v>
      </c>
      <c r="SB187" s="12">
        <f>SA187+1</f>
        <v>26</v>
      </c>
      <c r="SC187" s="12">
        <f t="shared" ref="SC187:SY187" si="199">SB187+1</f>
        <v>27</v>
      </c>
      <c r="SD187" s="12">
        <f t="shared" si="199"/>
        <v>28</v>
      </c>
      <c r="SE187" s="12">
        <f t="shared" si="199"/>
        <v>29</v>
      </c>
      <c r="SF187" s="12">
        <f t="shared" si="199"/>
        <v>30</v>
      </c>
      <c r="SG187" s="12">
        <f t="shared" si="199"/>
        <v>31</v>
      </c>
      <c r="SH187" s="12">
        <f t="shared" si="199"/>
        <v>32</v>
      </c>
      <c r="SI187" s="12">
        <f t="shared" si="199"/>
        <v>33</v>
      </c>
      <c r="SJ187" s="12">
        <f t="shared" si="199"/>
        <v>34</v>
      </c>
      <c r="SK187" s="12">
        <f t="shared" si="199"/>
        <v>35</v>
      </c>
      <c r="SL187" s="12">
        <f t="shared" si="199"/>
        <v>36</v>
      </c>
      <c r="SM187" s="12">
        <f t="shared" si="199"/>
        <v>37</v>
      </c>
      <c r="SN187" s="12">
        <f t="shared" si="199"/>
        <v>38</v>
      </c>
      <c r="SO187" s="12">
        <f t="shared" si="199"/>
        <v>39</v>
      </c>
      <c r="SP187" s="12">
        <f t="shared" si="199"/>
        <v>40</v>
      </c>
      <c r="SQ187" s="12">
        <f t="shared" si="199"/>
        <v>41</v>
      </c>
      <c r="SR187" s="12">
        <f t="shared" si="199"/>
        <v>42</v>
      </c>
      <c r="SS187" s="12">
        <f t="shared" si="199"/>
        <v>43</v>
      </c>
      <c r="ST187" s="12">
        <f t="shared" si="199"/>
        <v>44</v>
      </c>
      <c r="SU187" s="12">
        <f t="shared" si="199"/>
        <v>45</v>
      </c>
      <c r="SV187" s="12">
        <f t="shared" si="199"/>
        <v>46</v>
      </c>
      <c r="SW187" s="12">
        <f t="shared" si="199"/>
        <v>47</v>
      </c>
      <c r="SX187" s="12">
        <f t="shared" si="199"/>
        <v>48</v>
      </c>
      <c r="SY187" s="12">
        <f t="shared" si="199"/>
        <v>49</v>
      </c>
      <c r="SZ187" s="12" t="s">
        <v>1060</v>
      </c>
      <c r="TA187" s="12" t="s">
        <v>1116</v>
      </c>
      <c r="TB187" s="12" t="s">
        <v>1117</v>
      </c>
      <c r="TC187" s="12" t="s">
        <v>1118</v>
      </c>
      <c r="TD187" s="12" t="s">
        <v>1119</v>
      </c>
      <c r="TE187" s="12" t="s">
        <v>1120</v>
      </c>
      <c r="TF187" s="12" t="s">
        <v>1121</v>
      </c>
      <c r="TG187" s="12" t="s">
        <v>1122</v>
      </c>
      <c r="TH187" s="12" t="s">
        <v>1123</v>
      </c>
      <c r="TI187" s="12" t="s">
        <v>1124</v>
      </c>
      <c r="TJ187" s="12" t="s">
        <v>1125</v>
      </c>
      <c r="TK187" s="12" t="s">
        <v>1126</v>
      </c>
      <c r="TL187" s="12" t="s">
        <v>1059</v>
      </c>
      <c r="TM187" s="12" t="s">
        <v>1128</v>
      </c>
      <c r="TN187" s="12" t="s">
        <v>1129</v>
      </c>
      <c r="TO187" s="12" t="s">
        <v>1130</v>
      </c>
      <c r="TP187" s="12" t="s">
        <v>1132</v>
      </c>
      <c r="TQ187" s="12" t="s">
        <v>1131</v>
      </c>
      <c r="TR187" s="12" t="s">
        <v>1133</v>
      </c>
      <c r="TS187" s="12" t="s">
        <v>1134</v>
      </c>
      <c r="TT187" s="12" t="s">
        <v>1135</v>
      </c>
      <c r="TU187" s="12" t="s">
        <v>1136</v>
      </c>
      <c r="TV187" s="12" t="s">
        <v>1137</v>
      </c>
      <c r="TW187" s="13" t="s">
        <v>1138</v>
      </c>
    </row>
    <row r="188" spans="1:543" x14ac:dyDescent="0.25">
      <c r="A188" s="83" t="s">
        <v>1169</v>
      </c>
      <c r="B188" s="86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1977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SUM(IF(ISNUMBER(FIND("TmAi",$BE$1:$AAQ$1)),IF(IFERROR(ISODD(SUBSTITUTE($BE188:$AAQ188,"A","")),FALSE),IF(ISODD(SUBSTITUTE($BE188:$AAQ188,"A","")),1,0),0)))</f>
        <v>1</v>
      </c>
      <c r="AA188" t="str">
        <f t="shared" si="189"/>
        <v>1A</v>
      </c>
      <c r="AB188" t="str">
        <f t="shared" si="190"/>
        <v>1B</v>
      </c>
      <c r="AD188" s="46"/>
      <c r="AE188" s="46">
        <f t="array" ref="AE188">SUM(IF(ISNUMBER(FIND("TmDi",$BE$1:$AAQ$1)),IF(IFERROR(ISNUMBER(VALUE(SUBSTITUTE($BE188:$AAQ188,"B",""))),FALSE),IF(ISNUMBER(VALUE(SUBSTITUTE($BE188:$AAQ188,"B",""))),1,0),0)))</f>
        <v>0</v>
      </c>
      <c r="AP188" t="s">
        <v>137</v>
      </c>
      <c r="AR188" t="s">
        <v>1152</v>
      </c>
      <c r="AS188" t="s">
        <v>396</v>
      </c>
      <c r="OL188" s="25" t="str">
        <f>CONCATENATE("XT",$U188)</f>
        <v>XT60</v>
      </c>
      <c r="OM188" s="12" t="s">
        <v>1174</v>
      </c>
      <c r="ON188" s="12" t="s">
        <v>1179</v>
      </c>
      <c r="OO188" s="12"/>
      <c r="OP188" s="12"/>
      <c r="OQ188" s="12" t="str">
        <f>CONCATENATE(REPLACE($AA188,LEN($AA188),1,"")+1,RIGHT($AA188))</f>
        <v>2A</v>
      </c>
      <c r="OR188" s="12" t="str">
        <f>CONCATENATE(REPLACE($AB188,LEN($AB188),1,"")+1,RIGHT($AB188))</f>
        <v>2B</v>
      </c>
      <c r="OS188" s="12" t="str">
        <f t="shared" ref="OS188:OV190" si="200">CONCATENATE(REPLACE(OQ188,LEN(OQ188),1,"")+1,RIGHT(OQ188))</f>
        <v>3A</v>
      </c>
      <c r="OT188" s="12" t="str">
        <f t="shared" si="200"/>
        <v>3B</v>
      </c>
      <c r="OU188" s="12" t="str">
        <f t="shared" si="200"/>
        <v>4A</v>
      </c>
      <c r="OV188" s="12" t="str">
        <f t="shared" si="200"/>
        <v>4B</v>
      </c>
      <c r="OW188" s="12"/>
      <c r="OX188" s="12"/>
      <c r="OY188" s="12"/>
      <c r="OZ188" s="12"/>
      <c r="PA188" s="12" t="str">
        <f>CONCATENATE($T188,"-AI",REPLACE($X188,1,3,""),"-",$AA188)</f>
        <v>F0-AI40-1A</v>
      </c>
      <c r="PB188" s="12" t="str">
        <f>CONCATENATE($T188,"-AI",REPLACE($X188,1,3,""),"-",$AB188)</f>
        <v>F0-AI40-1B</v>
      </c>
      <c r="PC188" s="12" t="str">
        <f t="shared" ref="PC188:PH190" si="201">CONCATENATE($T188,"-AI",REPLACE($X188,1,3,""),"-",OQ188)</f>
        <v>F0-AI40-2A</v>
      </c>
      <c r="PD188" s="12" t="str">
        <f t="shared" si="201"/>
        <v>F0-AI40-2B</v>
      </c>
      <c r="PE188" s="12" t="str">
        <f t="shared" si="201"/>
        <v>F0-AI40-3A</v>
      </c>
      <c r="PF188" s="12" t="str">
        <f t="shared" si="201"/>
        <v>F0-AI40-3B</v>
      </c>
      <c r="PG188" s="12" t="str">
        <f t="shared" si="201"/>
        <v>F0-AI40-4A</v>
      </c>
      <c r="PH188" s="12" t="str">
        <f t="shared" si="201"/>
        <v>F0-AI40-4B</v>
      </c>
      <c r="PI188" s="12"/>
      <c r="PJ188" s="12"/>
      <c r="PK188" s="12"/>
      <c r="PL188" s="12"/>
      <c r="PM188" s="12">
        <f t="array" ref="PM188">IF(COUNTIFS($U$2:$U188,$U188)=1,1,INDEX(PM:PM,_xlfn.XMATCH($U188,$U$1:EF187,0,-1))+COUNT(PM187:PR187))</f>
        <v>1</v>
      </c>
      <c r="PN188" s="12">
        <f t="shared" ref="PN188:PR190" si="202">PM188+1</f>
        <v>2</v>
      </c>
      <c r="PO188" s="12">
        <f t="shared" si="202"/>
        <v>3</v>
      </c>
      <c r="PP188" s="12">
        <f t="shared" si="202"/>
        <v>4</v>
      </c>
      <c r="PQ188" s="12">
        <f t="shared" si="202"/>
        <v>5</v>
      </c>
      <c r="PR188" s="12">
        <f t="shared" si="202"/>
        <v>6</v>
      </c>
      <c r="PS188" s="12"/>
      <c r="PT188" s="12"/>
      <c r="PU188" s="12"/>
      <c r="PV188" s="12">
        <v>1</v>
      </c>
      <c r="PW188" s="12">
        <v>2</v>
      </c>
      <c r="PX188" s="12">
        <v>3</v>
      </c>
      <c r="PY188" s="12">
        <v>4</v>
      </c>
      <c r="PZ188" s="12">
        <v>5</v>
      </c>
      <c r="QA188" s="13">
        <v>6</v>
      </c>
    </row>
    <row r="189" spans="1:543" ht="15.75" thickBot="1" x14ac:dyDescent="0.3">
      <c r="A189" s="83" t="s">
        <v>1170</v>
      </c>
      <c r="B189" s="83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A3.40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SUM(IF(ISNUMBER(FIND("TmAi",$BE$1:$AAQ$1)),IF(IFERROR(ISODD(SUBSTITUTE($BE189:$AAQ189,"A","")),FALSE),IF(ISODD(SUBSTITUTE($BE189:$AAQ189,"A","")),1,0),0)))</f>
        <v>1</v>
      </c>
      <c r="AA189" t="str">
        <f t="shared" si="189"/>
        <v>5A</v>
      </c>
      <c r="AB189" t="str">
        <f t="shared" si="190"/>
        <v>5B</v>
      </c>
      <c r="AD189" s="46"/>
      <c r="AE189" s="46">
        <f t="array" ref="AE189">SUM(IF(ISNUMBER(FIND("TmDi",$BE$1:$AAQ$1)),IF(IFERROR(ISNUMBER(VALUE(SUBSTITUTE($BE189:$AAQ189,"B",""))),FALSE),IF(ISNUMBER(VALUE(SUBSTITUTE($BE189:$AAQ189,"B",""))),1,0),0)))</f>
        <v>0</v>
      </c>
      <c r="AP189" t="s">
        <v>137</v>
      </c>
      <c r="AR189" t="s">
        <v>1152</v>
      </c>
      <c r="AS189" t="s">
        <v>396</v>
      </c>
      <c r="OL189" s="27" t="str">
        <f>CONCATENATE("XT",$U189)</f>
        <v>XT60</v>
      </c>
      <c r="OM189" t="s">
        <v>1175</v>
      </c>
      <c r="ON189" t="s">
        <v>1181</v>
      </c>
      <c r="OQ189" t="str">
        <f>CONCATENATE(REPLACE($AA189,LEN($AA189),1,"")+1,RIGHT($AA189))</f>
        <v>6A</v>
      </c>
      <c r="OR189" t="str">
        <f>CONCATENATE(REPLACE($AB189,LEN($AB189),1,"")+1,RIGHT($AB189))</f>
        <v>6B</v>
      </c>
      <c r="OS189" t="str">
        <f t="shared" si="200"/>
        <v>7A</v>
      </c>
      <c r="OT189" t="str">
        <f t="shared" si="200"/>
        <v>7B</v>
      </c>
      <c r="OU189" t="str">
        <f t="shared" si="200"/>
        <v>8A</v>
      </c>
      <c r="OV189" t="str">
        <f t="shared" si="200"/>
        <v>8B</v>
      </c>
      <c r="PA189" t="str">
        <f>CONCATENATE($T189,"-AI",REPLACE($X189,1,3,""),"-",$AA189)</f>
        <v>F0-AI40-5A</v>
      </c>
      <c r="PB189" t="str">
        <f>CONCATENATE($T189,"-AI",REPLACE($X189,1,3,""),"-",$AB189)</f>
        <v>F0-AI40-5B</v>
      </c>
      <c r="PC189" t="str">
        <f t="shared" si="201"/>
        <v>F0-AI40-6A</v>
      </c>
      <c r="PD189" t="str">
        <f t="shared" si="201"/>
        <v>F0-AI40-6B</v>
      </c>
      <c r="PE189" t="str">
        <f t="shared" si="201"/>
        <v>F0-AI40-7A</v>
      </c>
      <c r="PF189" t="str">
        <f t="shared" si="201"/>
        <v>F0-AI40-7B</v>
      </c>
      <c r="PG189" t="str">
        <f t="shared" si="201"/>
        <v>F0-AI40-8A</v>
      </c>
      <c r="PH189" t="str">
        <f t="shared" si="201"/>
        <v>F0-AI40-8B</v>
      </c>
      <c r="PM189">
        <f t="array" ref="PM189">IF(COUNTIFS($U$2:$U189,$U189)=1,1,INDEX(PM:PM,_xlfn.XMATCH($U189,$U$1:$U188,0,-1))+COUNT(PM188:PR188))</f>
        <v>7</v>
      </c>
      <c r="PN189">
        <f t="shared" si="202"/>
        <v>8</v>
      </c>
      <c r="PO189">
        <f t="shared" si="202"/>
        <v>9</v>
      </c>
      <c r="PP189">
        <f t="shared" si="202"/>
        <v>10</v>
      </c>
      <c r="PQ189">
        <f t="shared" si="202"/>
        <v>11</v>
      </c>
      <c r="PR189">
        <f t="shared" si="202"/>
        <v>12</v>
      </c>
      <c r="PV189">
        <v>7</v>
      </c>
      <c r="PW189">
        <v>8</v>
      </c>
      <c r="PX189">
        <v>9</v>
      </c>
      <c r="PY189">
        <v>10</v>
      </c>
      <c r="PZ189">
        <v>11</v>
      </c>
      <c r="QA189" s="16">
        <v>12</v>
      </c>
    </row>
    <row r="190" spans="1:543" ht="15.75" thickBot="1" x14ac:dyDescent="0.3">
      <c r="A190" s="83" t="s">
        <v>1171</v>
      </c>
      <c r="B190" s="83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A3.40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SUM(IF(ISNUMBER(FIND("TmAi",$BE$1:$AAQ$1)),IF(IFERROR(ISODD(SUBSTITUTE($BE190:$AAQ190,"A","")),FALSE),IF(ISODD(SUBSTITUTE($BE190:$AAQ190,"A","")),1,0),0)))</f>
        <v>2</v>
      </c>
      <c r="AA190" t="str">
        <f t="shared" si="189"/>
        <v>9A</v>
      </c>
      <c r="AB190" t="str">
        <f t="shared" si="190"/>
        <v>9B</v>
      </c>
      <c r="AD190" s="46"/>
      <c r="AE190" s="46">
        <f t="array" ref="AE190">SUM(IF(ISNUMBER(FIND("TmDi",$BE$1:$AAQ$1)),IF(IFERROR(ISNUMBER(VALUE(SUBSTITUTE($BE190:$AAQ190,"B",""))),FALSE),IF(ISNUMBER(VALUE(SUBSTITUTE($BE190:$AAQ190,"B",""))),1,0),0)))</f>
        <v>0</v>
      </c>
      <c r="AP190" t="s">
        <v>137</v>
      </c>
      <c r="AR190" t="s">
        <v>1153</v>
      </c>
      <c r="AS190" t="s">
        <v>396</v>
      </c>
      <c r="OL190" s="27" t="str">
        <f>CONCATENATE("XT",$U190)</f>
        <v>XT60</v>
      </c>
      <c r="OM190" t="s">
        <v>1176</v>
      </c>
      <c r="ON190" t="s">
        <v>1183</v>
      </c>
      <c r="OO190" t="s">
        <v>1320</v>
      </c>
      <c r="OP190" t="s">
        <v>1319</v>
      </c>
      <c r="OQ190" t="str">
        <f>CONCATENATE(REPLACE($AA190,LEN($AA190),1,"")+1,RIGHT($AA190))</f>
        <v>10A</v>
      </c>
      <c r="OR190" t="str">
        <f>CONCATENATE(REPLACE($AB190,LEN($AB190),1,"")+1,RIGHT($AB190))</f>
        <v>10B</v>
      </c>
      <c r="OS190" t="str">
        <f t="shared" si="200"/>
        <v>11A</v>
      </c>
      <c r="OT190" t="str">
        <f t="shared" si="200"/>
        <v>11B</v>
      </c>
      <c r="OU190" t="str">
        <f t="shared" si="200"/>
        <v>12A</v>
      </c>
      <c r="OV190" t="str">
        <f t="shared" si="200"/>
        <v>12B</v>
      </c>
      <c r="OW190" t="str">
        <f>CONCATENATE(REPLACE(OU190,LEN(OU190),1,"")+1,RIGHT(OU190))</f>
        <v>13A</v>
      </c>
      <c r="OX190" t="str">
        <f>CONCATENATE(REPLACE(OV190,LEN(OV190),1,"")+1,RIGHT(OV190))</f>
        <v>13B</v>
      </c>
      <c r="OY190" t="str">
        <f>CONCATENATE(REPLACE(OW190,LEN(OW190),1,"")+1,RIGHT(OW190))</f>
        <v>14A</v>
      </c>
      <c r="OZ190" t="str">
        <f>CONCATENATE(REPLACE(OX190,LEN(OX190),1,"")+1,RIGHT(OX190))</f>
        <v>14B</v>
      </c>
      <c r="PA190" t="str">
        <f>CONCATENATE($T190,"-AI",REPLACE($X190,1,3,""),"-",$AA190)</f>
        <v>F0-AI40-9A</v>
      </c>
      <c r="PB190" t="str">
        <f>CONCATENATE($T190,"-AI",REPLACE($X190,1,3,""),"-",$AB190)</f>
        <v>F0-AI40-9B</v>
      </c>
      <c r="PC190" t="str">
        <f t="shared" si="201"/>
        <v>F0-AI40-10A</v>
      </c>
      <c r="PD190" t="str">
        <f t="shared" si="201"/>
        <v>F0-AI40-10B</v>
      </c>
      <c r="PE190" t="str">
        <f t="shared" si="201"/>
        <v>F0-AI40-11A</v>
      </c>
      <c r="PF190" t="str">
        <f t="shared" si="201"/>
        <v>F0-AI40-11B</v>
      </c>
      <c r="PG190" t="str">
        <f t="shared" si="201"/>
        <v>F0-AI40-12A</v>
      </c>
      <c r="PH190" t="str">
        <f t="shared" si="201"/>
        <v>F0-AI40-12B</v>
      </c>
      <c r="PI190" t="str">
        <f>CONCATENATE($T190,"-AI",REPLACE($X190,1,3,""),"-",OW190)</f>
        <v>F0-AI40-13A</v>
      </c>
      <c r="PJ190" t="str">
        <f>CONCATENATE($T190,"-AI",REPLACE($X190,1,3,""),"-",OX190)</f>
        <v>F0-AI40-13B</v>
      </c>
      <c r="PK190" t="str">
        <f>CONCATENATE($T190,"-AI",REPLACE($X190,1,3,""),"-",OY190)</f>
        <v>F0-AI40-14A</v>
      </c>
      <c r="PL190" t="str">
        <f>CONCATENATE($T190,"-AI",REPLACE($X190,1,3,""),"-",OZ190)</f>
        <v>F0-AI40-14B</v>
      </c>
      <c r="PM190">
        <f t="array" ref="PM190">IF(COUNTIFS($U$2:$U190,$U190)=1,1,INDEX(PM:PM,_xlfn.XMATCH($U190,$U$1:$U189,0,-1))+COUNT(PM189:PR189))</f>
        <v>13</v>
      </c>
      <c r="PN190">
        <f t="shared" si="202"/>
        <v>14</v>
      </c>
      <c r="PO190">
        <f t="shared" si="202"/>
        <v>15</v>
      </c>
      <c r="PP190">
        <f t="shared" si="202"/>
        <v>16</v>
      </c>
      <c r="PQ190">
        <f t="shared" si="202"/>
        <v>17</v>
      </c>
      <c r="PR190">
        <f t="shared" si="202"/>
        <v>18</v>
      </c>
      <c r="PS190">
        <f>PR190+1</f>
        <v>19</v>
      </c>
      <c r="PT190">
        <f>PS190+1</f>
        <v>20</v>
      </c>
      <c r="PU190">
        <f>PT190+1</f>
        <v>21</v>
      </c>
      <c r="PV190">
        <v>1</v>
      </c>
      <c r="PW190">
        <v>2</v>
      </c>
      <c r="PX190">
        <v>3</v>
      </c>
      <c r="PY190">
        <v>4</v>
      </c>
      <c r="PZ190">
        <v>5</v>
      </c>
      <c r="QA190">
        <v>6</v>
      </c>
      <c r="QB190" s="23">
        <v>7</v>
      </c>
      <c r="QC190" s="23">
        <v>8</v>
      </c>
      <c r="QD190" s="24">
        <v>9</v>
      </c>
    </row>
    <row r="191" spans="1:543" ht="15.75" thickBot="1" x14ac:dyDescent="0.3">
      <c r="A191" s="83" t="s">
        <v>1172</v>
      </c>
      <c r="B191" s="83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1247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SUM(IF(ISNUMBER(FIND("TmAi",$BE$1:$AAQ$1)),IF(IFERROR(ISODD(SUBSTITUTE($BE191:$AAQ191,"A","")),FALSE),IF(ISODD(SUBSTITUTE($BE191:$AAQ191,"A","")),1,0),0)))</f>
        <v>0</v>
      </c>
      <c r="AA191" t="str">
        <f>CONCATENATE($Y191*2-1,"B")</f>
        <v>1B</v>
      </c>
      <c r="AB191" t="str">
        <f>CONCATENATE($Y191*2,"B")</f>
        <v>2B</v>
      </c>
      <c r="AD191" s="46"/>
      <c r="AE191" s="46">
        <f t="array" ref="AE191">SUM(IF(ISNUMBER(FIND("TmDi",$BE$1:$AAQ$1)),IF(IFERROR(ISNUMBER(VALUE(SUBSTITUTE($BE191:$AAQ191,"B",""))),FALSE),IF(ISNUMBER(VALUE(SUBSTITUTE($BE191:$AAQ191,"B",""))),1,0),0)))</f>
        <v>0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F0-AI24-1B</v>
      </c>
      <c r="KD191" t="str">
        <f>CONCATENATE(T191,"-AI",REPLACE($X191,1,3,""),"-",AB191)</f>
        <v>F0-AI24-2B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L191" s="27"/>
      <c r="QA191" s="16"/>
    </row>
    <row r="192" spans="1:543" ht="15.75" thickBot="1" x14ac:dyDescent="0.3">
      <c r="A192" s="83" t="s">
        <v>2363</v>
      </c>
      <c r="B192" s="85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A3.24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SUM(IF(ISNUMBER(FIND("TmAi",$BE$1:$AAQ$1)),IF(IFERROR(ISODD(SUBSTITUTE($BE192:$AAQ192,"A","")),FALSE),IF(ISODD(SUBSTITUTE($BE192:$AAQ192,"A","")),1,0),0)))</f>
        <v>11</v>
      </c>
      <c r="AA192" t="str">
        <f t="shared" si="189"/>
        <v>3A</v>
      </c>
      <c r="AB192" t="str">
        <f t="shared" si="190"/>
        <v>3B</v>
      </c>
      <c r="AD192" s="46"/>
      <c r="AE192" s="46">
        <f t="array" ref="AE192">SUM(IF(ISNUMBER(FIND("TmDi",$BE$1:$AAQ$1)),IF(IFERROR(ISNUMBER(VALUE(SUBSTITUTE($BE192:$AAQ192,"B",""))),FALSE),IF(ISNUMBER(VALUE(SUBSTITUTE($BE192:$AAQ192,"B",""))),1,0),0)))</f>
        <v>0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QE192" s="25" t="str">
        <f>REPLACE(X192,FIND(".",X192)+1,3,MID(X192,FIND(".",X192)+1,3)+1)</f>
        <v>A3.25</v>
      </c>
      <c r="QF192" s="12" t="str">
        <f>CONCATENATE(VALUE(SUBSTITUTE($AB192,"B",""))+2,"B")</f>
        <v>5B</v>
      </c>
      <c r="QG192" s="12" t="str">
        <f>CONCATENATE(VALUE(SUBSTITUTE($AA192,"A",""))+2,"A")</f>
        <v>5A</v>
      </c>
      <c r="QH192" s="12" t="str">
        <f>CONCATENATE(VALUE(SUBSTITUTE(QF192,"B",""))+2,"B")</f>
        <v>7B</v>
      </c>
      <c r="QI192" s="12" t="str">
        <f>CONCATENATE(VALUE(SUBSTITUTE(QG192,"A",""))+2,"A")</f>
        <v>7A</v>
      </c>
      <c r="QJ192" s="12" t="str">
        <f>CONCATENATE(VALUE(SUBSTITUTE(QH192,"B",""))+2,"B")</f>
        <v>9B</v>
      </c>
      <c r="QK192" s="12" t="str">
        <f>CONCATENATE(VALUE(SUBSTITUTE(QI192,"A",""))+2,"A")</f>
        <v>9A</v>
      </c>
      <c r="QL192" s="12" t="str">
        <f>CONCATENATE(VALUE(SUBSTITUTE(QJ192,"B",""))+2,"B")</f>
        <v>11B</v>
      </c>
      <c r="QM192" s="12" t="str">
        <f>CONCATENATE(VALUE(SUBSTITUTE(QK192,"A",""))+2,"A")</f>
        <v>11A</v>
      </c>
      <c r="QN192" s="12" t="str">
        <f>CONCATENATE(VALUE(SUBSTITUTE(QL192,"B",""))+2,"B")</f>
        <v>13B</v>
      </c>
      <c r="QO192" s="12" t="str">
        <f>CONCATENATE(VALUE(SUBSTITUTE(QM192,"A",""))+2,"A")</f>
        <v>13A</v>
      </c>
      <c r="QP192" s="12" t="s">
        <v>135</v>
      </c>
      <c r="QQ192" s="12" t="s">
        <v>136</v>
      </c>
      <c r="QR192" s="12" t="str">
        <f>CONCATENATE(VALUE(SUBSTITUTE(QP192,"B",""))+2,"B")</f>
        <v>3B</v>
      </c>
      <c r="QS192" s="12" t="str">
        <f>CONCATENATE(VALUE(SUBSTITUTE(QQ192,"A",""))+2,"A")</f>
        <v>3A</v>
      </c>
      <c r="QT192" s="12" t="str">
        <f>CONCATENATE(VALUE(SUBSTITUTE(QR192,"B",""))+2,"B")</f>
        <v>5B</v>
      </c>
      <c r="QU192" s="12" t="str">
        <f>CONCATENATE(VALUE(SUBSTITUTE(QS192,"A",""))+2,"A")</f>
        <v>5A</v>
      </c>
      <c r="QV192" s="12" t="str">
        <f>CONCATENATE(VALUE(SUBSTITUTE(QT192,"B",""))+2,"B")</f>
        <v>7B</v>
      </c>
      <c r="QW192" s="12" t="str">
        <f>CONCATENATE(VALUE(SUBSTITUTE(QU192,"A",""))+2,"A")</f>
        <v>7A</v>
      </c>
      <c r="QX192" s="12" t="str">
        <f>CONCATENATE(VALUE(SUBSTITUTE(QV192,"B",""))+2,"B")</f>
        <v>9B</v>
      </c>
      <c r="QY192" s="12" t="str">
        <f>CONCATENATE(VALUE(SUBSTITUTE(QW192,"A",""))+2,"A")</f>
        <v>9A</v>
      </c>
      <c r="QZ192" s="12" t="str">
        <f>CONCATENATE(VALUE(SUBSTITUTE(QX192,"B",""))+2,"B")</f>
        <v>11B</v>
      </c>
      <c r="RA192" s="12" t="str">
        <f>CONCATENATE(VALUE(SUBSTITUTE(QY192,"A",""))+2,"A")</f>
        <v>11A</v>
      </c>
      <c r="RB192" s="12" t="str">
        <f>CONCATENATE($T192,"-AI",REPLACE($X192,1,3,""),"-",AB192)</f>
        <v>F0-AI24-3B</v>
      </c>
      <c r="RC192" s="12" t="str">
        <f>CONCATENATE($T192,"-AI",REPLACE($X192,1,3,""),"-",AA192)</f>
        <v>F0-AI24-3A</v>
      </c>
      <c r="RD192" s="12" t="str">
        <f t="shared" ref="RD192:RM192" si="203">CONCATENATE($T192,"-AI",REPLACE($X192,1,3,""),"-",QF192)</f>
        <v>F0-AI24-5B</v>
      </c>
      <c r="RE192" s="12" t="str">
        <f t="shared" si="203"/>
        <v>F0-AI24-5A</v>
      </c>
      <c r="RF192" s="12" t="str">
        <f t="shared" si="203"/>
        <v>F0-AI24-7B</v>
      </c>
      <c r="RG192" s="12" t="str">
        <f t="shared" si="203"/>
        <v>F0-AI24-7A</v>
      </c>
      <c r="RH192" s="12" t="str">
        <f t="shared" si="203"/>
        <v>F0-AI24-9B</v>
      </c>
      <c r="RI192" s="12" t="str">
        <f t="shared" si="203"/>
        <v>F0-AI24-9A</v>
      </c>
      <c r="RJ192" s="12" t="str">
        <f t="shared" si="203"/>
        <v>F0-AI24-11B</v>
      </c>
      <c r="RK192" s="12" t="str">
        <f t="shared" si="203"/>
        <v>F0-AI24-11A</v>
      </c>
      <c r="RL192" s="12" t="str">
        <f t="shared" si="203"/>
        <v>F0-AI24-13B</v>
      </c>
      <c r="RM192" s="12" t="str">
        <f t="shared" si="203"/>
        <v>F0-AI24-13A</v>
      </c>
      <c r="RN192" s="12" t="str">
        <f t="shared" ref="RN192:RY192" si="204">CONCATENATE($T192,"-AI",REPLACE($QE192,1,3,""),"-",QP192)</f>
        <v>F0-AI25-1B</v>
      </c>
      <c r="RO192" s="12" t="str">
        <f t="shared" si="204"/>
        <v>F0-AI25-1A</v>
      </c>
      <c r="RP192" s="12" t="str">
        <f t="shared" si="204"/>
        <v>F0-AI25-3B</v>
      </c>
      <c r="RQ192" s="12" t="str">
        <f t="shared" si="204"/>
        <v>F0-AI25-3A</v>
      </c>
      <c r="RR192" s="12" t="str">
        <f t="shared" si="204"/>
        <v>F0-AI25-5B</v>
      </c>
      <c r="RS192" s="12" t="str">
        <f t="shared" si="204"/>
        <v>F0-AI25-5A</v>
      </c>
      <c r="RT192" s="12" t="str">
        <f t="shared" si="204"/>
        <v>F0-AI25-7B</v>
      </c>
      <c r="RU192" s="12" t="str">
        <f t="shared" si="204"/>
        <v>F0-AI25-7A</v>
      </c>
      <c r="RV192" s="12" t="str">
        <f t="shared" si="204"/>
        <v>F0-AI25-9B</v>
      </c>
      <c r="RW192" s="12" t="str">
        <f t="shared" si="204"/>
        <v>F0-AI25-9A</v>
      </c>
      <c r="RX192" s="12" t="str">
        <f t="shared" si="204"/>
        <v>F0-AI25-11B</v>
      </c>
      <c r="RY192" s="12" t="str">
        <f t="shared" si="204"/>
        <v>F0-AI25-11A</v>
      </c>
      <c r="RZ192" s="12" t="str">
        <f>CONCATENATE("XT",$U192)</f>
        <v>XT60</v>
      </c>
      <c r="SA192" s="12">
        <v>25</v>
      </c>
      <c r="SB192" s="12">
        <f>SA192+1</f>
        <v>26</v>
      </c>
      <c r="SC192" s="12">
        <f t="shared" ref="SC192:SY192" si="205">SB192+1</f>
        <v>27</v>
      </c>
      <c r="SD192" s="12">
        <f t="shared" si="205"/>
        <v>28</v>
      </c>
      <c r="SE192" s="12">
        <f t="shared" si="205"/>
        <v>29</v>
      </c>
      <c r="SF192" s="12">
        <f t="shared" si="205"/>
        <v>30</v>
      </c>
      <c r="SG192" s="12">
        <f t="shared" si="205"/>
        <v>31</v>
      </c>
      <c r="SH192" s="12">
        <f t="shared" si="205"/>
        <v>32</v>
      </c>
      <c r="SI192" s="12">
        <f t="shared" si="205"/>
        <v>33</v>
      </c>
      <c r="SJ192" s="12">
        <f t="shared" si="205"/>
        <v>34</v>
      </c>
      <c r="SK192" s="12">
        <f t="shared" si="205"/>
        <v>35</v>
      </c>
      <c r="SL192" s="12">
        <f t="shared" si="205"/>
        <v>36</v>
      </c>
      <c r="SM192" s="12">
        <f t="shared" si="205"/>
        <v>37</v>
      </c>
      <c r="SN192" s="12">
        <f t="shared" si="205"/>
        <v>38</v>
      </c>
      <c r="SO192" s="12">
        <f t="shared" si="205"/>
        <v>39</v>
      </c>
      <c r="SP192" s="12">
        <f t="shared" si="205"/>
        <v>40</v>
      </c>
      <c r="SQ192" s="12">
        <f t="shared" si="205"/>
        <v>41</v>
      </c>
      <c r="SR192" s="12">
        <f t="shared" si="205"/>
        <v>42</v>
      </c>
      <c r="SS192" s="12">
        <f t="shared" si="205"/>
        <v>43</v>
      </c>
      <c r="ST192" s="12">
        <f t="shared" si="205"/>
        <v>44</v>
      </c>
      <c r="SU192" s="12">
        <f t="shared" si="205"/>
        <v>45</v>
      </c>
      <c r="SV192" s="12">
        <f t="shared" si="205"/>
        <v>46</v>
      </c>
      <c r="SW192" s="12">
        <f t="shared" si="205"/>
        <v>47</v>
      </c>
      <c r="SX192" s="12">
        <f t="shared" si="205"/>
        <v>48</v>
      </c>
      <c r="SY192" s="12">
        <f t="shared" si="205"/>
        <v>49</v>
      </c>
      <c r="SZ192" s="12" t="s">
        <v>1154</v>
      </c>
      <c r="TA192" s="12" t="s">
        <v>1155</v>
      </c>
      <c r="TB192" s="12" t="s">
        <v>1156</v>
      </c>
      <c r="TC192" s="12" t="s">
        <v>1157</v>
      </c>
      <c r="TD192" s="12" t="s">
        <v>1158</v>
      </c>
      <c r="TE192" s="12" t="s">
        <v>1159</v>
      </c>
      <c r="TF192" s="12" t="s">
        <v>1160</v>
      </c>
      <c r="TG192" s="12" t="s">
        <v>1161</v>
      </c>
      <c r="TH192" s="12" t="s">
        <v>1162</v>
      </c>
      <c r="TI192" s="12" t="s">
        <v>1163</v>
      </c>
      <c r="TJ192" s="12" t="s">
        <v>1164</v>
      </c>
      <c r="TK192" s="12" t="s">
        <v>1165</v>
      </c>
      <c r="TL192" s="12" t="s">
        <v>1059</v>
      </c>
      <c r="TM192" s="12" t="s">
        <v>1128</v>
      </c>
      <c r="TN192" s="12" t="s">
        <v>1129</v>
      </c>
      <c r="TO192" s="12" t="s">
        <v>1130</v>
      </c>
      <c r="TP192" s="12" t="s">
        <v>1132</v>
      </c>
      <c r="TQ192" s="12" t="s">
        <v>1131</v>
      </c>
      <c r="TR192" s="12" t="s">
        <v>1133</v>
      </c>
      <c r="TS192" s="12" t="s">
        <v>1134</v>
      </c>
      <c r="TT192" s="12" t="s">
        <v>1135</v>
      </c>
      <c r="TU192" s="12" t="s">
        <v>1136</v>
      </c>
      <c r="TV192" s="12" t="s">
        <v>1137</v>
      </c>
      <c r="TW192" s="13" t="s">
        <v>1138</v>
      </c>
    </row>
    <row r="193" spans="1:543" x14ac:dyDescent="0.25">
      <c r="A193" s="83" t="s">
        <v>1186</v>
      </c>
      <c r="B193" s="86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1978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SUM(IF(ISNUMBER(FIND("TmAi",$BE$1:$AAQ$1)),IF(IFERROR(ISODD(SUBSTITUTE($BE193:$AAQ193,"A","")),FALSE),IF(ISODD(SUBSTITUTE($BE193:$AAQ193,"A","")),1,0),0)))</f>
        <v>1</v>
      </c>
      <c r="AA193" t="str">
        <f t="shared" si="189"/>
        <v>1A</v>
      </c>
      <c r="AB193" t="str">
        <f t="shared" si="190"/>
        <v>1B</v>
      </c>
      <c r="AD193" s="46"/>
      <c r="AE193" s="46">
        <f t="array" ref="AE193">SUM(IF(ISNUMBER(FIND("TmDi",$BE$1:$AAQ$1)),IF(IFERROR(ISNUMBER(VALUE(SUBSTITUTE($BE193:$AAQ193,"B",""))),FALSE),IF(ISNUMBER(VALUE(SUBSTITUTE($BE193:$AAQ193,"B",""))),1,0),0)))</f>
        <v>0</v>
      </c>
      <c r="AP193" t="s">
        <v>137</v>
      </c>
      <c r="AR193" t="s">
        <v>1207</v>
      </c>
      <c r="AS193" t="s">
        <v>396</v>
      </c>
      <c r="OL193" s="25" t="str">
        <f>CONCATENATE("XT",$U193)</f>
        <v>XT61</v>
      </c>
      <c r="OM193" s="12" t="s">
        <v>1187</v>
      </c>
      <c r="ON193" s="12" t="s">
        <v>1323</v>
      </c>
      <c r="OO193" s="12"/>
      <c r="OP193" s="12"/>
      <c r="OQ193" s="12" t="str">
        <f>CONCATENATE(REPLACE($AA193,LEN($AA193),1,"")+1,RIGHT($AA193))</f>
        <v>2A</v>
      </c>
      <c r="OR193" s="12" t="str">
        <f>CONCATENATE(REPLACE($AB193,LEN($AB193),1,"")+1,RIGHT($AB193))</f>
        <v>2B</v>
      </c>
      <c r="OS193" s="12" t="str">
        <f t="shared" ref="OS193:OV195" si="206">CONCATENATE(REPLACE(OQ193,LEN(OQ193),1,"")+1,RIGHT(OQ193))</f>
        <v>3A</v>
      </c>
      <c r="OT193" s="12" t="str">
        <f t="shared" si="206"/>
        <v>3B</v>
      </c>
      <c r="OU193" s="12" t="str">
        <f t="shared" si="206"/>
        <v>4A</v>
      </c>
      <c r="OV193" s="12" t="str">
        <f t="shared" si="206"/>
        <v>4B</v>
      </c>
      <c r="OW193" s="12"/>
      <c r="OX193" s="12"/>
      <c r="OY193" s="12"/>
      <c r="OZ193" s="12"/>
      <c r="PA193" s="12" t="str">
        <f>CONCATENATE($T193,"-AI",REPLACE($X193,1,3,""),"-",$AA193)</f>
        <v>F0-AI41-1A</v>
      </c>
      <c r="PB193" s="12" t="str">
        <f>CONCATENATE($T193,"-AI",REPLACE($X193,1,3,""),"-",$AB193)</f>
        <v>F0-AI41-1B</v>
      </c>
      <c r="PC193" s="12" t="str">
        <f t="shared" ref="PC193:PH195" si="207">CONCATENATE($T193,"-AI",REPLACE($X193,1,3,""),"-",OQ193)</f>
        <v>F0-AI41-2A</v>
      </c>
      <c r="PD193" s="12" t="str">
        <f t="shared" si="207"/>
        <v>F0-AI41-2B</v>
      </c>
      <c r="PE193" s="12" t="str">
        <f t="shared" si="207"/>
        <v>F0-AI41-3A</v>
      </c>
      <c r="PF193" s="12" t="str">
        <f t="shared" si="207"/>
        <v>F0-AI41-3B</v>
      </c>
      <c r="PG193" s="12" t="str">
        <f t="shared" si="207"/>
        <v>F0-AI41-4A</v>
      </c>
      <c r="PH193" s="12" t="str">
        <f t="shared" si="207"/>
        <v>F0-AI41-4B</v>
      </c>
      <c r="PI193" s="12"/>
      <c r="PJ193" s="12"/>
      <c r="PK193" s="12"/>
      <c r="PL193" s="12"/>
      <c r="PM193" s="12">
        <f t="array" ref="PM193">IF(COUNTIFS($U$2:$U193,$U193)=1,1,INDEX(PM:PM,_xlfn.XMATCH($U193,$U$1:EF192,0,-1))+COUNT(PM192:PR192))</f>
        <v>1</v>
      </c>
      <c r="PN193" s="12">
        <f t="shared" ref="PN193:PR195" si="208">PM193+1</f>
        <v>2</v>
      </c>
      <c r="PO193" s="12">
        <f t="shared" si="208"/>
        <v>3</v>
      </c>
      <c r="PP193" s="12">
        <f t="shared" si="208"/>
        <v>4</v>
      </c>
      <c r="PQ193" s="12">
        <f t="shared" si="208"/>
        <v>5</v>
      </c>
      <c r="PR193" s="12">
        <f t="shared" si="208"/>
        <v>6</v>
      </c>
      <c r="PS193" s="12"/>
      <c r="PT193" s="12"/>
      <c r="PU193" s="12"/>
      <c r="PV193" s="12">
        <v>1</v>
      </c>
      <c r="PW193" s="12">
        <v>2</v>
      </c>
      <c r="PX193" s="12">
        <v>3</v>
      </c>
      <c r="PY193" s="12">
        <v>4</v>
      </c>
      <c r="PZ193" s="12">
        <v>5</v>
      </c>
      <c r="QA193" s="13">
        <v>6</v>
      </c>
    </row>
    <row r="194" spans="1:543" ht="15.75" thickBot="1" x14ac:dyDescent="0.3">
      <c r="A194" s="83" t="s">
        <v>1188</v>
      </c>
      <c r="B194" s="83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A3.41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SUM(IF(ISNUMBER(FIND("TmAi",$BE$1:$AAQ$1)),IF(IFERROR(ISODD(SUBSTITUTE($BE194:$AAQ194,"A","")),FALSE),IF(ISODD(SUBSTITUTE($BE194:$AAQ194,"A","")),1,0),0)))</f>
        <v>1</v>
      </c>
      <c r="AA194" t="str">
        <f t="shared" si="189"/>
        <v>5A</v>
      </c>
      <c r="AB194" t="str">
        <f t="shared" si="190"/>
        <v>5B</v>
      </c>
      <c r="AD194" s="46"/>
      <c r="AE194" s="46">
        <f t="array" ref="AE194">SUM(IF(ISNUMBER(FIND("TmDi",$BE$1:$AAQ$1)),IF(IFERROR(ISNUMBER(VALUE(SUBSTITUTE($BE194:$AAQ194,"B",""))),FALSE),IF(ISNUMBER(VALUE(SUBSTITUTE($BE194:$AAQ194,"B",""))),1,0),0)))</f>
        <v>0</v>
      </c>
      <c r="AP194" t="s">
        <v>137</v>
      </c>
      <c r="AR194" t="s">
        <v>1207</v>
      </c>
      <c r="AS194" t="s">
        <v>396</v>
      </c>
      <c r="OL194" s="27" t="str">
        <f>CONCATENATE("XT",$U194)</f>
        <v>XT61</v>
      </c>
      <c r="OM194" t="s">
        <v>1189</v>
      </c>
      <c r="ON194" t="s">
        <v>1324</v>
      </c>
      <c r="OQ194" t="str">
        <f>CONCATENATE(REPLACE($AA194,LEN($AA194),1,"")+1,RIGHT($AA194))</f>
        <v>6A</v>
      </c>
      <c r="OR194" t="str">
        <f>CONCATENATE(REPLACE($AB194,LEN($AB194),1,"")+1,RIGHT($AB194))</f>
        <v>6B</v>
      </c>
      <c r="OS194" t="str">
        <f t="shared" si="206"/>
        <v>7A</v>
      </c>
      <c r="OT194" t="str">
        <f t="shared" si="206"/>
        <v>7B</v>
      </c>
      <c r="OU194" t="str">
        <f t="shared" si="206"/>
        <v>8A</v>
      </c>
      <c r="OV194" t="str">
        <f t="shared" si="206"/>
        <v>8B</v>
      </c>
      <c r="PA194" t="str">
        <f>CONCATENATE($T194,"-AI",REPLACE($X194,1,3,""),"-",$AA194)</f>
        <v>F0-AI41-5A</v>
      </c>
      <c r="PB194" t="str">
        <f>CONCATENATE($T194,"-AI",REPLACE($X194,1,3,""),"-",$AB194)</f>
        <v>F0-AI41-5B</v>
      </c>
      <c r="PC194" t="str">
        <f t="shared" si="207"/>
        <v>F0-AI41-6A</v>
      </c>
      <c r="PD194" t="str">
        <f t="shared" si="207"/>
        <v>F0-AI41-6B</v>
      </c>
      <c r="PE194" t="str">
        <f t="shared" si="207"/>
        <v>F0-AI41-7A</v>
      </c>
      <c r="PF194" t="str">
        <f t="shared" si="207"/>
        <v>F0-AI41-7B</v>
      </c>
      <c r="PG194" t="str">
        <f t="shared" si="207"/>
        <v>F0-AI41-8A</v>
      </c>
      <c r="PH194" t="str">
        <f t="shared" si="207"/>
        <v>F0-AI41-8B</v>
      </c>
      <c r="PM194">
        <f t="array" ref="PM194">IF(COUNTIFS($U$2:$U194,$U194)=1,1,INDEX(PM:PM,_xlfn.XMATCH($U194,$U$1:$U193,0,-1))+COUNT(PM193:PR193))</f>
        <v>7</v>
      </c>
      <c r="PN194">
        <f t="shared" si="208"/>
        <v>8</v>
      </c>
      <c r="PO194">
        <f t="shared" si="208"/>
        <v>9</v>
      </c>
      <c r="PP194">
        <f t="shared" si="208"/>
        <v>10</v>
      </c>
      <c r="PQ194">
        <f t="shared" si="208"/>
        <v>11</v>
      </c>
      <c r="PR194">
        <f t="shared" si="208"/>
        <v>12</v>
      </c>
      <c r="PV194">
        <v>7</v>
      </c>
      <c r="PW194">
        <v>8</v>
      </c>
      <c r="PX194">
        <v>9</v>
      </c>
      <c r="PY194">
        <v>10</v>
      </c>
      <c r="PZ194">
        <v>11</v>
      </c>
      <c r="QA194" s="16">
        <v>12</v>
      </c>
    </row>
    <row r="195" spans="1:543" ht="15.75" thickBot="1" x14ac:dyDescent="0.3">
      <c r="A195" s="83" t="s">
        <v>1190</v>
      </c>
      <c r="B195" s="83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A3.41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SUM(IF(ISNUMBER(FIND("TmAi",$BE$1:$AAQ$1)),IF(IFERROR(ISODD(SUBSTITUTE($BE195:$AAQ195,"A","")),FALSE),IF(ISODD(SUBSTITUTE($BE195:$AAQ195,"A","")),1,0),0)))</f>
        <v>2</v>
      </c>
      <c r="AA195" t="str">
        <f t="shared" si="189"/>
        <v>9A</v>
      </c>
      <c r="AB195" t="str">
        <f t="shared" si="190"/>
        <v>9B</v>
      </c>
      <c r="AD195" s="46"/>
      <c r="AE195" s="46">
        <f t="array" ref="AE195">SUM(IF(ISNUMBER(FIND("TmDi",$BE$1:$AAQ$1)),IF(IFERROR(ISNUMBER(VALUE(SUBSTITUTE($BE195:$AAQ195,"B",""))),FALSE),IF(ISNUMBER(VALUE(SUBSTITUTE($BE195:$AAQ195,"B",""))),1,0),0)))</f>
        <v>0</v>
      </c>
      <c r="AP195" t="s">
        <v>137</v>
      </c>
      <c r="AR195" t="s">
        <v>1210</v>
      </c>
      <c r="AS195" t="s">
        <v>396</v>
      </c>
      <c r="OL195" s="27" t="str">
        <f>CONCATENATE("XT",$U195)</f>
        <v>XT61</v>
      </c>
      <c r="OM195" t="s">
        <v>1191</v>
      </c>
      <c r="ON195" t="s">
        <v>1325</v>
      </c>
      <c r="OO195" t="s">
        <v>1321</v>
      </c>
      <c r="OP195" t="s">
        <v>1326</v>
      </c>
      <c r="OQ195" t="str">
        <f>CONCATENATE(REPLACE($AA195,LEN($AA195),1,"")+1,RIGHT($AA195))</f>
        <v>10A</v>
      </c>
      <c r="OR195" t="str">
        <f>CONCATENATE(REPLACE($AB195,LEN($AB195),1,"")+1,RIGHT($AB195))</f>
        <v>10B</v>
      </c>
      <c r="OS195" t="str">
        <f t="shared" si="206"/>
        <v>11A</v>
      </c>
      <c r="OT195" t="str">
        <f t="shared" si="206"/>
        <v>11B</v>
      </c>
      <c r="OU195" t="str">
        <f t="shared" si="206"/>
        <v>12A</v>
      </c>
      <c r="OV195" t="str">
        <f t="shared" si="206"/>
        <v>12B</v>
      </c>
      <c r="OW195" t="str">
        <f>CONCATENATE(REPLACE(OU195,LEN(OU195),1,"")+1,RIGHT(OU195))</f>
        <v>13A</v>
      </c>
      <c r="OX195" t="str">
        <f>CONCATENATE(REPLACE(OV195,LEN(OV195),1,"")+1,RIGHT(OV195))</f>
        <v>13B</v>
      </c>
      <c r="OY195" t="str">
        <f>CONCATENATE(REPLACE(OW195,LEN(OW195),1,"")+1,RIGHT(OW195))</f>
        <v>14A</v>
      </c>
      <c r="OZ195" t="str">
        <f>CONCATENATE(REPLACE(OX195,LEN(OX195),1,"")+1,RIGHT(OX195))</f>
        <v>14B</v>
      </c>
      <c r="PA195" t="str">
        <f>CONCATENATE($T195,"-AI",REPLACE($X195,1,3,""),"-",$AA195)</f>
        <v>F0-AI41-9A</v>
      </c>
      <c r="PB195" t="str">
        <f>CONCATENATE($T195,"-AI",REPLACE($X195,1,3,""),"-",$AB195)</f>
        <v>F0-AI41-9B</v>
      </c>
      <c r="PC195" t="str">
        <f t="shared" si="207"/>
        <v>F0-AI41-10A</v>
      </c>
      <c r="PD195" t="str">
        <f t="shared" si="207"/>
        <v>F0-AI41-10B</v>
      </c>
      <c r="PE195" t="str">
        <f t="shared" si="207"/>
        <v>F0-AI41-11A</v>
      </c>
      <c r="PF195" t="str">
        <f t="shared" si="207"/>
        <v>F0-AI41-11B</v>
      </c>
      <c r="PG195" t="str">
        <f t="shared" si="207"/>
        <v>F0-AI41-12A</v>
      </c>
      <c r="PH195" t="str">
        <f t="shared" si="207"/>
        <v>F0-AI41-12B</v>
      </c>
      <c r="PI195" t="str">
        <f>CONCATENATE($T195,"-AI",REPLACE($X195,1,3,""),"-",OW195)</f>
        <v>F0-AI41-13A</v>
      </c>
      <c r="PJ195" t="str">
        <f>CONCATENATE($T195,"-AI",REPLACE($X195,1,3,""),"-",OX195)</f>
        <v>F0-AI41-13B</v>
      </c>
      <c r="PK195" t="str">
        <f>CONCATENATE($T195,"-AI",REPLACE($X195,1,3,""),"-",OY195)</f>
        <v>F0-AI41-14A</v>
      </c>
      <c r="PL195" t="str">
        <f>CONCATENATE($T195,"-AI",REPLACE($X195,1,3,""),"-",OZ195)</f>
        <v>F0-AI41-14B</v>
      </c>
      <c r="PM195">
        <f t="array" ref="PM195">IF(COUNTIFS($U$2:$U195,$U195)=1,1,INDEX(PM:PM,_xlfn.XMATCH($U195,$U$1:$U194,0,-1))+COUNT(PM194:PR194))</f>
        <v>13</v>
      </c>
      <c r="PN195">
        <f t="shared" si="208"/>
        <v>14</v>
      </c>
      <c r="PO195">
        <f t="shared" si="208"/>
        <v>15</v>
      </c>
      <c r="PP195">
        <f t="shared" si="208"/>
        <v>16</v>
      </c>
      <c r="PQ195">
        <f t="shared" si="208"/>
        <v>17</v>
      </c>
      <c r="PR195">
        <f t="shared" si="208"/>
        <v>18</v>
      </c>
      <c r="PS195">
        <f>PR195+1</f>
        <v>19</v>
      </c>
      <c r="PT195">
        <f>PS195+1</f>
        <v>20</v>
      </c>
      <c r="PU195">
        <f>PT195+1</f>
        <v>21</v>
      </c>
      <c r="PV195">
        <v>1</v>
      </c>
      <c r="PW195">
        <v>2</v>
      </c>
      <c r="PX195">
        <v>3</v>
      </c>
      <c r="PY195">
        <v>4</v>
      </c>
      <c r="PZ195">
        <v>5</v>
      </c>
      <c r="QA195">
        <v>6</v>
      </c>
      <c r="QB195" s="23">
        <v>7</v>
      </c>
      <c r="QC195" s="23">
        <v>8</v>
      </c>
      <c r="QD195" s="24">
        <v>9</v>
      </c>
    </row>
    <row r="196" spans="1:543" ht="15.75" thickBot="1" x14ac:dyDescent="0.3">
      <c r="A196" s="83" t="s">
        <v>1192</v>
      </c>
      <c r="B196" s="83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2966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SUM(IF(ISNUMBER(FIND("TmAi",$BE$1:$AAQ$1)),IF(IFERROR(ISODD(SUBSTITUTE($BE196:$AAQ196,"A","")),FALSE),IF(ISODD(SUBSTITUTE($BE196:$AAQ196,"A","")),1,0),0)))</f>
        <v>0</v>
      </c>
      <c r="AA196" t="str">
        <f>CONCATENATE($Y196*2-1,"B")</f>
        <v>1B</v>
      </c>
      <c r="AB196" t="str">
        <f>CONCATENATE($Y196*2,"B")</f>
        <v>2B</v>
      </c>
      <c r="AD196" s="46"/>
      <c r="AE196" s="46">
        <f t="array" ref="AE196">SUM(IF(ISNUMBER(FIND("TmDi",$BE$1:$AAQ$1)),IF(IFERROR(ISNUMBER(VALUE(SUBSTITUTE($BE196:$AAQ196,"B",""))),FALSE),IF(ISNUMBER(VALUE(SUBSTITUTE($BE196:$AAQ196,"B",""))),1,0),0)))</f>
        <v>0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F0-AI26-1B</v>
      </c>
      <c r="KD196" t="str">
        <f>CONCATENATE(T196,"-AI",REPLACE($X196,1,3,""),"-",AB196)</f>
        <v>F0-AI26-2B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L196" s="27"/>
      <c r="QA196" s="16"/>
    </row>
    <row r="197" spans="1:543" ht="15.75" thickBot="1" x14ac:dyDescent="0.3">
      <c r="A197" s="83" t="s">
        <v>2364</v>
      </c>
      <c r="B197" s="85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A3.26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SUM(IF(ISNUMBER(FIND("TmAi",$BE$1:$AAQ$1)),IF(IFERROR(ISODD(SUBSTITUTE($BE197:$AAQ197,"A","")),FALSE),IF(ISODD(SUBSTITUTE($BE197:$AAQ197,"A","")),1,0),0)))</f>
        <v>11</v>
      </c>
      <c r="AA197" t="str">
        <f t="shared" si="189"/>
        <v>3A</v>
      </c>
      <c r="AB197" t="str">
        <f t="shared" si="190"/>
        <v>3B</v>
      </c>
      <c r="AD197" s="46"/>
      <c r="AE197" s="46">
        <f t="array" ref="AE197">SUM(IF(ISNUMBER(FIND("TmDi",$BE$1:$AAQ$1)),IF(IFERROR(ISNUMBER(VALUE(SUBSTITUTE($BE197:$AAQ197,"B",""))),FALSE),IF(ISNUMBER(VALUE(SUBSTITUTE($BE197:$AAQ197,"B",""))),1,0),0)))</f>
        <v>0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QE197" s="25" t="str">
        <f>REPLACE(X197,FIND(".",X197)+1,3,MID(X197,FIND(".",X197)+1,3)+1)</f>
        <v>A3.27</v>
      </c>
      <c r="QF197" s="12" t="str">
        <f>CONCATENATE(VALUE(SUBSTITUTE($AB197,"B",""))+2,"B")</f>
        <v>5B</v>
      </c>
      <c r="QG197" s="12" t="str">
        <f>CONCATENATE(VALUE(SUBSTITUTE($AA197,"A",""))+2,"A")</f>
        <v>5A</v>
      </c>
      <c r="QH197" s="12" t="str">
        <f>CONCATENATE(VALUE(SUBSTITUTE(QF197,"B",""))+2,"B")</f>
        <v>7B</v>
      </c>
      <c r="QI197" s="12" t="str">
        <f>CONCATENATE(VALUE(SUBSTITUTE(QG197,"A",""))+2,"A")</f>
        <v>7A</v>
      </c>
      <c r="QJ197" s="12" t="str">
        <f>CONCATENATE(VALUE(SUBSTITUTE(QH197,"B",""))+2,"B")</f>
        <v>9B</v>
      </c>
      <c r="QK197" s="12" t="str">
        <f>CONCATENATE(VALUE(SUBSTITUTE(QI197,"A",""))+2,"A")</f>
        <v>9A</v>
      </c>
      <c r="QL197" s="12" t="str">
        <f>CONCATENATE(VALUE(SUBSTITUTE(QJ197,"B",""))+2,"B")</f>
        <v>11B</v>
      </c>
      <c r="QM197" s="12" t="str">
        <f>CONCATENATE(VALUE(SUBSTITUTE(QK197,"A",""))+2,"A")</f>
        <v>11A</v>
      </c>
      <c r="QN197" s="12" t="str">
        <f>CONCATENATE(VALUE(SUBSTITUTE(QL197,"B",""))+2,"B")</f>
        <v>13B</v>
      </c>
      <c r="QO197" s="12" t="str">
        <f>CONCATENATE(VALUE(SUBSTITUTE(QM197,"A",""))+2,"A")</f>
        <v>13A</v>
      </c>
      <c r="QP197" s="12" t="s">
        <v>135</v>
      </c>
      <c r="QQ197" s="12" t="s">
        <v>136</v>
      </c>
      <c r="QR197" s="12" t="str">
        <f>CONCATENATE(VALUE(SUBSTITUTE(QP197,"B",""))+2,"B")</f>
        <v>3B</v>
      </c>
      <c r="QS197" s="12" t="str">
        <f>CONCATENATE(VALUE(SUBSTITUTE(QQ197,"A",""))+2,"A")</f>
        <v>3A</v>
      </c>
      <c r="QT197" s="12" t="str">
        <f>CONCATENATE(VALUE(SUBSTITUTE(QR197,"B",""))+2,"B")</f>
        <v>5B</v>
      </c>
      <c r="QU197" s="12" t="str">
        <f>CONCATENATE(VALUE(SUBSTITUTE(QS197,"A",""))+2,"A")</f>
        <v>5A</v>
      </c>
      <c r="QV197" s="12" t="str">
        <f>CONCATENATE(VALUE(SUBSTITUTE(QT197,"B",""))+2,"B")</f>
        <v>7B</v>
      </c>
      <c r="QW197" s="12" t="str">
        <f>CONCATENATE(VALUE(SUBSTITUTE(QU197,"A",""))+2,"A")</f>
        <v>7A</v>
      </c>
      <c r="QX197" s="12" t="str">
        <f>CONCATENATE(VALUE(SUBSTITUTE(QV197,"B",""))+2,"B")</f>
        <v>9B</v>
      </c>
      <c r="QY197" s="12" t="str">
        <f>CONCATENATE(VALUE(SUBSTITUTE(QW197,"A",""))+2,"A")</f>
        <v>9A</v>
      </c>
      <c r="QZ197" s="12" t="str">
        <f>CONCATENATE(VALUE(SUBSTITUTE(QX197,"B",""))+2,"B")</f>
        <v>11B</v>
      </c>
      <c r="RA197" s="12" t="str">
        <f>CONCATENATE(VALUE(SUBSTITUTE(QY197,"A",""))+2,"A")</f>
        <v>11A</v>
      </c>
      <c r="RB197" s="12" t="str">
        <f>CONCATENATE($T197,"-AI",REPLACE($X197,1,3,""),"-",AB197)</f>
        <v>F0-AI26-3B</v>
      </c>
      <c r="RC197" s="12" t="str">
        <f>CONCATENATE($T197,"-AI",REPLACE($X197,1,3,""),"-",AA197)</f>
        <v>F0-AI26-3A</v>
      </c>
      <c r="RD197" s="12" t="str">
        <f t="shared" ref="RD197:RM197" si="209">CONCATENATE($T197,"-AI",REPLACE($X197,1,3,""),"-",QF197)</f>
        <v>F0-AI26-5B</v>
      </c>
      <c r="RE197" s="12" t="str">
        <f t="shared" si="209"/>
        <v>F0-AI26-5A</v>
      </c>
      <c r="RF197" s="12" t="str">
        <f t="shared" si="209"/>
        <v>F0-AI26-7B</v>
      </c>
      <c r="RG197" s="12" t="str">
        <f t="shared" si="209"/>
        <v>F0-AI26-7A</v>
      </c>
      <c r="RH197" s="12" t="str">
        <f t="shared" si="209"/>
        <v>F0-AI26-9B</v>
      </c>
      <c r="RI197" s="12" t="str">
        <f t="shared" si="209"/>
        <v>F0-AI26-9A</v>
      </c>
      <c r="RJ197" s="12" t="str">
        <f t="shared" si="209"/>
        <v>F0-AI26-11B</v>
      </c>
      <c r="RK197" s="12" t="str">
        <f t="shared" si="209"/>
        <v>F0-AI26-11A</v>
      </c>
      <c r="RL197" s="12" t="str">
        <f t="shared" si="209"/>
        <v>F0-AI26-13B</v>
      </c>
      <c r="RM197" s="12" t="str">
        <f t="shared" si="209"/>
        <v>F0-AI26-13A</v>
      </c>
      <c r="RN197" s="12" t="str">
        <f t="shared" ref="RN197:RY197" si="210">CONCATENATE($T197,"-AI",REPLACE($QE197,1,3,""),"-",QP197)</f>
        <v>F0-AI27-1B</v>
      </c>
      <c r="RO197" s="12" t="str">
        <f t="shared" si="210"/>
        <v>F0-AI27-1A</v>
      </c>
      <c r="RP197" s="12" t="str">
        <f t="shared" si="210"/>
        <v>F0-AI27-3B</v>
      </c>
      <c r="RQ197" s="12" t="str">
        <f t="shared" si="210"/>
        <v>F0-AI27-3A</v>
      </c>
      <c r="RR197" s="12" t="str">
        <f t="shared" si="210"/>
        <v>F0-AI27-5B</v>
      </c>
      <c r="RS197" s="12" t="str">
        <f t="shared" si="210"/>
        <v>F0-AI27-5A</v>
      </c>
      <c r="RT197" s="12" t="str">
        <f t="shared" si="210"/>
        <v>F0-AI27-7B</v>
      </c>
      <c r="RU197" s="12" t="str">
        <f t="shared" si="210"/>
        <v>F0-AI27-7A</v>
      </c>
      <c r="RV197" s="12" t="str">
        <f t="shared" si="210"/>
        <v>F0-AI27-9B</v>
      </c>
      <c r="RW197" s="12" t="str">
        <f t="shared" si="210"/>
        <v>F0-AI27-9A</v>
      </c>
      <c r="RX197" s="12" t="str">
        <f t="shared" si="210"/>
        <v>F0-AI27-11B</v>
      </c>
      <c r="RY197" s="12" t="str">
        <f t="shared" si="210"/>
        <v>F0-AI27-11A</v>
      </c>
      <c r="RZ197" s="12" t="str">
        <f>CONCATENATE("XT",$U197)</f>
        <v>XT61</v>
      </c>
      <c r="SA197" s="12">
        <v>25</v>
      </c>
      <c r="SB197" s="12">
        <f>SA197+1</f>
        <v>26</v>
      </c>
      <c r="SC197" s="12">
        <f t="shared" ref="SC197:SY197" si="211">SB197+1</f>
        <v>27</v>
      </c>
      <c r="SD197" s="12">
        <f t="shared" si="211"/>
        <v>28</v>
      </c>
      <c r="SE197" s="12">
        <f t="shared" si="211"/>
        <v>29</v>
      </c>
      <c r="SF197" s="12">
        <f t="shared" si="211"/>
        <v>30</v>
      </c>
      <c r="SG197" s="12">
        <f t="shared" si="211"/>
        <v>31</v>
      </c>
      <c r="SH197" s="12">
        <f t="shared" si="211"/>
        <v>32</v>
      </c>
      <c r="SI197" s="12">
        <f t="shared" si="211"/>
        <v>33</v>
      </c>
      <c r="SJ197" s="12">
        <f t="shared" si="211"/>
        <v>34</v>
      </c>
      <c r="SK197" s="12">
        <f t="shared" si="211"/>
        <v>35</v>
      </c>
      <c r="SL197" s="12">
        <f t="shared" si="211"/>
        <v>36</v>
      </c>
      <c r="SM197" s="12">
        <f t="shared" si="211"/>
        <v>37</v>
      </c>
      <c r="SN197" s="12">
        <f t="shared" si="211"/>
        <v>38</v>
      </c>
      <c r="SO197" s="12">
        <f t="shared" si="211"/>
        <v>39</v>
      </c>
      <c r="SP197" s="12">
        <f t="shared" si="211"/>
        <v>40</v>
      </c>
      <c r="SQ197" s="12">
        <f t="shared" si="211"/>
        <v>41</v>
      </c>
      <c r="SR197" s="12">
        <f t="shared" si="211"/>
        <v>42</v>
      </c>
      <c r="SS197" s="12">
        <f t="shared" si="211"/>
        <v>43</v>
      </c>
      <c r="ST197" s="12">
        <f t="shared" si="211"/>
        <v>44</v>
      </c>
      <c r="SU197" s="12">
        <f t="shared" si="211"/>
        <v>45</v>
      </c>
      <c r="SV197" s="12">
        <f t="shared" si="211"/>
        <v>46</v>
      </c>
      <c r="SW197" s="12">
        <f t="shared" si="211"/>
        <v>47</v>
      </c>
      <c r="SX197" s="12">
        <f t="shared" si="211"/>
        <v>48</v>
      </c>
      <c r="SY197" s="12">
        <f t="shared" si="211"/>
        <v>49</v>
      </c>
      <c r="SZ197" s="12" t="s">
        <v>1194</v>
      </c>
      <c r="TA197" s="12" t="s">
        <v>1195</v>
      </c>
      <c r="TB197" s="12" t="s">
        <v>1196</v>
      </c>
      <c r="TC197" s="12" t="s">
        <v>1197</v>
      </c>
      <c r="TD197" s="12" t="s">
        <v>1198</v>
      </c>
      <c r="TE197" s="12" t="s">
        <v>1199</v>
      </c>
      <c r="TF197" s="12" t="s">
        <v>1200</v>
      </c>
      <c r="TG197" s="12" t="s">
        <v>1201</v>
      </c>
      <c r="TH197" s="12" t="s">
        <v>1202</v>
      </c>
      <c r="TI197" s="12" t="s">
        <v>1203</v>
      </c>
      <c r="TJ197" s="12" t="s">
        <v>1204</v>
      </c>
      <c r="TK197" s="12" t="s">
        <v>1205</v>
      </c>
      <c r="TL197" s="12" t="s">
        <v>1059</v>
      </c>
      <c r="TM197" s="12" t="s">
        <v>1128</v>
      </c>
      <c r="TN197" s="12" t="s">
        <v>1129</v>
      </c>
      <c r="TO197" s="12" t="s">
        <v>1130</v>
      </c>
      <c r="TP197" s="12" t="s">
        <v>1132</v>
      </c>
      <c r="TQ197" s="12" t="s">
        <v>1131</v>
      </c>
      <c r="TR197" s="12" t="s">
        <v>1133</v>
      </c>
      <c r="TS197" s="12" t="s">
        <v>1134</v>
      </c>
      <c r="TT197" s="12" t="s">
        <v>1135</v>
      </c>
      <c r="TU197" s="12" t="s">
        <v>1136</v>
      </c>
      <c r="TV197" s="12" t="s">
        <v>1137</v>
      </c>
      <c r="TW197" s="13" t="s">
        <v>1138</v>
      </c>
    </row>
    <row r="198" spans="1:543" x14ac:dyDescent="0.25">
      <c r="A198" s="83" t="s">
        <v>1223</v>
      </c>
      <c r="B198" s="86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1979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SUM(IF(ISNUMBER(FIND("TmAi",$BE$1:$AAQ$1)),IF(IFERROR(ISODD(SUBSTITUTE($BE198:$AAQ198,"A","")),FALSE),IF(ISODD(SUBSTITUTE($BE198:$AAQ198,"A","")),1,0),0)))</f>
        <v>1</v>
      </c>
      <c r="AA198" t="str">
        <f t="shared" si="189"/>
        <v>1A</v>
      </c>
      <c r="AB198" t="str">
        <f t="shared" si="190"/>
        <v>1B</v>
      </c>
      <c r="AD198" s="46"/>
      <c r="AE198" s="46">
        <f t="array" ref="AE198">SUM(IF(ISNUMBER(FIND("TmDi",$BE$1:$AAQ$1)),IF(IFERROR(ISNUMBER(VALUE(SUBSTITUTE($BE198:$AAQ198,"B",""))),FALSE),IF(ISNUMBER(VALUE(SUBSTITUTE($BE198:$AAQ198,"B",""))),1,0),0)))</f>
        <v>0</v>
      </c>
      <c r="AP198" t="s">
        <v>137</v>
      </c>
      <c r="AR198" t="s">
        <v>1216</v>
      </c>
      <c r="AS198" t="s">
        <v>396</v>
      </c>
      <c r="OL198" s="25" t="str">
        <f>CONCATENATE("XT",$U198)</f>
        <v>XT62</v>
      </c>
      <c r="OM198" s="12" t="s">
        <v>1224</v>
      </c>
      <c r="ON198" s="12" t="s">
        <v>1327</v>
      </c>
      <c r="OO198" s="12"/>
      <c r="OP198" s="12"/>
      <c r="OQ198" s="12" t="str">
        <f>CONCATENATE(REPLACE($AA198,LEN($AA198),1,"")+1,RIGHT($AA198))</f>
        <v>2A</v>
      </c>
      <c r="OR198" s="12" t="str">
        <f>CONCATENATE(REPLACE($AB198,LEN($AB198),1,"")+1,RIGHT($AB198))</f>
        <v>2B</v>
      </c>
      <c r="OS198" s="12" t="str">
        <f t="shared" ref="OS198:OV200" si="212">CONCATENATE(REPLACE(OQ198,LEN(OQ198),1,"")+1,RIGHT(OQ198))</f>
        <v>3A</v>
      </c>
      <c r="OT198" s="12" t="str">
        <f t="shared" si="212"/>
        <v>3B</v>
      </c>
      <c r="OU198" s="12" t="str">
        <f t="shared" si="212"/>
        <v>4A</v>
      </c>
      <c r="OV198" s="12" t="str">
        <f t="shared" si="212"/>
        <v>4B</v>
      </c>
      <c r="OW198" s="12"/>
      <c r="OX198" s="12"/>
      <c r="OY198" s="12"/>
      <c r="OZ198" s="12"/>
      <c r="PA198" s="12" t="str">
        <f>CONCATENATE($T198,"-AI",REPLACE($X198,1,3,""),"-",$AA198)</f>
        <v>F0-AI42-1A</v>
      </c>
      <c r="PB198" s="12" t="str">
        <f>CONCATENATE($T198,"-AI",REPLACE($X198,1,3,""),"-",$AB198)</f>
        <v>F0-AI42-1B</v>
      </c>
      <c r="PC198" s="12" t="str">
        <f t="shared" ref="PC198:PH200" si="213">CONCATENATE($T198,"-AI",REPLACE($X198,1,3,""),"-",OQ198)</f>
        <v>F0-AI42-2A</v>
      </c>
      <c r="PD198" s="12" t="str">
        <f t="shared" si="213"/>
        <v>F0-AI42-2B</v>
      </c>
      <c r="PE198" s="12" t="str">
        <f t="shared" si="213"/>
        <v>F0-AI42-3A</v>
      </c>
      <c r="PF198" s="12" t="str">
        <f t="shared" si="213"/>
        <v>F0-AI42-3B</v>
      </c>
      <c r="PG198" s="12" t="str">
        <f t="shared" si="213"/>
        <v>F0-AI42-4A</v>
      </c>
      <c r="PH198" s="12" t="str">
        <f t="shared" si="213"/>
        <v>F0-AI42-4B</v>
      </c>
      <c r="PI198" s="12"/>
      <c r="PJ198" s="12"/>
      <c r="PK198" s="12"/>
      <c r="PL198" s="12"/>
      <c r="PM198" s="12">
        <f t="array" ref="PM198">IF(COUNTIFS($U$2:$U198,$U198)=1,1,INDEX(PM:PM,_xlfn.XMATCH($U198,$U$1:EF197,0,-1))+COUNT(PM197:PR197))</f>
        <v>1</v>
      </c>
      <c r="PN198" s="12">
        <f t="shared" ref="PN198:PR200" si="214">PM198+1</f>
        <v>2</v>
      </c>
      <c r="PO198" s="12">
        <f t="shared" si="214"/>
        <v>3</v>
      </c>
      <c r="PP198" s="12">
        <f t="shared" si="214"/>
        <v>4</v>
      </c>
      <c r="PQ198" s="12">
        <f t="shared" si="214"/>
        <v>5</v>
      </c>
      <c r="PR198" s="12">
        <f t="shared" si="214"/>
        <v>6</v>
      </c>
      <c r="PS198" s="12"/>
      <c r="PT198" s="12"/>
      <c r="PU198" s="12"/>
      <c r="PV198" s="12">
        <v>1</v>
      </c>
      <c r="PW198" s="12">
        <v>2</v>
      </c>
      <c r="PX198" s="12">
        <v>3</v>
      </c>
      <c r="PY198" s="12">
        <v>4</v>
      </c>
      <c r="PZ198" s="12">
        <v>5</v>
      </c>
      <c r="QA198" s="13">
        <v>6</v>
      </c>
    </row>
    <row r="199" spans="1:543" ht="15.75" thickBot="1" x14ac:dyDescent="0.3">
      <c r="A199" s="83" t="s">
        <v>1225</v>
      </c>
      <c r="B199" s="83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A3.42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SUM(IF(ISNUMBER(FIND("TmAi",$BE$1:$AAQ$1)),IF(IFERROR(ISODD(SUBSTITUTE($BE199:$AAQ199,"A","")),FALSE),IF(ISODD(SUBSTITUTE($BE199:$AAQ199,"A","")),1,0),0)))</f>
        <v>1</v>
      </c>
      <c r="AA199" t="str">
        <f t="shared" si="189"/>
        <v>5A</v>
      </c>
      <c r="AB199" t="str">
        <f t="shared" si="190"/>
        <v>5B</v>
      </c>
      <c r="AD199" s="46"/>
      <c r="AE199" s="46">
        <f t="array" ref="AE199">SUM(IF(ISNUMBER(FIND("TmDi",$BE$1:$AAQ$1)),IF(IFERROR(ISNUMBER(VALUE(SUBSTITUTE($BE199:$AAQ199,"B",""))),FALSE),IF(ISNUMBER(VALUE(SUBSTITUTE($BE199:$AAQ199,"B",""))),1,0),0)))</f>
        <v>0</v>
      </c>
      <c r="AP199" t="s">
        <v>137</v>
      </c>
      <c r="AR199" t="s">
        <v>1216</v>
      </c>
      <c r="AS199" t="s">
        <v>396</v>
      </c>
      <c r="OL199" s="27" t="str">
        <f>CONCATENATE("XT",$U199)</f>
        <v>XT62</v>
      </c>
      <c r="OM199" t="s">
        <v>1226</v>
      </c>
      <c r="ON199" t="s">
        <v>1328</v>
      </c>
      <c r="OQ199" t="str">
        <f>CONCATENATE(REPLACE($AA199,LEN($AA199),1,"")+1,RIGHT($AA199))</f>
        <v>6A</v>
      </c>
      <c r="OR199" t="str">
        <f>CONCATENATE(REPLACE($AB199,LEN($AB199),1,"")+1,RIGHT($AB199))</f>
        <v>6B</v>
      </c>
      <c r="OS199" t="str">
        <f t="shared" si="212"/>
        <v>7A</v>
      </c>
      <c r="OT199" t="str">
        <f t="shared" si="212"/>
        <v>7B</v>
      </c>
      <c r="OU199" t="str">
        <f t="shared" si="212"/>
        <v>8A</v>
      </c>
      <c r="OV199" t="str">
        <f t="shared" si="212"/>
        <v>8B</v>
      </c>
      <c r="PA199" t="str">
        <f>CONCATENATE($T199,"-AI",REPLACE($X199,1,3,""),"-",$AA199)</f>
        <v>F0-AI42-5A</v>
      </c>
      <c r="PB199" t="str">
        <f>CONCATENATE($T199,"-AI",REPLACE($X199,1,3,""),"-",$AB199)</f>
        <v>F0-AI42-5B</v>
      </c>
      <c r="PC199" t="str">
        <f t="shared" si="213"/>
        <v>F0-AI42-6A</v>
      </c>
      <c r="PD199" t="str">
        <f t="shared" si="213"/>
        <v>F0-AI42-6B</v>
      </c>
      <c r="PE199" t="str">
        <f t="shared" si="213"/>
        <v>F0-AI42-7A</v>
      </c>
      <c r="PF199" t="str">
        <f t="shared" si="213"/>
        <v>F0-AI42-7B</v>
      </c>
      <c r="PG199" t="str">
        <f t="shared" si="213"/>
        <v>F0-AI42-8A</v>
      </c>
      <c r="PH199" t="str">
        <f t="shared" si="213"/>
        <v>F0-AI42-8B</v>
      </c>
      <c r="PM199">
        <f t="array" ref="PM199">IF(COUNTIFS($U$2:$U199,$U199)=1,1,INDEX(PM:PM,_xlfn.XMATCH($U199,$U$1:$U198,0,-1))+COUNT(PM198:PR198))</f>
        <v>7</v>
      </c>
      <c r="PN199">
        <f t="shared" si="214"/>
        <v>8</v>
      </c>
      <c r="PO199">
        <f t="shared" si="214"/>
        <v>9</v>
      </c>
      <c r="PP199">
        <f t="shared" si="214"/>
        <v>10</v>
      </c>
      <c r="PQ199">
        <f t="shared" si="214"/>
        <v>11</v>
      </c>
      <c r="PR199">
        <f t="shared" si="214"/>
        <v>12</v>
      </c>
      <c r="PV199">
        <v>7</v>
      </c>
      <c r="PW199">
        <v>8</v>
      </c>
      <c r="PX199">
        <v>9</v>
      </c>
      <c r="PY199">
        <v>10</v>
      </c>
      <c r="PZ199">
        <v>11</v>
      </c>
      <c r="QA199" s="16">
        <v>12</v>
      </c>
    </row>
    <row r="200" spans="1:543" ht="15.75" thickBot="1" x14ac:dyDescent="0.3">
      <c r="A200" s="83" t="s">
        <v>1227</v>
      </c>
      <c r="B200" s="83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A3.42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SUM(IF(ISNUMBER(FIND("TmAi",$BE$1:$AAQ$1)),IF(IFERROR(ISODD(SUBSTITUTE($BE200:$AAQ200,"A","")),FALSE),IF(ISODD(SUBSTITUTE($BE200:$AAQ200,"A","")),1,0),0)))</f>
        <v>2</v>
      </c>
      <c r="AA200" t="str">
        <f t="shared" si="189"/>
        <v>9A</v>
      </c>
      <c r="AB200" t="str">
        <f t="shared" si="190"/>
        <v>9B</v>
      </c>
      <c r="AD200" s="46"/>
      <c r="AE200" s="46">
        <f t="array" ref="AE200">SUM(IF(ISNUMBER(FIND("TmDi",$BE$1:$AAQ$1)),IF(IFERROR(ISNUMBER(VALUE(SUBSTITUTE($BE200:$AAQ200,"B",""))),FALSE),IF(ISNUMBER(VALUE(SUBSTITUTE($BE200:$AAQ200,"B",""))),1,0),0)))</f>
        <v>0</v>
      </c>
      <c r="AP200" t="s">
        <v>137</v>
      </c>
      <c r="AR200" t="s">
        <v>1219</v>
      </c>
      <c r="AS200" t="s">
        <v>396</v>
      </c>
      <c r="OL200" s="27" t="str">
        <f>CONCATENATE("XT",$U200)</f>
        <v>XT62</v>
      </c>
      <c r="OM200" t="s">
        <v>1228</v>
      </c>
      <c r="ON200" t="s">
        <v>1329</v>
      </c>
      <c r="OO200" t="s">
        <v>1322</v>
      </c>
      <c r="OP200" t="s">
        <v>1330</v>
      </c>
      <c r="OQ200" t="str">
        <f>CONCATENATE(REPLACE($AA200,LEN($AA200),1,"")+1,RIGHT($AA200))</f>
        <v>10A</v>
      </c>
      <c r="OR200" t="str">
        <f>CONCATENATE(REPLACE($AB200,LEN($AB200),1,"")+1,RIGHT($AB200))</f>
        <v>10B</v>
      </c>
      <c r="OS200" t="str">
        <f t="shared" si="212"/>
        <v>11A</v>
      </c>
      <c r="OT200" t="str">
        <f t="shared" si="212"/>
        <v>11B</v>
      </c>
      <c r="OU200" t="str">
        <f t="shared" si="212"/>
        <v>12A</v>
      </c>
      <c r="OV200" t="str">
        <f t="shared" si="212"/>
        <v>12B</v>
      </c>
      <c r="OW200" t="str">
        <f>CONCATENATE(REPLACE(OU200,LEN(OU200),1,"")+1,RIGHT(OU200))</f>
        <v>13A</v>
      </c>
      <c r="OX200" t="str">
        <f>CONCATENATE(REPLACE(OV200,LEN(OV200),1,"")+1,RIGHT(OV200))</f>
        <v>13B</v>
      </c>
      <c r="OY200" t="str">
        <f>CONCATENATE(REPLACE(OW200,LEN(OW200),1,"")+1,RIGHT(OW200))</f>
        <v>14A</v>
      </c>
      <c r="OZ200" t="str">
        <f>CONCATENATE(REPLACE(OX200,LEN(OX200),1,"")+1,RIGHT(OX200))</f>
        <v>14B</v>
      </c>
      <c r="PA200" t="str">
        <f>CONCATENATE($T200,"-AI",REPLACE($X200,1,3,""),"-",$AA200)</f>
        <v>F0-AI42-9A</v>
      </c>
      <c r="PB200" t="str">
        <f>CONCATENATE($T200,"-AI",REPLACE($X200,1,3,""),"-",$AB200)</f>
        <v>F0-AI42-9B</v>
      </c>
      <c r="PC200" t="str">
        <f t="shared" si="213"/>
        <v>F0-AI42-10A</v>
      </c>
      <c r="PD200" t="str">
        <f t="shared" si="213"/>
        <v>F0-AI42-10B</v>
      </c>
      <c r="PE200" t="str">
        <f t="shared" si="213"/>
        <v>F0-AI42-11A</v>
      </c>
      <c r="PF200" t="str">
        <f t="shared" si="213"/>
        <v>F0-AI42-11B</v>
      </c>
      <c r="PG200" t="str">
        <f t="shared" si="213"/>
        <v>F0-AI42-12A</v>
      </c>
      <c r="PH200" t="str">
        <f t="shared" si="213"/>
        <v>F0-AI42-12B</v>
      </c>
      <c r="PI200" t="str">
        <f>CONCATENATE($T200,"-AI",REPLACE($X200,1,3,""),"-",OW200)</f>
        <v>F0-AI42-13A</v>
      </c>
      <c r="PJ200" t="str">
        <f>CONCATENATE($T200,"-AI",REPLACE($X200,1,3,""),"-",OX200)</f>
        <v>F0-AI42-13B</v>
      </c>
      <c r="PK200" t="str">
        <f>CONCATENATE($T200,"-AI",REPLACE($X200,1,3,""),"-",OY200)</f>
        <v>F0-AI42-14A</v>
      </c>
      <c r="PL200" t="str">
        <f>CONCATENATE($T200,"-AI",REPLACE($X200,1,3,""),"-",OZ200)</f>
        <v>F0-AI42-14B</v>
      </c>
      <c r="PM200">
        <f t="array" ref="PM200">IF(COUNTIFS($U$2:$U200,$U200)=1,1,INDEX(PM:PM,_xlfn.XMATCH($U200,$U$1:$U199,0,-1))+COUNT(PM199:PR199))</f>
        <v>13</v>
      </c>
      <c r="PN200">
        <f t="shared" si="214"/>
        <v>14</v>
      </c>
      <c r="PO200">
        <f t="shared" si="214"/>
        <v>15</v>
      </c>
      <c r="PP200">
        <f t="shared" si="214"/>
        <v>16</v>
      </c>
      <c r="PQ200">
        <f t="shared" si="214"/>
        <v>17</v>
      </c>
      <c r="PR200">
        <f t="shared" si="214"/>
        <v>18</v>
      </c>
      <c r="PS200">
        <f>PR200+1</f>
        <v>19</v>
      </c>
      <c r="PT200">
        <f>PS200+1</f>
        <v>20</v>
      </c>
      <c r="PU200">
        <f>PT200+1</f>
        <v>21</v>
      </c>
      <c r="PV200">
        <v>1</v>
      </c>
      <c r="PW200">
        <v>2</v>
      </c>
      <c r="PX200">
        <v>3</v>
      </c>
      <c r="PY200">
        <v>4</v>
      </c>
      <c r="PZ200">
        <v>5</v>
      </c>
      <c r="QA200">
        <v>6</v>
      </c>
      <c r="QB200" s="23">
        <v>7</v>
      </c>
      <c r="QC200" s="23">
        <v>8</v>
      </c>
      <c r="QD200" s="24">
        <v>9</v>
      </c>
    </row>
    <row r="201" spans="1:543" ht="15.75" thickBot="1" x14ac:dyDescent="0.3">
      <c r="A201" s="83" t="s">
        <v>1229</v>
      </c>
      <c r="B201" s="83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1366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SUM(IF(ISNUMBER(FIND("TmAi",$BE$1:$AAQ$1)),IF(IFERROR(ISODD(SUBSTITUTE($BE201:$AAQ201,"A","")),FALSE),IF(ISODD(SUBSTITUTE($BE201:$AAQ201,"A","")),1,0),0)))</f>
        <v>0</v>
      </c>
      <c r="AA201" t="str">
        <f>CONCATENATE($Y201*2-1,"B")</f>
        <v>1B</v>
      </c>
      <c r="AB201" t="str">
        <f>CONCATENATE($Y201*2,"B")</f>
        <v>2B</v>
      </c>
      <c r="AD201" s="46"/>
      <c r="AE201" s="46">
        <f t="array" ref="AE201">SUM(IF(ISNUMBER(FIND("TmDi",$BE$1:$AAQ$1)),IF(IFERROR(ISNUMBER(VALUE(SUBSTITUTE($BE201:$AAQ201,"B",""))),FALSE),IF(ISNUMBER(VALUE(SUBSTITUTE($BE201:$AAQ201,"B",""))),1,0),0)))</f>
        <v>0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F0-AI28-1B</v>
      </c>
      <c r="KD201" t="str">
        <f>CONCATENATE(T201,"-AI",REPLACE($X201,1,3,""),"-",AB201)</f>
        <v>F0-AI28-2B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L201" s="27"/>
      <c r="QA201" s="16"/>
    </row>
    <row r="202" spans="1:543" ht="15.75" thickBot="1" x14ac:dyDescent="0.3">
      <c r="A202" s="83" t="s">
        <v>2365</v>
      </c>
      <c r="B202" s="85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A3.28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SUM(IF(ISNUMBER(FIND("TmAi",$BE$1:$AAQ$1)),IF(IFERROR(ISODD(SUBSTITUTE($BE202:$AAQ202,"A","")),FALSE),IF(ISODD(SUBSTITUTE($BE202:$AAQ202,"A","")),1,0),0)))</f>
        <v>11</v>
      </c>
      <c r="AA202" t="str">
        <f t="shared" si="189"/>
        <v>3A</v>
      </c>
      <c r="AB202" t="str">
        <f t="shared" si="190"/>
        <v>3B</v>
      </c>
      <c r="AD202" s="46"/>
      <c r="AE202" s="46">
        <f t="array" ref="AE202">SUM(IF(ISNUMBER(FIND("TmDi",$BE$1:$AAQ$1)),IF(IFERROR(ISNUMBER(VALUE(SUBSTITUTE($BE202:$AAQ202,"B",""))),FALSE),IF(ISNUMBER(VALUE(SUBSTITUTE($BE202:$AAQ202,"B",""))),1,0),0)))</f>
        <v>0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QE202" s="25" t="str">
        <f>REPLACE(X202,FIND(".",X202)+1,3,MID(X202,FIND(".",X202)+1,3)+1)</f>
        <v>A3.29</v>
      </c>
      <c r="QF202" s="12" t="str">
        <f>CONCATENATE(VALUE(SUBSTITUTE($AB202,"B",""))+2,"B")</f>
        <v>5B</v>
      </c>
      <c r="QG202" s="12" t="str">
        <f>CONCATENATE(VALUE(SUBSTITUTE($AA202,"A",""))+2,"A")</f>
        <v>5A</v>
      </c>
      <c r="QH202" s="12" t="str">
        <f>CONCATENATE(VALUE(SUBSTITUTE(QF202,"B",""))+2,"B")</f>
        <v>7B</v>
      </c>
      <c r="QI202" s="12" t="str">
        <f>CONCATENATE(VALUE(SUBSTITUTE(QG202,"A",""))+2,"A")</f>
        <v>7A</v>
      </c>
      <c r="QJ202" s="12" t="str">
        <f>CONCATENATE(VALUE(SUBSTITUTE(QH202,"B",""))+2,"B")</f>
        <v>9B</v>
      </c>
      <c r="QK202" s="12" t="str">
        <f>CONCATENATE(VALUE(SUBSTITUTE(QI202,"A",""))+2,"A")</f>
        <v>9A</v>
      </c>
      <c r="QL202" s="12" t="str">
        <f>CONCATENATE(VALUE(SUBSTITUTE(QJ202,"B",""))+2,"B")</f>
        <v>11B</v>
      </c>
      <c r="QM202" s="12" t="str">
        <f>CONCATENATE(VALUE(SUBSTITUTE(QK202,"A",""))+2,"A")</f>
        <v>11A</v>
      </c>
      <c r="QN202" s="12" t="str">
        <f>CONCATENATE(VALUE(SUBSTITUTE(QL202,"B",""))+2,"B")</f>
        <v>13B</v>
      </c>
      <c r="QO202" s="12" t="str">
        <f>CONCATENATE(VALUE(SUBSTITUTE(QM202,"A",""))+2,"A")</f>
        <v>13A</v>
      </c>
      <c r="QP202" s="12" t="s">
        <v>135</v>
      </c>
      <c r="QQ202" s="12" t="s">
        <v>136</v>
      </c>
      <c r="QR202" s="12" t="str">
        <f>CONCATENATE(VALUE(SUBSTITUTE(QP202,"B",""))+2,"B")</f>
        <v>3B</v>
      </c>
      <c r="QS202" s="12" t="str">
        <f>CONCATENATE(VALUE(SUBSTITUTE(QQ202,"A",""))+2,"A")</f>
        <v>3A</v>
      </c>
      <c r="QT202" s="12" t="str">
        <f>CONCATENATE(VALUE(SUBSTITUTE(QR202,"B",""))+2,"B")</f>
        <v>5B</v>
      </c>
      <c r="QU202" s="12" t="str">
        <f>CONCATENATE(VALUE(SUBSTITUTE(QS202,"A",""))+2,"A")</f>
        <v>5A</v>
      </c>
      <c r="QV202" s="12" t="str">
        <f>CONCATENATE(VALUE(SUBSTITUTE(QT202,"B",""))+2,"B")</f>
        <v>7B</v>
      </c>
      <c r="QW202" s="12" t="str">
        <f>CONCATENATE(VALUE(SUBSTITUTE(QU202,"A",""))+2,"A")</f>
        <v>7A</v>
      </c>
      <c r="QX202" s="12" t="str">
        <f>CONCATENATE(VALUE(SUBSTITUTE(QV202,"B",""))+2,"B")</f>
        <v>9B</v>
      </c>
      <c r="QY202" s="12" t="str">
        <f>CONCATENATE(VALUE(SUBSTITUTE(QW202,"A",""))+2,"A")</f>
        <v>9A</v>
      </c>
      <c r="QZ202" s="12" t="str">
        <f>CONCATENATE(VALUE(SUBSTITUTE(QX202,"B",""))+2,"B")</f>
        <v>11B</v>
      </c>
      <c r="RA202" s="12" t="str">
        <f>CONCATENATE(VALUE(SUBSTITUTE(QY202,"A",""))+2,"A")</f>
        <v>11A</v>
      </c>
      <c r="RB202" s="12" t="str">
        <f>CONCATENATE($T202,"-AI",REPLACE($X202,1,3,""),"-",AB202)</f>
        <v>F0-AI28-3B</v>
      </c>
      <c r="RC202" s="12" t="str">
        <f>CONCATENATE($T202,"-AI",REPLACE($X202,1,3,""),"-",AA202)</f>
        <v>F0-AI28-3A</v>
      </c>
      <c r="RD202" s="12" t="str">
        <f t="shared" ref="RD202:RM202" si="215">CONCATENATE($T202,"-AI",REPLACE($X202,1,3,""),"-",QF202)</f>
        <v>F0-AI28-5B</v>
      </c>
      <c r="RE202" s="12" t="str">
        <f t="shared" si="215"/>
        <v>F0-AI28-5A</v>
      </c>
      <c r="RF202" s="12" t="str">
        <f t="shared" si="215"/>
        <v>F0-AI28-7B</v>
      </c>
      <c r="RG202" s="12" t="str">
        <f t="shared" si="215"/>
        <v>F0-AI28-7A</v>
      </c>
      <c r="RH202" s="12" t="str">
        <f t="shared" si="215"/>
        <v>F0-AI28-9B</v>
      </c>
      <c r="RI202" s="12" t="str">
        <f t="shared" si="215"/>
        <v>F0-AI28-9A</v>
      </c>
      <c r="RJ202" s="12" t="str">
        <f t="shared" si="215"/>
        <v>F0-AI28-11B</v>
      </c>
      <c r="RK202" s="12" t="str">
        <f t="shared" si="215"/>
        <v>F0-AI28-11A</v>
      </c>
      <c r="RL202" s="12" t="str">
        <f t="shared" si="215"/>
        <v>F0-AI28-13B</v>
      </c>
      <c r="RM202" s="12" t="str">
        <f t="shared" si="215"/>
        <v>F0-AI28-13A</v>
      </c>
      <c r="RN202" s="12" t="str">
        <f t="shared" ref="RN202:RY202" si="216">CONCATENATE($T202,"-AI",REPLACE($QE202,1,3,""),"-",QP202)</f>
        <v>F0-AI29-1B</v>
      </c>
      <c r="RO202" s="12" t="str">
        <f t="shared" si="216"/>
        <v>F0-AI29-1A</v>
      </c>
      <c r="RP202" s="12" t="str">
        <f t="shared" si="216"/>
        <v>F0-AI29-3B</v>
      </c>
      <c r="RQ202" s="12" t="str">
        <f t="shared" si="216"/>
        <v>F0-AI29-3A</v>
      </c>
      <c r="RR202" s="12" t="str">
        <f t="shared" si="216"/>
        <v>F0-AI29-5B</v>
      </c>
      <c r="RS202" s="12" t="str">
        <f t="shared" si="216"/>
        <v>F0-AI29-5A</v>
      </c>
      <c r="RT202" s="12" t="str">
        <f t="shared" si="216"/>
        <v>F0-AI29-7B</v>
      </c>
      <c r="RU202" s="12" t="str">
        <f t="shared" si="216"/>
        <v>F0-AI29-7A</v>
      </c>
      <c r="RV202" s="12" t="str">
        <f t="shared" si="216"/>
        <v>F0-AI29-9B</v>
      </c>
      <c r="RW202" s="12" t="str">
        <f t="shared" si="216"/>
        <v>F0-AI29-9A</v>
      </c>
      <c r="RX202" s="12" t="str">
        <f t="shared" si="216"/>
        <v>F0-AI29-11B</v>
      </c>
      <c r="RY202" s="12" t="str">
        <f t="shared" si="216"/>
        <v>F0-AI29-11A</v>
      </c>
      <c r="RZ202" s="12" t="str">
        <f>CONCATENATE("XT",$U202)</f>
        <v>XT62</v>
      </c>
      <c r="SA202" s="12">
        <v>25</v>
      </c>
      <c r="SB202" s="12">
        <f>SA202+1</f>
        <v>26</v>
      </c>
      <c r="SC202" s="12">
        <f t="shared" ref="SC202:SY202" si="217">SB202+1</f>
        <v>27</v>
      </c>
      <c r="SD202" s="12">
        <f t="shared" si="217"/>
        <v>28</v>
      </c>
      <c r="SE202" s="12">
        <f t="shared" si="217"/>
        <v>29</v>
      </c>
      <c r="SF202" s="12">
        <f t="shared" si="217"/>
        <v>30</v>
      </c>
      <c r="SG202" s="12">
        <f t="shared" si="217"/>
        <v>31</v>
      </c>
      <c r="SH202" s="12">
        <f t="shared" si="217"/>
        <v>32</v>
      </c>
      <c r="SI202" s="12">
        <f t="shared" si="217"/>
        <v>33</v>
      </c>
      <c r="SJ202" s="12">
        <f t="shared" si="217"/>
        <v>34</v>
      </c>
      <c r="SK202" s="12">
        <f t="shared" si="217"/>
        <v>35</v>
      </c>
      <c r="SL202" s="12">
        <f t="shared" si="217"/>
        <v>36</v>
      </c>
      <c r="SM202" s="12">
        <f t="shared" si="217"/>
        <v>37</v>
      </c>
      <c r="SN202" s="12">
        <f t="shared" si="217"/>
        <v>38</v>
      </c>
      <c r="SO202" s="12">
        <f t="shared" si="217"/>
        <v>39</v>
      </c>
      <c r="SP202" s="12">
        <f t="shared" si="217"/>
        <v>40</v>
      </c>
      <c r="SQ202" s="12">
        <f t="shared" si="217"/>
        <v>41</v>
      </c>
      <c r="SR202" s="12">
        <f t="shared" si="217"/>
        <v>42</v>
      </c>
      <c r="SS202" s="12">
        <f t="shared" si="217"/>
        <v>43</v>
      </c>
      <c r="ST202" s="12">
        <f t="shared" si="217"/>
        <v>44</v>
      </c>
      <c r="SU202" s="12">
        <f t="shared" si="217"/>
        <v>45</v>
      </c>
      <c r="SV202" s="12">
        <f t="shared" si="217"/>
        <v>46</v>
      </c>
      <c r="SW202" s="12">
        <f t="shared" si="217"/>
        <v>47</v>
      </c>
      <c r="SX202" s="12">
        <f t="shared" si="217"/>
        <v>48</v>
      </c>
      <c r="SY202" s="12">
        <f t="shared" si="217"/>
        <v>49</v>
      </c>
      <c r="SZ202" s="12" t="s">
        <v>1231</v>
      </c>
      <c r="TA202" s="12" t="s">
        <v>1232</v>
      </c>
      <c r="TB202" s="12" t="s">
        <v>1233</v>
      </c>
      <c r="TC202" s="12" t="s">
        <v>1234</v>
      </c>
      <c r="TD202" s="12" t="s">
        <v>1235</v>
      </c>
      <c r="TE202" s="12" t="s">
        <v>1236</v>
      </c>
      <c r="TF202" s="12" t="s">
        <v>1237</v>
      </c>
      <c r="TG202" s="12" t="s">
        <v>1238</v>
      </c>
      <c r="TH202" s="12" t="s">
        <v>1239</v>
      </c>
      <c r="TI202" s="12" t="s">
        <v>1240</v>
      </c>
      <c r="TJ202" s="12" t="s">
        <v>1241</v>
      </c>
      <c r="TK202" s="12" t="s">
        <v>1242</v>
      </c>
      <c r="TL202" s="12" t="s">
        <v>1059</v>
      </c>
      <c r="TM202" s="12" t="s">
        <v>1128</v>
      </c>
      <c r="TN202" s="12" t="s">
        <v>1129</v>
      </c>
      <c r="TO202" s="12" t="s">
        <v>1130</v>
      </c>
      <c r="TP202" s="12" t="s">
        <v>1132</v>
      </c>
      <c r="TQ202" s="12" t="s">
        <v>1131</v>
      </c>
      <c r="TR202" s="12" t="s">
        <v>1133</v>
      </c>
      <c r="TS202" s="12" t="s">
        <v>1134</v>
      </c>
      <c r="TT202" s="12" t="s">
        <v>1135</v>
      </c>
      <c r="TU202" s="12" t="s">
        <v>1136</v>
      </c>
      <c r="TV202" s="12" t="s">
        <v>1137</v>
      </c>
      <c r="TW202" s="13" t="s">
        <v>1138</v>
      </c>
    </row>
    <row r="203" spans="1:543" x14ac:dyDescent="0.25">
      <c r="A203" s="83" t="s">
        <v>1251</v>
      </c>
      <c r="B203" s="86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2963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SUM(IF(ISNUMBER(FIND("TmAi",$BE$1:$AAQ$1)),IF(IFERROR(ISODD(SUBSTITUTE($BE203:$AAQ203,"A","")),FALSE),IF(ISODD(SUBSTITUTE($BE203:$AAQ203,"A","")),1,0),0)))</f>
        <v>1</v>
      </c>
      <c r="AA203" t="str">
        <f t="shared" si="189"/>
        <v>1A</v>
      </c>
      <c r="AB203" t="str">
        <f t="shared" si="190"/>
        <v>1B</v>
      </c>
      <c r="AD203" s="46"/>
      <c r="AE203" s="46">
        <f t="array" ref="AE203">SUM(IF(ISNUMBER(FIND("TmDi",$BE$1:$AAQ$1)),IF(IFERROR(ISNUMBER(VALUE(SUBSTITUTE($BE203:$AAQ203,"B",""))),FALSE),IF(ISNUMBER(VALUE(SUBSTITUTE($BE203:$AAQ203,"B",""))),1,0),0)))</f>
        <v>0</v>
      </c>
      <c r="AP203" t="s">
        <v>137</v>
      </c>
      <c r="AR203" t="s">
        <v>1253</v>
      </c>
      <c r="AS203" t="s">
        <v>396</v>
      </c>
      <c r="OL203" s="25" t="str">
        <f>CONCATENATE("XT",$U203)</f>
        <v>XT63</v>
      </c>
      <c r="OM203" s="12" t="s">
        <v>1259</v>
      </c>
      <c r="ON203" s="12" t="s">
        <v>1312</v>
      </c>
      <c r="OO203" s="12"/>
      <c r="OP203" s="12"/>
      <c r="OQ203" s="12" t="str">
        <f>CONCATENATE(REPLACE($AA203,LEN($AA203),1,"")+1,RIGHT($AA203))</f>
        <v>2A</v>
      </c>
      <c r="OR203" s="12" t="str">
        <f>CONCATENATE(REPLACE($AB203,LEN($AB203),1,"")+1,RIGHT($AB203))</f>
        <v>2B</v>
      </c>
      <c r="OS203" s="12" t="str">
        <f>CONCATENATE(REPLACE(OQ203,LEN(OQ203),1,"")+1,RIGHT(OQ203))</f>
        <v>3A</v>
      </c>
      <c r="OT203" s="12" t="str">
        <f>CONCATENATE(REPLACE(OR203,LEN(OR203),1,"")+1,RIGHT(OR203))</f>
        <v>3B</v>
      </c>
      <c r="OU203" s="12" t="str">
        <f>CONCATENATE(REPLACE(OS203,LEN(OS203),1,"")+1,RIGHT(OS203))</f>
        <v>4A</v>
      </c>
      <c r="OV203" s="12" t="str">
        <f>CONCATENATE(REPLACE(OT203,LEN(OT203),1,"")+1,RIGHT(OT203))</f>
        <v>4B</v>
      </c>
      <c r="OW203" s="12"/>
      <c r="OX203" s="12"/>
      <c r="OY203" s="12"/>
      <c r="OZ203" s="12"/>
      <c r="PA203" s="12" t="str">
        <f>CONCATENATE($T203,"-AI",REPLACE($X203,1,3,""),"-",$AA203)</f>
        <v>F0-AI43-1A</v>
      </c>
      <c r="PB203" s="12" t="str">
        <f>CONCATENATE($T203,"-AI",REPLACE($X203,1,3,""),"-",$AB203)</f>
        <v>F0-AI43-1B</v>
      </c>
      <c r="PC203" s="12" t="str">
        <f t="shared" ref="PC203:PH203" si="218">CONCATENATE($T203,"-AI",REPLACE($X203,1,3,""),"-",OQ203)</f>
        <v>F0-AI43-2A</v>
      </c>
      <c r="PD203" s="12" t="str">
        <f t="shared" si="218"/>
        <v>F0-AI43-2B</v>
      </c>
      <c r="PE203" s="12" t="str">
        <f t="shared" si="218"/>
        <v>F0-AI43-3A</v>
      </c>
      <c r="PF203" s="12" t="str">
        <f t="shared" si="218"/>
        <v>F0-AI43-3B</v>
      </c>
      <c r="PG203" s="12" t="str">
        <f t="shared" si="218"/>
        <v>F0-AI43-4A</v>
      </c>
      <c r="PH203" s="12" t="str">
        <f t="shared" si="218"/>
        <v>F0-AI43-4B</v>
      </c>
      <c r="PI203" s="12"/>
      <c r="PJ203" s="12"/>
      <c r="PK203" s="12"/>
      <c r="PL203" s="12"/>
      <c r="PM203" s="12">
        <f t="array" ref="PM203">IF(COUNTIFS($U$2:$U203,$U203)=1,1,INDEX(PM:PM,_xlfn.XMATCH($U203,$U$1:EF202,0,-1))+COUNT(PM202:PR202))</f>
        <v>1</v>
      </c>
      <c r="PN203" s="12">
        <f>PM203+1</f>
        <v>2</v>
      </c>
      <c r="PO203" s="12">
        <f>PN203+1</f>
        <v>3</v>
      </c>
      <c r="PP203" s="12">
        <f>PO203+1</f>
        <v>4</v>
      </c>
      <c r="PQ203" s="12">
        <f>PP203+1</f>
        <v>5</v>
      </c>
      <c r="PR203" s="12">
        <f>PQ203+1</f>
        <v>6</v>
      </c>
      <c r="PS203" s="12"/>
      <c r="PT203" s="12"/>
      <c r="PU203" s="12"/>
      <c r="PV203" s="12">
        <v>1</v>
      </c>
      <c r="PW203" s="12">
        <v>2</v>
      </c>
      <c r="PX203" s="12">
        <v>3</v>
      </c>
      <c r="PY203" s="12">
        <v>4</v>
      </c>
      <c r="PZ203" s="12">
        <v>5</v>
      </c>
      <c r="QA203" s="13">
        <v>6</v>
      </c>
    </row>
    <row r="204" spans="1:543" ht="15.75" thickBot="1" x14ac:dyDescent="0.3">
      <c r="A204" s="83" t="s">
        <v>1255</v>
      </c>
      <c r="B204" s="85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1056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SUM(IF(ISNUMBER(FIND("TmAi",$BE$1:$AAQ$1)),IF(IFERROR(ISODD(SUBSTITUTE($BE204:$AAQ204,"A","")),FALSE),IF(ISODD(SUBSTITUTE($BE204:$AAQ204,"A","")),1,0),0)))</f>
        <v>0</v>
      </c>
      <c r="AA204" t="str">
        <f t="shared" ref="AA204:AA220" si="219">CONCATENATE($Y204*2-1,"B")</f>
        <v>1B</v>
      </c>
      <c r="AB204" t="str">
        <f t="shared" ref="AB204:AB220" si="220">CONCATENATE($Y204*2,"B")</f>
        <v>2B</v>
      </c>
      <c r="AD204" s="46"/>
      <c r="AE204" s="46">
        <f t="array" ref="AE204">SUM(IF(ISNUMBER(FIND("TmDi",$BE$1:$AAQ$1)),IF(IFERROR(ISNUMBER(VALUE(SUBSTITUTE($BE204:$AAQ204,"B",""))),FALSE),IF(ISNUMBER(VALUE(SUBSTITUTE($BE204:$AAQ204,"B",""))),1,0),0)))</f>
        <v>0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F0-AI30-1B</v>
      </c>
      <c r="KD204" t="str">
        <f>CONCATENATE(T204,"-AI",REPLACE($X204,1,3,""),"-",AB204)</f>
        <v>F0-AI30-2B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L204" s="27"/>
      <c r="QA204" s="16"/>
    </row>
    <row r="205" spans="1:543" x14ac:dyDescent="0.25">
      <c r="A205" s="83" t="s">
        <v>1263</v>
      </c>
      <c r="B205" s="86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2963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SUM(IF(ISNUMBER(FIND("TmAi",$BE$1:$AAQ$1)),IF(IFERROR(ISODD(SUBSTITUTE($BE205:$AAQ205,"A","")),FALSE),IF(ISODD(SUBSTITUTE($BE205:$AAQ205,"A","")),1,0),0)))</f>
        <v>1</v>
      </c>
      <c r="AA205" t="str">
        <f t="shared" si="189"/>
        <v>5A</v>
      </c>
      <c r="AB205" t="str">
        <f t="shared" si="190"/>
        <v>5B</v>
      </c>
      <c r="AD205" s="46"/>
      <c r="AE205" s="46">
        <f t="array" ref="AE205">SUM(IF(ISNUMBER(FIND("TmDi",$BE$1:$AAQ$1)),IF(IFERROR(ISNUMBER(VALUE(SUBSTITUTE($BE205:$AAQ205,"B",""))),FALSE),IF(ISNUMBER(VALUE(SUBSTITUTE($BE205:$AAQ205,"B",""))),1,0),0)))</f>
        <v>0</v>
      </c>
      <c r="AP205" t="s">
        <v>137</v>
      </c>
      <c r="AR205" t="s">
        <v>1261</v>
      </c>
      <c r="AS205" t="s">
        <v>396</v>
      </c>
      <c r="OL205" s="25" t="str">
        <f>CONCATENATE("XT",$U205)</f>
        <v>XT64</v>
      </c>
      <c r="OM205" s="12" t="s">
        <v>1254</v>
      </c>
      <c r="ON205" s="12" t="s">
        <v>1313</v>
      </c>
      <c r="OO205" s="12"/>
      <c r="OP205" s="12"/>
      <c r="OQ205" s="12" t="str">
        <f>CONCATENATE(REPLACE($AA205,LEN($AA205),1,"")+1,RIGHT($AA205))</f>
        <v>6A</v>
      </c>
      <c r="OR205" s="12" t="str">
        <f>CONCATENATE(REPLACE($AB205,LEN($AB205),1,"")+1,RIGHT($AB205))</f>
        <v>6B</v>
      </c>
      <c r="OS205" s="12" t="str">
        <f>CONCATENATE(REPLACE(OQ205,LEN(OQ205),1,"")+1,RIGHT(OQ205))</f>
        <v>7A</v>
      </c>
      <c r="OT205" s="12" t="str">
        <f>CONCATENATE(REPLACE(OR205,LEN(OR205),1,"")+1,RIGHT(OR205))</f>
        <v>7B</v>
      </c>
      <c r="OU205" s="12" t="str">
        <f>CONCATENATE(REPLACE(OS205,LEN(OS205),1,"")+1,RIGHT(OS205))</f>
        <v>8A</v>
      </c>
      <c r="OV205" s="12" t="str">
        <f>CONCATENATE(REPLACE(OT205,LEN(OT205),1,"")+1,RIGHT(OT205))</f>
        <v>8B</v>
      </c>
      <c r="OW205" s="12"/>
      <c r="OX205" s="12"/>
      <c r="OY205" s="12"/>
      <c r="OZ205" s="12"/>
      <c r="PA205" s="12" t="str">
        <f>CONCATENATE($T205,"-AI",REPLACE($X205,1,3,""),"-",$AA205)</f>
        <v>F0-AI43-5A</v>
      </c>
      <c r="PB205" s="12" t="str">
        <f>CONCATENATE($T205,"-AI",REPLACE($X205,1,3,""),"-",$AB205)</f>
        <v>F0-AI43-5B</v>
      </c>
      <c r="PC205" s="12" t="str">
        <f t="shared" ref="PC205:PH205" si="221">CONCATENATE($T205,"-AI",REPLACE($X205,1,3,""),"-",OQ205)</f>
        <v>F0-AI43-6A</v>
      </c>
      <c r="PD205" s="12" t="str">
        <f t="shared" si="221"/>
        <v>F0-AI43-6B</v>
      </c>
      <c r="PE205" s="12" t="str">
        <f t="shared" si="221"/>
        <v>F0-AI43-7A</v>
      </c>
      <c r="PF205" s="12" t="str">
        <f t="shared" si="221"/>
        <v>F0-AI43-7B</v>
      </c>
      <c r="PG205" s="12" t="str">
        <f t="shared" si="221"/>
        <v>F0-AI43-8A</v>
      </c>
      <c r="PH205" s="12" t="str">
        <f t="shared" si="221"/>
        <v>F0-AI43-8B</v>
      </c>
      <c r="PI205" s="12"/>
      <c r="PJ205" s="12"/>
      <c r="PK205" s="12"/>
      <c r="PL205" s="12"/>
      <c r="PM205" s="12">
        <f t="array" ref="PM205">IF(COUNTIFS($U$2:$U205,$U205)=1,1,INDEX(PM:PM,_xlfn.XMATCH($U205,$U$1:EF204,0,-1))+COUNT(PM204:PR204))</f>
        <v>1</v>
      </c>
      <c r="PN205" s="12">
        <f>PM205+1</f>
        <v>2</v>
      </c>
      <c r="PO205" s="12">
        <f>PN205+1</f>
        <v>3</v>
      </c>
      <c r="PP205" s="12">
        <f>PO205+1</f>
        <v>4</v>
      </c>
      <c r="PQ205" s="12">
        <f>PP205+1</f>
        <v>5</v>
      </c>
      <c r="PR205" s="12">
        <f>PQ205+1</f>
        <v>6</v>
      </c>
      <c r="PS205" s="12"/>
      <c r="PT205" s="12"/>
      <c r="PU205" s="12"/>
      <c r="PV205" s="12">
        <v>1</v>
      </c>
      <c r="PW205" s="12">
        <v>2</v>
      </c>
      <c r="PX205" s="12">
        <v>3</v>
      </c>
      <c r="PY205" s="12">
        <v>4</v>
      </c>
      <c r="PZ205" s="12">
        <v>5</v>
      </c>
      <c r="QA205" s="13">
        <v>6</v>
      </c>
    </row>
    <row r="206" spans="1:543" ht="15.75" thickBot="1" x14ac:dyDescent="0.3">
      <c r="A206" s="83" t="s">
        <v>1264</v>
      </c>
      <c r="B206" s="85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1056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SUM(IF(ISNUMBER(FIND("TmAi",$BE$1:$AAQ$1)),IF(IFERROR(ISODD(SUBSTITUTE($BE206:$AAQ206,"A","")),FALSE),IF(ISODD(SUBSTITUTE($BE206:$AAQ206,"A","")),1,0),0)))</f>
        <v>0</v>
      </c>
      <c r="AA206" t="str">
        <f t="shared" si="219"/>
        <v>3B</v>
      </c>
      <c r="AB206" t="str">
        <f t="shared" si="220"/>
        <v>4B</v>
      </c>
      <c r="AD206" s="46"/>
      <c r="AE206" s="46">
        <f t="array" ref="AE206">SUM(IF(ISNUMBER(FIND("TmDi",$BE$1:$AAQ$1)),IF(IFERROR(ISNUMBER(VALUE(SUBSTITUTE($BE206:$AAQ206,"B",""))),FALSE),IF(ISNUMBER(VALUE(SUBSTITUTE($BE206:$AAQ206,"B",""))),1,0),0)))</f>
        <v>0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F0-AI30-3B</v>
      </c>
      <c r="KD206" t="str">
        <f>CONCATENATE(T206,"-AI",REPLACE($X206,1,3,""),"-",AB206)</f>
        <v>F0-AI30-4B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L206" s="27"/>
      <c r="QA206" s="16"/>
    </row>
    <row r="207" spans="1:543" x14ac:dyDescent="0.25">
      <c r="A207" s="83" t="s">
        <v>1276</v>
      </c>
      <c r="B207" s="86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2963</v>
      </c>
      <c r="Y207" s="45">
        <f t="array" ref="Y207">IF(COUNTIFS($X$2:$X207,$X207)=1,"1",VALUE(SUBSTITUTE(INDEX(Y:Y,_xlfn.XMATCH($X207,$X$1:$X206,0,-1)),"A",""))+INDEX(Z:Z,_xlfn.XMATCH($X207,$X$1:$X206,0,-1))+1)</f>
        <v>5</v>
      </c>
      <c r="Z207" s="46">
        <f t="array" ref="Z207">SUM(IF(ISNUMBER(FIND("TmAi",$BE$1:$AAQ$1)),IF(IFERROR(ISODD(SUBSTITUTE($BE207:$AAQ207,"A","")),FALSE),IF(ISODD(SUBSTITUTE($BE207:$AAQ207,"A","")),1,0),0)))</f>
        <v>1</v>
      </c>
      <c r="AA207" t="str">
        <f t="shared" si="189"/>
        <v>9A</v>
      </c>
      <c r="AB207" t="str">
        <f t="shared" si="190"/>
        <v>9B</v>
      </c>
      <c r="AD207" s="46"/>
      <c r="AE207" s="46">
        <f t="array" ref="AE207">SUM(IF(ISNUMBER(FIND("TmDi",$BE$1:$AAQ$1)),IF(IFERROR(ISNUMBER(VALUE(SUBSTITUTE($BE207:$AAQ207,"B",""))),FALSE),IF(ISNUMBER(VALUE(SUBSTITUTE($BE207:$AAQ207,"B",""))),1,0),0)))</f>
        <v>0</v>
      </c>
      <c r="AP207" t="s">
        <v>137</v>
      </c>
      <c r="AR207" t="s">
        <v>1270</v>
      </c>
      <c r="AS207" t="s">
        <v>396</v>
      </c>
      <c r="OL207" s="25" t="str">
        <f>CONCATENATE("XT",$U207)</f>
        <v>XT65</v>
      </c>
      <c r="OM207" s="12" t="s">
        <v>1275</v>
      </c>
      <c r="ON207" s="12" t="s">
        <v>1316</v>
      </c>
      <c r="OO207" s="12"/>
      <c r="OP207" s="12"/>
      <c r="OQ207" s="12" t="str">
        <f>CONCATENATE(REPLACE($AA207,LEN($AA207),1,"")+1,RIGHT($AA207))</f>
        <v>10A</v>
      </c>
      <c r="OR207" s="12" t="str">
        <f>CONCATENATE(REPLACE($AB207,LEN($AB207),1,"")+1,RIGHT($AB207))</f>
        <v>10B</v>
      </c>
      <c r="OS207" s="12" t="str">
        <f>CONCATENATE(REPLACE(OQ207,LEN(OQ207),1,"")+1,RIGHT(OQ207))</f>
        <v>11A</v>
      </c>
      <c r="OT207" s="12" t="str">
        <f>CONCATENATE(REPLACE(OR207,LEN(OR207),1,"")+1,RIGHT(OR207))</f>
        <v>11B</v>
      </c>
      <c r="OU207" s="12" t="str">
        <f>CONCATENATE(REPLACE(OS207,LEN(OS207),1,"")+1,RIGHT(OS207))</f>
        <v>12A</v>
      </c>
      <c r="OV207" s="12" t="str">
        <f>CONCATENATE(REPLACE(OT207,LEN(OT207),1,"")+1,RIGHT(OT207))</f>
        <v>12B</v>
      </c>
      <c r="OW207" s="12"/>
      <c r="OX207" s="12"/>
      <c r="OY207" s="12"/>
      <c r="OZ207" s="12"/>
      <c r="PA207" s="12" t="str">
        <f>CONCATENATE($T207,"-AI",REPLACE($X207,1,3,""),"-",$AA207)</f>
        <v>F0-AI43-9A</v>
      </c>
      <c r="PB207" s="12" t="str">
        <f>CONCATENATE($T207,"-AI",REPLACE($X207,1,3,""),"-",$AB207)</f>
        <v>F0-AI43-9B</v>
      </c>
      <c r="PC207" s="12" t="str">
        <f t="shared" ref="PC207:PH207" si="222">CONCATENATE($T207,"-AI",REPLACE($X207,1,3,""),"-",OQ207)</f>
        <v>F0-AI43-10A</v>
      </c>
      <c r="PD207" s="12" t="str">
        <f t="shared" si="222"/>
        <v>F0-AI43-10B</v>
      </c>
      <c r="PE207" s="12" t="str">
        <f t="shared" si="222"/>
        <v>F0-AI43-11A</v>
      </c>
      <c r="PF207" s="12" t="str">
        <f t="shared" si="222"/>
        <v>F0-AI43-11B</v>
      </c>
      <c r="PG207" s="12" t="str">
        <f t="shared" si="222"/>
        <v>F0-AI43-12A</v>
      </c>
      <c r="PH207" s="12" t="str">
        <f t="shared" si="222"/>
        <v>F0-AI43-12B</v>
      </c>
      <c r="PI207" s="12"/>
      <c r="PJ207" s="12"/>
      <c r="PK207" s="12"/>
      <c r="PL207" s="12"/>
      <c r="PM207" s="12">
        <f t="array" ref="PM207">IF(COUNTIFS($U$2:$U207,$U207)=1,1,INDEX(PM:PM,_xlfn.XMATCH($U207,$U$1:EF206,0,-1))+COUNT(PM206:PR206))</f>
        <v>1</v>
      </c>
      <c r="PN207" s="12">
        <f>PM207+1</f>
        <v>2</v>
      </c>
      <c r="PO207" s="12">
        <f>PN207+1</f>
        <v>3</v>
      </c>
      <c r="PP207" s="12">
        <f>PO207+1</f>
        <v>4</v>
      </c>
      <c r="PQ207" s="12">
        <f>PP207+1</f>
        <v>5</v>
      </c>
      <c r="PR207" s="12">
        <f>PQ207+1</f>
        <v>6</v>
      </c>
      <c r="PS207" s="12"/>
      <c r="PT207" s="12"/>
      <c r="PU207" s="12"/>
      <c r="PV207" s="12">
        <v>1</v>
      </c>
      <c r="PW207" s="12">
        <v>2</v>
      </c>
      <c r="PX207" s="12">
        <v>3</v>
      </c>
      <c r="PY207" s="12">
        <v>4</v>
      </c>
      <c r="PZ207" s="12">
        <v>5</v>
      </c>
      <c r="QA207" s="13">
        <v>6</v>
      </c>
    </row>
    <row r="208" spans="1:543" ht="15.75" thickBot="1" x14ac:dyDescent="0.3">
      <c r="A208" s="83" t="s">
        <v>1272</v>
      </c>
      <c r="B208" s="85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1056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SUM(IF(ISNUMBER(FIND("TmAi",$BE$1:$AAQ$1)),IF(IFERROR(ISODD(SUBSTITUTE($BE208:$AAQ208,"A","")),FALSE),IF(ISODD(SUBSTITUTE($BE208:$AAQ208,"A","")),1,0),0)))</f>
        <v>0</v>
      </c>
      <c r="AA208" t="str">
        <f t="shared" si="219"/>
        <v>5B</v>
      </c>
      <c r="AB208" t="str">
        <f t="shared" si="220"/>
        <v>6B</v>
      </c>
      <c r="AD208" s="46"/>
      <c r="AE208" s="46">
        <f t="array" ref="AE208">SUM(IF(ISNUMBER(FIND("TmDi",$BE$1:$AAQ$1)),IF(IFERROR(ISNUMBER(VALUE(SUBSTITUTE($BE208:$AAQ208,"B",""))),FALSE),IF(ISNUMBER(VALUE(SUBSTITUTE($BE208:$AAQ208,"B",""))),1,0),0)))</f>
        <v>0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F0-AI30-5B</v>
      </c>
      <c r="KD208" t="str">
        <f>CONCATENATE(T208,"-AI",REPLACE($X208,1,3,""),"-",AB208)</f>
        <v>F0-AI30-6B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L208" s="27"/>
      <c r="QA208" s="16"/>
    </row>
    <row r="209" spans="1:443" x14ac:dyDescent="0.25">
      <c r="A209" s="83" t="s">
        <v>1277</v>
      </c>
      <c r="B209" s="86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2964</v>
      </c>
      <c r="Y209" s="45" t="str">
        <f t="array" ref="Y209">IF(COUNTIFS($X$2:$X209,$X209)=1,"1",VALUE(SUBSTITUTE(INDEX(Y:Y,_xlfn.XMATCH($X209,$X$1:$X208,0,-1)),"A",""))+INDEX(Z:Z,_xlfn.XMATCH($X209,$X$1:$X208,0,-1))+1)</f>
        <v>1</v>
      </c>
      <c r="Z209" s="46">
        <f t="array" ref="Z209">SUM(IF(ISNUMBER(FIND("TmAi",$BE$1:$AAQ$1)),IF(IFERROR(ISODD(SUBSTITUTE($BE209:$AAQ209,"A","")),FALSE),IF(ISODD(SUBSTITUTE($BE209:$AAQ209,"A","")),1,0),0)))</f>
        <v>1</v>
      </c>
      <c r="AA209" t="str">
        <f t="shared" si="189"/>
        <v>1A</v>
      </c>
      <c r="AB209" t="str">
        <f t="shared" si="190"/>
        <v>1B</v>
      </c>
      <c r="AD209" s="46"/>
      <c r="AE209" s="46">
        <f t="array" ref="AE209">SUM(IF(ISNUMBER(FIND("TmDi",$BE$1:$AAQ$1)),IF(IFERROR(ISNUMBER(VALUE(SUBSTITUTE($BE209:$AAQ209,"B",""))),FALSE),IF(ISNUMBER(VALUE(SUBSTITUTE($BE209:$AAQ209,"B",""))),1,0),0)))</f>
        <v>0</v>
      </c>
      <c r="AP209" t="s">
        <v>137</v>
      </c>
      <c r="AR209" t="s">
        <v>1271</v>
      </c>
      <c r="AS209" t="s">
        <v>396</v>
      </c>
      <c r="OL209" s="25" t="str">
        <f>CONCATENATE("XT",$U209)</f>
        <v>XT66</v>
      </c>
      <c r="OM209" s="12" t="s">
        <v>1274</v>
      </c>
      <c r="ON209" s="12" t="s">
        <v>1317</v>
      </c>
      <c r="OO209" s="12"/>
      <c r="OP209" s="12"/>
      <c r="OQ209" s="12" t="str">
        <f>CONCATENATE(REPLACE($AA209,LEN($AA209),1,"")+1,RIGHT($AA209))</f>
        <v>2A</v>
      </c>
      <c r="OR209" s="12" t="str">
        <f>CONCATENATE(REPLACE($AB209,LEN($AB209),1,"")+1,RIGHT($AB209))</f>
        <v>2B</v>
      </c>
      <c r="OS209" s="12" t="str">
        <f>CONCATENATE(REPLACE(OQ209,LEN(OQ209),1,"")+1,RIGHT(OQ209))</f>
        <v>3A</v>
      </c>
      <c r="OT209" s="12" t="str">
        <f>CONCATENATE(REPLACE(OR209,LEN(OR209),1,"")+1,RIGHT(OR209))</f>
        <v>3B</v>
      </c>
      <c r="OU209" s="12" t="str">
        <f>CONCATENATE(REPLACE(OS209,LEN(OS209),1,"")+1,RIGHT(OS209))</f>
        <v>4A</v>
      </c>
      <c r="OV209" s="12" t="str">
        <f>CONCATENATE(REPLACE(OT209,LEN(OT209),1,"")+1,RIGHT(OT209))</f>
        <v>4B</v>
      </c>
      <c r="OW209" s="12"/>
      <c r="OX209" s="12"/>
      <c r="OY209" s="12"/>
      <c r="OZ209" s="12"/>
      <c r="PA209" s="12" t="str">
        <f>CONCATENATE($T209,"-AI",REPLACE($X209,1,3,""),"-",$AA209)</f>
        <v>F0-AI44-1A</v>
      </c>
      <c r="PB209" s="12" t="str">
        <f>CONCATENATE($T209,"-AI",REPLACE($X209,1,3,""),"-",$AB209)</f>
        <v>F0-AI44-1B</v>
      </c>
      <c r="PC209" s="12" t="str">
        <f t="shared" ref="PC209:PH209" si="223">CONCATENATE($T209,"-AI",REPLACE($X209,1,3,""),"-",OQ209)</f>
        <v>F0-AI44-2A</v>
      </c>
      <c r="PD209" s="12" t="str">
        <f t="shared" si="223"/>
        <v>F0-AI44-2B</v>
      </c>
      <c r="PE209" s="12" t="str">
        <f t="shared" si="223"/>
        <v>F0-AI44-3A</v>
      </c>
      <c r="PF209" s="12" t="str">
        <f t="shared" si="223"/>
        <v>F0-AI44-3B</v>
      </c>
      <c r="PG209" s="12" t="str">
        <f t="shared" si="223"/>
        <v>F0-AI44-4A</v>
      </c>
      <c r="PH209" s="12" t="str">
        <f t="shared" si="223"/>
        <v>F0-AI44-4B</v>
      </c>
      <c r="PI209" s="12"/>
      <c r="PJ209" s="12"/>
      <c r="PK209" s="12"/>
      <c r="PL209" s="12"/>
      <c r="PM209" s="12">
        <f t="array" ref="PM209">IF(COUNTIFS($U$2:$U209,$U209)=1,1,INDEX(PM:PM,_xlfn.XMATCH($U209,$U$1:EF208,0,-1))+COUNT(PM208:PR208))</f>
        <v>1</v>
      </c>
      <c r="PN209" s="12">
        <f>PM209+1</f>
        <v>2</v>
      </c>
      <c r="PO209" s="12">
        <f>PN209+1</f>
        <v>3</v>
      </c>
      <c r="PP209" s="12">
        <f>PO209+1</f>
        <v>4</v>
      </c>
      <c r="PQ209" s="12">
        <f>PP209+1</f>
        <v>5</v>
      </c>
      <c r="PR209" s="12">
        <f>PQ209+1</f>
        <v>6</v>
      </c>
      <c r="PS209" s="12"/>
      <c r="PT209" s="12"/>
      <c r="PU209" s="12"/>
      <c r="PV209" s="12">
        <v>1</v>
      </c>
      <c r="PW209" s="12">
        <v>2</v>
      </c>
      <c r="PX209" s="12">
        <v>3</v>
      </c>
      <c r="PY209" s="12">
        <v>4</v>
      </c>
      <c r="PZ209" s="12">
        <v>5</v>
      </c>
      <c r="QA209" s="13">
        <v>6</v>
      </c>
    </row>
    <row r="210" spans="1:443" ht="15.75" thickBot="1" x14ac:dyDescent="0.3">
      <c r="A210" s="83" t="s">
        <v>1273</v>
      </c>
      <c r="B210" s="85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1056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SUM(IF(ISNUMBER(FIND("TmAi",$BE$1:$AAQ$1)),IF(IFERROR(ISODD(SUBSTITUTE($BE210:$AAQ210,"A","")),FALSE),IF(ISODD(SUBSTITUTE($BE210:$AAQ210,"A","")),1,0),0)))</f>
        <v>0</v>
      </c>
      <c r="AA210" t="str">
        <f t="shared" si="219"/>
        <v>7B</v>
      </c>
      <c r="AB210" t="str">
        <f t="shared" si="220"/>
        <v>8B</v>
      </c>
      <c r="AD210" s="46"/>
      <c r="AE210" s="46">
        <f t="array" ref="AE210">SUM(IF(ISNUMBER(FIND("TmDi",$BE$1:$AAQ$1)),IF(IFERROR(ISNUMBER(VALUE(SUBSTITUTE($BE210:$AAQ210,"B",""))),FALSE),IF(ISNUMBER(VALUE(SUBSTITUTE($BE210:$AAQ210,"B",""))),1,0),0)))</f>
        <v>0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F0-AI30-7B</v>
      </c>
      <c r="KD210" t="str">
        <f>CONCATENATE(T210,"-AI",REPLACE($X210,1,3,""),"-",AB210)</f>
        <v>F0-AI30-8B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L210" s="27"/>
      <c r="QA210" s="16"/>
    </row>
    <row r="211" spans="1:443" x14ac:dyDescent="0.25">
      <c r="A211" s="83" t="s">
        <v>1282</v>
      </c>
      <c r="B211" s="86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2964</v>
      </c>
      <c r="Y211" s="45">
        <f t="array" ref="Y211">IF(COUNTIFS($X$2:$X211,$X211)=1,"1",VALUE(SUBSTITUTE(INDEX(Y:Y,_xlfn.XMATCH($X211,$X$1:$X210,0,-1)),"A",""))+INDEX(Z:Z,_xlfn.XMATCH($X211,$X$1:$X210,0,-1))+1)</f>
        <v>3</v>
      </c>
      <c r="Z211" s="46">
        <f t="array" ref="Z211">SUM(IF(ISNUMBER(FIND("TmAi",$BE$1:$AAQ$1)),IF(IFERROR(ISODD(SUBSTITUTE($BE211:$AAQ211,"A","")),FALSE),IF(ISODD(SUBSTITUTE($BE211:$AAQ211,"A","")),1,0),0)))</f>
        <v>1</v>
      </c>
      <c r="AA211" t="str">
        <f t="shared" si="189"/>
        <v>5A</v>
      </c>
      <c r="AB211" t="str">
        <f t="shared" si="190"/>
        <v>5B</v>
      </c>
      <c r="AD211" s="46"/>
      <c r="AE211" s="46">
        <f t="array" ref="AE211">SUM(IF(ISNUMBER(FIND("TmDi",$BE$1:$AAQ$1)),IF(IFERROR(ISNUMBER(VALUE(SUBSTITUTE($BE211:$AAQ211,"B",""))),FALSE),IF(ISNUMBER(VALUE(SUBSTITUTE($BE211:$AAQ211,"B",""))),1,0),0)))</f>
        <v>0</v>
      </c>
      <c r="AP211" t="s">
        <v>137</v>
      </c>
      <c r="AR211" t="s">
        <v>1278</v>
      </c>
      <c r="AS211" t="s">
        <v>396</v>
      </c>
      <c r="OL211" s="25" t="str">
        <f>CONCATENATE("XT",$U211)</f>
        <v>XT67</v>
      </c>
      <c r="OM211" s="12" t="s">
        <v>1284</v>
      </c>
      <c r="ON211" s="12" t="s">
        <v>1318</v>
      </c>
      <c r="OO211" s="12"/>
      <c r="OP211" s="12"/>
      <c r="OQ211" s="12" t="str">
        <f>CONCATENATE(REPLACE($AA211,LEN($AA211),1,"")+1,RIGHT($AA211))</f>
        <v>6A</v>
      </c>
      <c r="OR211" s="12" t="str">
        <f>CONCATENATE(REPLACE($AB211,LEN($AB211),1,"")+1,RIGHT($AB211))</f>
        <v>6B</v>
      </c>
      <c r="OS211" s="12" t="str">
        <f>CONCATENATE(REPLACE(OQ211,LEN(OQ211),1,"")+1,RIGHT(OQ211))</f>
        <v>7A</v>
      </c>
      <c r="OT211" s="12" t="str">
        <f>CONCATENATE(REPLACE(OR211,LEN(OR211),1,"")+1,RIGHT(OR211))</f>
        <v>7B</v>
      </c>
      <c r="OU211" s="12" t="str">
        <f>CONCATENATE(REPLACE(OS211,LEN(OS211),1,"")+1,RIGHT(OS211))</f>
        <v>8A</v>
      </c>
      <c r="OV211" s="12" t="str">
        <f>CONCATENATE(REPLACE(OT211,LEN(OT211),1,"")+1,RIGHT(OT211))</f>
        <v>8B</v>
      </c>
      <c r="OW211" s="12"/>
      <c r="OX211" s="12"/>
      <c r="OY211" s="12"/>
      <c r="OZ211" s="12"/>
      <c r="PA211" s="12" t="str">
        <f>CONCATENATE($T211,"-AI",REPLACE($X211,1,3,""),"-",$AA211)</f>
        <v>F0-AI44-5A</v>
      </c>
      <c r="PB211" s="12" t="str">
        <f>CONCATENATE($T211,"-AI",REPLACE($X211,1,3,""),"-",$AB211)</f>
        <v>F0-AI44-5B</v>
      </c>
      <c r="PC211" s="12" t="str">
        <f t="shared" ref="PC211:PH211" si="224">CONCATENATE($T211,"-AI",REPLACE($X211,1,3,""),"-",OQ211)</f>
        <v>F0-AI44-6A</v>
      </c>
      <c r="PD211" s="12" t="str">
        <f t="shared" si="224"/>
        <v>F0-AI44-6B</v>
      </c>
      <c r="PE211" s="12" t="str">
        <f t="shared" si="224"/>
        <v>F0-AI44-7A</v>
      </c>
      <c r="PF211" s="12" t="str">
        <f t="shared" si="224"/>
        <v>F0-AI44-7B</v>
      </c>
      <c r="PG211" s="12" t="str">
        <f t="shared" si="224"/>
        <v>F0-AI44-8A</v>
      </c>
      <c r="PH211" s="12" t="str">
        <f t="shared" si="224"/>
        <v>F0-AI44-8B</v>
      </c>
      <c r="PI211" s="12"/>
      <c r="PJ211" s="12"/>
      <c r="PK211" s="12"/>
      <c r="PL211" s="12"/>
      <c r="PM211" s="12">
        <f t="array" ref="PM211">IF(COUNTIFS($U$2:$U211,$U211)=1,1,INDEX(PM:PM,_xlfn.XMATCH($U211,$U$1:EF210,0,-1))+COUNT(PM210:PR210))</f>
        <v>1</v>
      </c>
      <c r="PN211" s="12">
        <f>PM211+1</f>
        <v>2</v>
      </c>
      <c r="PO211" s="12">
        <f>PN211+1</f>
        <v>3</v>
      </c>
      <c r="PP211" s="12">
        <f>PO211+1</f>
        <v>4</v>
      </c>
      <c r="PQ211" s="12">
        <f>PP211+1</f>
        <v>5</v>
      </c>
      <c r="PR211" s="12">
        <f>PQ211+1</f>
        <v>6</v>
      </c>
      <c r="PS211" s="12"/>
      <c r="PT211" s="12"/>
      <c r="PU211" s="12"/>
      <c r="PV211" s="12">
        <v>1</v>
      </c>
      <c r="PW211" s="12">
        <v>2</v>
      </c>
      <c r="PX211" s="12">
        <v>3</v>
      </c>
      <c r="PY211" s="12">
        <v>4</v>
      </c>
      <c r="PZ211" s="12">
        <v>5</v>
      </c>
      <c r="QA211" s="13">
        <v>6</v>
      </c>
    </row>
    <row r="212" spans="1:443" ht="15.75" thickBot="1" x14ac:dyDescent="0.3">
      <c r="A212" s="83" t="s">
        <v>1283</v>
      </c>
      <c r="B212" s="85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1056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SUM(IF(ISNUMBER(FIND("TmAi",$BE$1:$AAQ$1)),IF(IFERROR(ISODD(SUBSTITUTE($BE212:$AAQ212,"A","")),FALSE),IF(ISODD(SUBSTITUTE($BE212:$AAQ212,"A","")),1,0),0)))</f>
        <v>0</v>
      </c>
      <c r="AA212" t="str">
        <f t="shared" si="219"/>
        <v>9B</v>
      </c>
      <c r="AB212" t="str">
        <f t="shared" si="220"/>
        <v>10B</v>
      </c>
      <c r="AD212" s="46"/>
      <c r="AE212" s="46">
        <f t="array" ref="AE212">SUM(IF(ISNUMBER(FIND("TmDi",$BE$1:$AAQ$1)),IF(IFERROR(ISNUMBER(VALUE(SUBSTITUTE($BE212:$AAQ212,"B",""))),FALSE),IF(ISNUMBER(VALUE(SUBSTITUTE($BE212:$AAQ212,"B",""))),1,0),0)))</f>
        <v>0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F0-AI30-9B</v>
      </c>
      <c r="KD212" t="str">
        <f>CONCATENATE(T212,"-AI",REPLACE($X212,1,3,""),"-",AB212)</f>
        <v>F0-AI30-10B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L212" s="27"/>
      <c r="QA212" s="16"/>
    </row>
    <row r="213" spans="1:443" x14ac:dyDescent="0.25">
      <c r="A213" s="83" t="s">
        <v>1293</v>
      </c>
      <c r="B213" s="86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2964</v>
      </c>
      <c r="Y213" s="45">
        <f t="array" ref="Y213">IF(COUNTIFS($X$2:$X213,$X213)=1,"1",VALUE(SUBSTITUTE(INDEX(Y:Y,_xlfn.XMATCH($X213,$X$1:$X212,0,-1)),"A",""))+INDEX(Z:Z,_xlfn.XMATCH($X213,$X$1:$X212,0,-1))+1)</f>
        <v>5</v>
      </c>
      <c r="Z213" s="46">
        <f t="array" ref="Z213">SUM(IF(ISNUMBER(FIND("TmAi",$BE$1:$AAQ$1)),IF(IFERROR(ISODD(SUBSTITUTE($BE213:$AAQ213,"A","")),FALSE),IF(ISODD(SUBSTITUTE($BE213:$AAQ213,"A","")),1,0),0)))</f>
        <v>1</v>
      </c>
      <c r="AA213" t="str">
        <f t="shared" si="189"/>
        <v>9A</v>
      </c>
      <c r="AB213" t="str">
        <f t="shared" si="190"/>
        <v>9B</v>
      </c>
      <c r="AD213" s="46"/>
      <c r="AE213" s="46">
        <f t="array" ref="AE213">SUM(IF(ISNUMBER(FIND("TmDi",$BE$1:$AAQ$1)),IF(IFERROR(ISNUMBER(VALUE(SUBSTITUTE($BE213:$AAQ213,"B",""))),FALSE),IF(ISNUMBER(VALUE(SUBSTITUTE($BE213:$AAQ213,"B",""))),1,0),0)))</f>
        <v>0</v>
      </c>
      <c r="AP213" t="s">
        <v>137</v>
      </c>
      <c r="AR213" t="s">
        <v>1290</v>
      </c>
      <c r="AS213" t="s">
        <v>396</v>
      </c>
      <c r="OL213" s="25" t="str">
        <f>CONCATENATE("XT",$U213)</f>
        <v>XT68</v>
      </c>
      <c r="OM213" s="12" t="s">
        <v>1297</v>
      </c>
      <c r="ON213" s="12" t="s">
        <v>1314</v>
      </c>
      <c r="OO213" s="12"/>
      <c r="OP213" s="12"/>
      <c r="OQ213" s="12" t="str">
        <f>CONCATENATE(REPLACE($AA213,LEN($AA213),1,"")+1,RIGHT($AA213))</f>
        <v>10A</v>
      </c>
      <c r="OR213" s="12" t="str">
        <f>CONCATENATE(REPLACE($AB213,LEN($AB213),1,"")+1,RIGHT($AB213))</f>
        <v>10B</v>
      </c>
      <c r="OS213" s="12" t="str">
        <f>CONCATENATE(REPLACE(OQ213,LEN(OQ213),1,"")+1,RIGHT(OQ213))</f>
        <v>11A</v>
      </c>
      <c r="OT213" s="12" t="str">
        <f>CONCATENATE(REPLACE(OR213,LEN(OR213),1,"")+1,RIGHT(OR213))</f>
        <v>11B</v>
      </c>
      <c r="OU213" s="12" t="str">
        <f>CONCATENATE(REPLACE(OS213,LEN(OS213),1,"")+1,RIGHT(OS213))</f>
        <v>12A</v>
      </c>
      <c r="OV213" s="12" t="str">
        <f>CONCATENATE(REPLACE(OT213,LEN(OT213),1,"")+1,RIGHT(OT213))</f>
        <v>12B</v>
      </c>
      <c r="OW213" s="12"/>
      <c r="OX213" s="12"/>
      <c r="OY213" s="12"/>
      <c r="OZ213" s="12"/>
      <c r="PA213" s="12" t="str">
        <f>CONCATENATE($T213,"-AI",REPLACE($X213,1,3,""),"-",$AA213)</f>
        <v>F0-AI44-9A</v>
      </c>
      <c r="PB213" s="12" t="str">
        <f>CONCATENATE($T213,"-AI",REPLACE($X213,1,3,""),"-",$AB213)</f>
        <v>F0-AI44-9B</v>
      </c>
      <c r="PC213" s="12" t="str">
        <f t="shared" ref="PC213:PH213" si="225">CONCATENATE($T213,"-AI",REPLACE($X213,1,3,""),"-",OQ213)</f>
        <v>F0-AI44-10A</v>
      </c>
      <c r="PD213" s="12" t="str">
        <f t="shared" si="225"/>
        <v>F0-AI44-10B</v>
      </c>
      <c r="PE213" s="12" t="str">
        <f t="shared" si="225"/>
        <v>F0-AI44-11A</v>
      </c>
      <c r="PF213" s="12" t="str">
        <f t="shared" si="225"/>
        <v>F0-AI44-11B</v>
      </c>
      <c r="PG213" s="12" t="str">
        <f t="shared" si="225"/>
        <v>F0-AI44-12A</v>
      </c>
      <c r="PH213" s="12" t="str">
        <f t="shared" si="225"/>
        <v>F0-AI44-12B</v>
      </c>
      <c r="PI213" s="12"/>
      <c r="PJ213" s="12"/>
      <c r="PK213" s="12"/>
      <c r="PL213" s="12"/>
      <c r="PM213" s="12">
        <f t="array" ref="PM213">IF(COUNTIFS($U$2:$U213,$U213)=1,1,INDEX(PM:PM,_xlfn.XMATCH($U213,$U$1:EF212,0,-1))+COUNT(PM212:PR212))</f>
        <v>1</v>
      </c>
      <c r="PN213" s="12">
        <f>PM213+1</f>
        <v>2</v>
      </c>
      <c r="PO213" s="12">
        <f>PN213+1</f>
        <v>3</v>
      </c>
      <c r="PP213" s="12">
        <f>PO213+1</f>
        <v>4</v>
      </c>
      <c r="PQ213" s="12">
        <f>PP213+1</f>
        <v>5</v>
      </c>
      <c r="PR213" s="12">
        <f>PQ213+1</f>
        <v>6</v>
      </c>
      <c r="PS213" s="12"/>
      <c r="PT213" s="12"/>
      <c r="PU213" s="12"/>
      <c r="PV213" s="12">
        <v>1</v>
      </c>
      <c r="PW213" s="12">
        <v>2</v>
      </c>
      <c r="PX213" s="12">
        <v>3</v>
      </c>
      <c r="PY213" s="12">
        <v>4</v>
      </c>
      <c r="PZ213" s="12">
        <v>5</v>
      </c>
      <c r="QA213" s="13">
        <v>6</v>
      </c>
    </row>
    <row r="214" spans="1:443" ht="15.75" thickBot="1" x14ac:dyDescent="0.3">
      <c r="A214" s="83" t="s">
        <v>1294</v>
      </c>
      <c r="B214" s="85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1056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SUM(IF(ISNUMBER(FIND("TmAi",$BE$1:$AAQ$1)),IF(IFERROR(ISODD(SUBSTITUTE($BE214:$AAQ214,"A","")),FALSE),IF(ISODD(SUBSTITUTE($BE214:$AAQ214,"A","")),1,0),0)))</f>
        <v>0</v>
      </c>
      <c r="AA214" t="str">
        <f t="shared" si="219"/>
        <v>11B</v>
      </c>
      <c r="AB214" t="str">
        <f t="shared" si="220"/>
        <v>12B</v>
      </c>
      <c r="AD214" s="46"/>
      <c r="AE214" s="46">
        <f t="array" ref="AE214">SUM(IF(ISNUMBER(FIND("TmDi",$BE$1:$AAQ$1)),IF(IFERROR(ISNUMBER(VALUE(SUBSTITUTE($BE214:$AAQ214,"B",""))),FALSE),IF(ISNUMBER(VALUE(SUBSTITUTE($BE214:$AAQ214,"B",""))),1,0),0)))</f>
        <v>0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F0-AI30-11B</v>
      </c>
      <c r="KD214" t="str">
        <f>CONCATENATE(T214,"-AI",REPLACE($X214,1,3,""),"-",AB214)</f>
        <v>F0-AI30-12B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L214" s="27"/>
      <c r="QA214" s="16"/>
    </row>
    <row r="215" spans="1:443" x14ac:dyDescent="0.25">
      <c r="A215" s="83" t="s">
        <v>1295</v>
      </c>
      <c r="B215" s="86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2965</v>
      </c>
      <c r="Y215" s="45" t="str">
        <f t="array" ref="Y215">IF(COUNTIFS($X$2:$X215,$X215)=1,"1",VALUE(SUBSTITUTE(INDEX(Y:Y,_xlfn.XMATCH($X215,$X$1:$X214,0,-1)),"A",""))+INDEX(Z:Z,_xlfn.XMATCH($X215,$X$1:$X214,0,-1))+1)</f>
        <v>1</v>
      </c>
      <c r="Z215" s="46">
        <f t="array" ref="Z215">SUM(IF(ISNUMBER(FIND("TmAi",$BE$1:$AAQ$1)),IF(IFERROR(ISODD(SUBSTITUTE($BE215:$AAQ215,"A","")),FALSE),IF(ISODD(SUBSTITUTE($BE215:$AAQ215,"A","")),1,0),0)))</f>
        <v>1</v>
      </c>
      <c r="AA215" t="str">
        <f t="shared" si="189"/>
        <v>1A</v>
      </c>
      <c r="AB215" t="str">
        <f t="shared" si="190"/>
        <v>1B</v>
      </c>
      <c r="AD215" s="46"/>
      <c r="AE215" s="46">
        <f t="array" ref="AE215">SUM(IF(ISNUMBER(FIND("TmDi",$BE$1:$AAQ$1)),IF(IFERROR(ISNUMBER(VALUE(SUBSTITUTE($BE215:$AAQ215,"B",""))),FALSE),IF(ISNUMBER(VALUE(SUBSTITUTE($BE215:$AAQ215,"B",""))),1,0),0)))</f>
        <v>0</v>
      </c>
      <c r="AP215" t="s">
        <v>137</v>
      </c>
      <c r="AR215" t="s">
        <v>1291</v>
      </c>
      <c r="AS215" t="s">
        <v>396</v>
      </c>
      <c r="OL215" s="25" t="str">
        <f>CONCATENATE("XT",$U215)</f>
        <v>XT69</v>
      </c>
      <c r="OM215" s="12" t="s">
        <v>1298</v>
      </c>
      <c r="ON215" s="12" t="s">
        <v>1315</v>
      </c>
      <c r="OO215" s="12"/>
      <c r="OP215" s="12"/>
      <c r="OQ215" s="12" t="str">
        <f>CONCATENATE(REPLACE($AA215,LEN($AA215),1,"")+1,RIGHT($AA215))</f>
        <v>2A</v>
      </c>
      <c r="OR215" s="12" t="str">
        <f>CONCATENATE(REPLACE($AB215,LEN($AB215),1,"")+1,RIGHT($AB215))</f>
        <v>2B</v>
      </c>
      <c r="OS215" s="12" t="str">
        <f>CONCATENATE(REPLACE(OQ215,LEN(OQ215),1,"")+1,RIGHT(OQ215))</f>
        <v>3A</v>
      </c>
      <c r="OT215" s="12" t="str">
        <f>CONCATENATE(REPLACE(OR215,LEN(OR215),1,"")+1,RIGHT(OR215))</f>
        <v>3B</v>
      </c>
      <c r="OU215" s="12" t="str">
        <f>CONCATENATE(REPLACE(OS215,LEN(OS215),1,"")+1,RIGHT(OS215))</f>
        <v>4A</v>
      </c>
      <c r="OV215" s="12" t="str">
        <f>CONCATENATE(REPLACE(OT215,LEN(OT215),1,"")+1,RIGHT(OT215))</f>
        <v>4B</v>
      </c>
      <c r="OW215" s="12"/>
      <c r="OX215" s="12"/>
      <c r="OY215" s="12"/>
      <c r="OZ215" s="12"/>
      <c r="PA215" s="12" t="str">
        <f>CONCATENATE($T215,"-AI",REPLACE($X215,1,3,""),"-",$AA215)</f>
        <v>F0-AI45-1A</v>
      </c>
      <c r="PB215" s="12" t="str">
        <f>CONCATENATE($T215,"-AI",REPLACE($X215,1,3,""),"-",$AB215)</f>
        <v>F0-AI45-1B</v>
      </c>
      <c r="PC215" s="12" t="str">
        <f t="shared" ref="PC215:PH215" si="226">CONCATENATE($T215,"-AI",REPLACE($X215,1,3,""),"-",OQ215)</f>
        <v>F0-AI45-2A</v>
      </c>
      <c r="PD215" s="12" t="str">
        <f t="shared" si="226"/>
        <v>F0-AI45-2B</v>
      </c>
      <c r="PE215" s="12" t="str">
        <f t="shared" si="226"/>
        <v>F0-AI45-3A</v>
      </c>
      <c r="PF215" s="12" t="str">
        <f t="shared" si="226"/>
        <v>F0-AI45-3B</v>
      </c>
      <c r="PG215" s="12" t="str">
        <f t="shared" si="226"/>
        <v>F0-AI45-4A</v>
      </c>
      <c r="PH215" s="12" t="str">
        <f t="shared" si="226"/>
        <v>F0-AI45-4B</v>
      </c>
      <c r="PI215" s="12"/>
      <c r="PJ215" s="12"/>
      <c r="PK215" s="12"/>
      <c r="PL215" s="12"/>
      <c r="PM215" s="12">
        <f t="array" ref="PM215">IF(COUNTIFS($U$2:$U215,$U215)=1,1,INDEX(PM:PM,_xlfn.XMATCH($U215,$U$1:EF214,0,-1))+COUNT(PM214:PR214))</f>
        <v>1</v>
      </c>
      <c r="PN215" s="12">
        <f>PM215+1</f>
        <v>2</v>
      </c>
      <c r="PO215" s="12">
        <f>PN215+1</f>
        <v>3</v>
      </c>
      <c r="PP215" s="12">
        <f>PO215+1</f>
        <v>4</v>
      </c>
      <c r="PQ215" s="12">
        <f>PP215+1</f>
        <v>5</v>
      </c>
      <c r="PR215" s="12">
        <f>PQ215+1</f>
        <v>6</v>
      </c>
      <c r="PS215" s="12"/>
      <c r="PT215" s="12"/>
      <c r="PU215" s="12"/>
      <c r="PV215" s="12">
        <v>1</v>
      </c>
      <c r="PW215" s="12">
        <v>2</v>
      </c>
      <c r="PX215" s="12">
        <v>3</v>
      </c>
      <c r="PY215" s="12">
        <v>4</v>
      </c>
      <c r="PZ215" s="12">
        <v>5</v>
      </c>
      <c r="QA215" s="13">
        <v>6</v>
      </c>
    </row>
    <row r="216" spans="1:443" x14ac:dyDescent="0.25">
      <c r="A216" s="83" t="s">
        <v>1296</v>
      </c>
      <c r="B216" s="85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1056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SUM(IF(ISNUMBER(FIND("TmAi",$BE$1:$AAQ$1)),IF(IFERROR(ISODD(SUBSTITUTE($BE216:$AAQ216,"A","")),FALSE),IF(ISODD(SUBSTITUTE($BE216:$AAQ216,"A","")),1,0),0)))</f>
        <v>0</v>
      </c>
      <c r="AA216" t="str">
        <f t="shared" si="219"/>
        <v>13B</v>
      </c>
      <c r="AB216" t="str">
        <f t="shared" si="220"/>
        <v>14B</v>
      </c>
      <c r="AD216" s="46"/>
      <c r="AE216" s="46">
        <f t="array" ref="AE216">SUM(IF(ISNUMBER(FIND("TmDi",$BE$1:$AAQ$1)),IF(IFERROR(ISNUMBER(VALUE(SUBSTITUTE($BE216:$AAQ216,"B",""))),FALSE),IF(ISNUMBER(VALUE(SUBSTITUTE($BE216:$AAQ216,"B",""))),1,0),0)))</f>
        <v>0</v>
      </c>
      <c r="AP216" t="s">
        <v>137</v>
      </c>
      <c r="AQ216" t="s">
        <v>1292</v>
      </c>
      <c r="AS216" t="s">
        <v>396</v>
      </c>
      <c r="JZ216" s="27" t="str">
        <f t="shared" ref="JZ216:JZ224" si="227">CONCATENATE("XT",U216)</f>
        <v>XT69</v>
      </c>
      <c r="KC216" t="str">
        <f t="shared" ref="KC216:KC224" si="228">CONCATENATE(T216,"-AI",REPLACE($X216,1,3,""),"-",AA216)</f>
        <v>F0-AI30-13B</v>
      </c>
      <c r="KD216" t="str">
        <f t="shared" ref="KD216:KD224" si="229">CONCATENATE(T216,"-AI",REPLACE($X216,1,3,""),"-",AB216)</f>
        <v>F0-AI30-14B</v>
      </c>
      <c r="KI216">
        <v>7</v>
      </c>
      <c r="KJ216">
        <f>KI216+1</f>
        <v>8</v>
      </c>
      <c r="KK216">
        <f>KJ216+1</f>
        <v>9</v>
      </c>
      <c r="KN216" t="s">
        <v>548</v>
      </c>
      <c r="KO216" s="16" t="s">
        <v>548</v>
      </c>
      <c r="KS216" s="16"/>
      <c r="OL216" s="27"/>
      <c r="QA216" s="16"/>
    </row>
    <row r="217" spans="1:443" x14ac:dyDescent="0.25">
      <c r="A217" s="83" t="s">
        <v>1303</v>
      </c>
      <c r="B217" s="85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A3.31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SUM(IF(ISNUMBER(FIND("TmAi",$BE$1:$AAQ$1)),IF(IFERROR(ISODD(SUBSTITUTE($BE217:$AAQ217,"A","")),FALSE),IF(ISODD(SUBSTITUTE($BE217:$AAQ217,"A","")),1,0),0)))</f>
        <v>0</v>
      </c>
      <c r="AA217" t="str">
        <f t="shared" si="219"/>
        <v>1B</v>
      </c>
      <c r="AB217" t="str">
        <f t="shared" si="220"/>
        <v>2B</v>
      </c>
      <c r="AD217" s="46"/>
      <c r="AE217" s="46">
        <f t="array" ref="AE217">SUM(IF(ISNUMBER(FIND("TmDi",$BE$1:$AAQ$1)),IF(IFERROR(ISNUMBER(VALUE(SUBSTITUTE($BE217:$AAQ217,"B",""))),FALSE),IF(ISNUMBER(VALUE(SUBSTITUTE($BE217:$AAQ217,"B",""))),1,0),0)))</f>
        <v>0</v>
      </c>
      <c r="AP217" t="s">
        <v>137</v>
      </c>
      <c r="AQ217" t="s">
        <v>1307</v>
      </c>
      <c r="AS217" t="s">
        <v>396</v>
      </c>
      <c r="JZ217" s="27" t="str">
        <f t="shared" si="227"/>
        <v>XT70</v>
      </c>
      <c r="KC217" t="str">
        <f t="shared" si="228"/>
        <v>F0-AI31-1B</v>
      </c>
      <c r="KD217" t="str">
        <f t="shared" si="229"/>
        <v>F0-AI31-2B</v>
      </c>
      <c r="KI217">
        <v>1</v>
      </c>
      <c r="KJ217">
        <f t="shared" ref="KJ217:KJ222" si="230">KI217+1</f>
        <v>2</v>
      </c>
      <c r="KK217">
        <f t="shared" ref="KK217:KK222" si="231">KJ217+1</f>
        <v>3</v>
      </c>
      <c r="KN217" t="s">
        <v>548</v>
      </c>
      <c r="KO217" s="16" t="s">
        <v>548</v>
      </c>
      <c r="KS217" s="16"/>
      <c r="OL217" s="27"/>
      <c r="QA217" s="16"/>
    </row>
    <row r="218" spans="1:443" x14ac:dyDescent="0.25">
      <c r="A218" s="83" t="s">
        <v>1304</v>
      </c>
      <c r="B218" s="85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A3.31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SUM(IF(ISNUMBER(FIND("TmAi",$BE$1:$AAQ$1)),IF(IFERROR(ISODD(SUBSTITUTE($BE218:$AAQ218,"A","")),FALSE),IF(ISODD(SUBSTITUTE($BE218:$AAQ218,"A","")),1,0),0)))</f>
        <v>0</v>
      </c>
      <c r="AA218" t="str">
        <f t="shared" si="219"/>
        <v>3B</v>
      </c>
      <c r="AB218" t="str">
        <f t="shared" si="220"/>
        <v>4B</v>
      </c>
      <c r="AD218" s="46"/>
      <c r="AE218" s="46">
        <f t="array" ref="AE218">SUM(IF(ISNUMBER(FIND("TmDi",$BE$1:$AAQ$1)),IF(IFERROR(ISNUMBER(VALUE(SUBSTITUTE($BE218:$AAQ218,"B",""))),FALSE),IF(ISNUMBER(VALUE(SUBSTITUTE($BE218:$AAQ218,"B",""))),1,0),0)))</f>
        <v>0</v>
      </c>
      <c r="AP218" t="s">
        <v>137</v>
      </c>
      <c r="AQ218" t="s">
        <v>1307</v>
      </c>
      <c r="AS218" t="s">
        <v>396</v>
      </c>
      <c r="JZ218" s="27" t="str">
        <f t="shared" si="227"/>
        <v>XT70</v>
      </c>
      <c r="KC218" t="str">
        <f t="shared" si="228"/>
        <v>F0-AI31-3B</v>
      </c>
      <c r="KD218" t="str">
        <f t="shared" si="229"/>
        <v>F0-AI31-4B</v>
      </c>
      <c r="KI218">
        <f t="array" ref="KI218">IF(COUNTIFS($U$2:$U218,$U218)=1,1,INDEX(KI:KI,_xlfn.XMATCH(U218,U$1:U217,0,-1))+COUNT(KI217:KM217))</f>
        <v>4</v>
      </c>
      <c r="KJ218">
        <f t="shared" si="230"/>
        <v>5</v>
      </c>
      <c r="KK218">
        <f t="shared" si="231"/>
        <v>6</v>
      </c>
      <c r="KN218" t="s">
        <v>548</v>
      </c>
      <c r="KO218" s="16" t="s">
        <v>548</v>
      </c>
      <c r="KS218" s="16"/>
      <c r="OL218" s="27"/>
      <c r="QA218" s="16"/>
    </row>
    <row r="219" spans="1:443" x14ac:dyDescent="0.25">
      <c r="A219" s="83" t="s">
        <v>1308</v>
      </c>
      <c r="B219" s="87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A3.31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SUM(IF(ISNUMBER(FIND("TmAi",$BE$1:$AAQ$1)),IF(IFERROR(ISODD(SUBSTITUTE($BE219:$AAQ219,"A","")),FALSE),IF(ISODD(SUBSTITUTE($BE219:$AAQ219,"A","")),1,0),0)))</f>
        <v>0</v>
      </c>
      <c r="AA219" t="str">
        <f t="shared" si="219"/>
        <v>5B</v>
      </c>
      <c r="AB219" t="str">
        <f t="shared" si="220"/>
        <v>6B</v>
      </c>
      <c r="AD219" s="46"/>
      <c r="AE219" s="46">
        <f t="array" ref="AE219">SUM(IF(ISNUMBER(FIND("TmDi",$BE$1:$AAQ$1)),IF(IFERROR(ISNUMBER(VALUE(SUBSTITUTE($BE219:$AAQ219,"B",""))),FALSE),IF(ISNUMBER(VALUE(SUBSTITUTE($BE219:$AAQ219,"B",""))),1,0),0)))</f>
        <v>0</v>
      </c>
      <c r="AP219" t="s">
        <v>137</v>
      </c>
      <c r="AQ219" t="s">
        <v>1302</v>
      </c>
      <c r="AS219" t="s">
        <v>396</v>
      </c>
      <c r="JZ219" s="27" t="str">
        <f t="shared" si="227"/>
        <v>XT70</v>
      </c>
      <c r="KC219" t="str">
        <f t="shared" si="228"/>
        <v>F0-AI31-5B</v>
      </c>
      <c r="KD219" t="str">
        <f t="shared" si="229"/>
        <v>F0-AI31-6B</v>
      </c>
      <c r="KI219">
        <f t="array" ref="KI219">IF(COUNTIFS($U$2:$U219,$U219)=1,1,INDEX(KI:KI,_xlfn.XMATCH(U219,U$1:U218,0,-1))+COUNT(KI218:KM218))</f>
        <v>7</v>
      </c>
      <c r="KJ219">
        <f t="shared" si="230"/>
        <v>8</v>
      </c>
      <c r="KK219">
        <f t="shared" si="231"/>
        <v>9</v>
      </c>
      <c r="KN219" t="s">
        <v>548</v>
      </c>
      <c r="KO219" s="16" t="s">
        <v>548</v>
      </c>
      <c r="KS219" s="16"/>
      <c r="OL219" s="27"/>
      <c r="QA219" s="16"/>
    </row>
    <row r="220" spans="1:443" x14ac:dyDescent="0.25">
      <c r="A220" s="83" t="s">
        <v>1309</v>
      </c>
      <c r="B220" s="87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A3.31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SUM(IF(ISNUMBER(FIND("TmAi",$BE$1:$AAQ$1)),IF(IFERROR(ISODD(SUBSTITUTE($BE220:$AAQ220,"A","")),FALSE),IF(ISODD(SUBSTITUTE($BE220:$AAQ220,"A","")),1,0),0)))</f>
        <v>0</v>
      </c>
      <c r="AA220" t="str">
        <f t="shared" si="219"/>
        <v>7B</v>
      </c>
      <c r="AB220" t="str">
        <f t="shared" si="220"/>
        <v>8B</v>
      </c>
      <c r="AD220" s="46"/>
      <c r="AE220" s="46">
        <f t="array" ref="AE220">SUM(IF(ISNUMBER(FIND("TmDi",$BE$1:$AAQ$1)),IF(IFERROR(ISNUMBER(VALUE(SUBSTITUTE($BE220:$AAQ220,"B",""))),FALSE),IF(ISNUMBER(VALUE(SUBSTITUTE($BE220:$AAQ220,"B",""))),1,0),0)))</f>
        <v>0</v>
      </c>
      <c r="AP220" t="s">
        <v>137</v>
      </c>
      <c r="AQ220" t="s">
        <v>1302</v>
      </c>
      <c r="AS220" t="s">
        <v>396</v>
      </c>
      <c r="JZ220" s="27" t="str">
        <f t="shared" si="227"/>
        <v>XT70</v>
      </c>
      <c r="KC220" t="str">
        <f t="shared" si="228"/>
        <v>F0-AI31-7B</v>
      </c>
      <c r="KD220" t="str">
        <f t="shared" si="229"/>
        <v>F0-AI31-8B</v>
      </c>
      <c r="KI220">
        <f t="array" ref="KI220">IF(COUNTIFS($U$2:$U220,$U220)=1,1,INDEX(KI:KI,_xlfn.XMATCH(U220,U$1:U219,0,-1))+COUNT(KI219:KM219))</f>
        <v>10</v>
      </c>
      <c r="KJ220">
        <f t="shared" si="230"/>
        <v>11</v>
      </c>
      <c r="KK220">
        <f t="shared" si="231"/>
        <v>12</v>
      </c>
      <c r="KN220" t="s">
        <v>548</v>
      </c>
      <c r="KO220" s="16" t="s">
        <v>548</v>
      </c>
      <c r="KS220" s="16"/>
      <c r="OL220" s="27"/>
      <c r="QA220" s="16"/>
    </row>
    <row r="221" spans="1:443" x14ac:dyDescent="0.25">
      <c r="A221" s="83" t="s">
        <v>1351</v>
      </c>
      <c r="B221" s="83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2984</v>
      </c>
      <c r="X221" t="s">
        <v>2965</v>
      </c>
      <c r="Y221" s="43">
        <f t="array" ref="Y221">IF(COUNTIFS($X$2:$X221,$X221)=1,"1",VALUE(SUBSTITUTE(INDEX(Y:Y,_xlfn.XMATCH($X221,$X$1:$X220,0,-1)),"A",""))+INDEX(Z:Z,_xlfn.XMATCH($X221,$X$1:$X220,0,-1))+1)</f>
        <v>3</v>
      </c>
      <c r="Z221" s="46">
        <f t="array" ref="Z221">SUM(IF(ISNUMBER(FIND("TmAi",$BE$1:$AAQ$1)),IF(IFERROR(ISODD(SUBSTITUTE($BE221:$AAQ221,"A","")),FALSE),IF(ISODD(SUBSTITUTE($BE221:$AAQ221,"A","")),1,0),0)))</f>
        <v>0</v>
      </c>
      <c r="AA221" t="str">
        <f>CONCATENATE($Y221*2-1,"A")</f>
        <v>5A</v>
      </c>
      <c r="AB221" t="str">
        <f>CONCATENATE($Y221*2-1,"B")</f>
        <v>5B</v>
      </c>
      <c r="AD221" s="46"/>
      <c r="AE221" s="46">
        <f t="array" ref="AE221">SUM(IF(ISNUMBER(FIND("TmDi",$BE$1:$AAQ$1)),IF(IFERROR(ISNUMBER(VALUE(SUBSTITUTE($BE221:$AAQ221,"B",""))),FALSE),IF(ISNUMBER(VALUE(SUBSTITUTE($BE221:$AAQ221,"B",""))),1,0),0)))</f>
        <v>0</v>
      </c>
      <c r="AP221" t="s">
        <v>137</v>
      </c>
      <c r="AS221" t="s">
        <v>396</v>
      </c>
      <c r="JZ221" s="27" t="str">
        <f t="shared" si="227"/>
        <v>XT71</v>
      </c>
      <c r="KA221" t="str">
        <f>REPLACE(AA221,1,1,LEFT(AA221,1)+1)</f>
        <v>6A</v>
      </c>
      <c r="KC221" t="str">
        <f t="shared" si="228"/>
        <v>F0-AI45-5A</v>
      </c>
      <c r="KD221" t="str">
        <f t="shared" si="229"/>
        <v>F0-AI45-5B</v>
      </c>
      <c r="KE221" t="str">
        <f>CONCATENATE($T221,"-AI",REPLACE($X221,1,3,""),"-",KA221)</f>
        <v>F0-AI45-6A</v>
      </c>
      <c r="KF221" t="str">
        <f>CONCATENATE($T221,"-AI",REPLACE($X221,1,3,""),"-",KB221)</f>
        <v>F0-AI45-</v>
      </c>
      <c r="KI221">
        <f t="array" ref="KI221">IF(COUNTIFS($U$2:$U221,$U221)=1,1,INDEX(KI:KI,_xlfn.XMATCH(U221,U$1:U220,0,-1))+COUNT(KI220:KM220))</f>
        <v>1</v>
      </c>
      <c r="KJ221">
        <f t="shared" si="230"/>
        <v>2</v>
      </c>
      <c r="KK221">
        <f t="shared" si="231"/>
        <v>3</v>
      </c>
      <c r="KL221">
        <f>KK221+1</f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43" x14ac:dyDescent="0.25">
      <c r="A222" s="83" t="s">
        <v>1352</v>
      </c>
      <c r="B222" s="83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2985</v>
      </c>
      <c r="X222" s="33" t="str">
        <f>IF(COUNTIF(X$1:X221,X221)&gt;7,REPLACE(X221,LEN(X221),1,VALUE(RIGHT(X221,1))+1),X221)</f>
        <v>A3.45</v>
      </c>
      <c r="Y222" s="45">
        <f t="array" ref="Y222">IF(COUNTIFS($X$2:$X222,$X222)=1,"1",VALUE(SUBSTITUTE(INDEX(Y:Y,_xlfn.XMATCH($X222,$X$1:$X221,0,-1)),"A",""))+INDEX(Z:Z,_xlfn.XMATCH($X222,$X$1:$X221,0,-1))+1)</f>
        <v>4</v>
      </c>
      <c r="Z222" s="46">
        <f t="array" ref="Z222">SUM(IF(ISNUMBER(FIND("TmAi",$BE$1:$AAQ$1)),IF(IFERROR(ISODD(SUBSTITUTE($BE222:$AAQ222,"A","")),FALSE),IF(ISODD(SUBSTITUTE($BE222:$AAQ222,"A","")),1,0),0)))</f>
        <v>0</v>
      </c>
      <c r="AA222" t="str">
        <f>CONCATENATE($Y222*2-1,"A")</f>
        <v>7A</v>
      </c>
      <c r="AB222" t="str">
        <f>CONCATENATE($Y222*2-1,"B")</f>
        <v>7B</v>
      </c>
      <c r="AD222" s="46"/>
      <c r="AE222" s="46">
        <f t="array" ref="AE222">SUM(IF(ISNUMBER(FIND("TmDi",$BE$1:$AAQ$1)),IF(IFERROR(ISNUMBER(VALUE(SUBSTITUTE($BE222:$AAQ222,"B",""))),FALSE),IF(ISNUMBER(VALUE(SUBSTITUTE($BE222:$AAQ222,"B",""))),1,0),0)))</f>
        <v>0</v>
      </c>
      <c r="AP222" t="s">
        <v>137</v>
      </c>
      <c r="AS222" t="s">
        <v>396</v>
      </c>
      <c r="JZ222" s="27" t="str">
        <f t="shared" si="227"/>
        <v>XT71</v>
      </c>
      <c r="KA222" t="str">
        <f>REPLACE(AA222,1,1,LEFT(AA222,1)+1)</f>
        <v>8A</v>
      </c>
      <c r="KC222" t="str">
        <f t="shared" si="228"/>
        <v>F0-AI45-7A</v>
      </c>
      <c r="KD222" t="str">
        <f t="shared" si="229"/>
        <v>F0-AI45-7B</v>
      </c>
      <c r="KE222" t="str">
        <f>CONCATENATE($T222,"-AI",REPLACE($X222,1,3,""),"-",KA222)</f>
        <v>F0-AI45-8A</v>
      </c>
      <c r="KF222" t="str">
        <f>CONCATENATE($T222,"-AI",REPLACE($X222,1,3,""),"-",KB222)</f>
        <v>F0-AI45-</v>
      </c>
      <c r="KI222">
        <f t="array" ref="KI222">IF(COUNTIFS($U$2:$U222,$U222)=1,1,INDEX(KI:KI,_xlfn.XMATCH(U222,U$1:U221,0,-1))+COUNT(KI221:KM221))</f>
        <v>5</v>
      </c>
      <c r="KJ222">
        <f t="shared" si="230"/>
        <v>6</v>
      </c>
      <c r="KK222">
        <f t="shared" si="231"/>
        <v>7</v>
      </c>
      <c r="KL222">
        <f>KK222+1</f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43" x14ac:dyDescent="0.25">
      <c r="A223" s="83" t="s">
        <v>1353</v>
      </c>
      <c r="B223" s="8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2986</v>
      </c>
      <c r="X223" s="34" t="s">
        <v>1057</v>
      </c>
      <c r="Y223" s="48">
        <f t="array" ref="Y223">IF(COUNTIFS($X$2:$X223,$X223)=1,"1",VALUE(SUBSTITUTE(INDEX(Y:Y,_xlfn.XMATCH($X223,$X$1:$X222,0,-1)),"A",""))+INDEX(Z:Z,_xlfn.XMATCH($X223,$X$1:$X222,0,-1))+1)</f>
        <v>5</v>
      </c>
      <c r="Z223" s="46">
        <f t="array" ref="Z223">SUM(IF(ISNUMBER(FIND("TmAi",$BE$1:$AAQ$1)),IF(IFERROR(ISODD(SUBSTITUTE($BE223:$AAQ223,"A","")),FALSE),IF(ISODD(SUBSTITUTE($BE223:$AAQ223,"A","")),1,0),0)))</f>
        <v>0</v>
      </c>
      <c r="AA223" t="str">
        <f>CONCATENATE($Y223*2-1,"B")</f>
        <v>9B</v>
      </c>
      <c r="AB223" t="str">
        <f>CONCATENATE($Y223*2,"B")</f>
        <v>10B</v>
      </c>
      <c r="AD223" s="46"/>
      <c r="AE223" s="46">
        <f t="array" ref="AE223">SUM(IF(ISNUMBER(FIND("TmDi",$BE$1:$AAQ$1)),IF(IFERROR(ISNUMBER(VALUE(SUBSTITUTE($BE223:$AAQ223,"B",""))),FALSE),IF(ISNUMBER(VALUE(SUBSTITUTE($BE223:$AAQ223,"B",""))),1,0),0)))</f>
        <v>0</v>
      </c>
      <c r="AP223" t="s">
        <v>137</v>
      </c>
      <c r="AS223" t="s">
        <v>396</v>
      </c>
      <c r="JZ223" s="27" t="str">
        <f t="shared" si="227"/>
        <v>XT71</v>
      </c>
      <c r="KC223" t="str">
        <f t="shared" si="228"/>
        <v>F0-AI31-9B</v>
      </c>
      <c r="KD223" t="str">
        <f t="shared" si="229"/>
        <v>F0-AI31-10B</v>
      </c>
      <c r="KI223">
        <f t="array" ref="KI223">IF(COUNTIFS($U$2:$U223,$U223)=1,1,INDEX(KI:KI,_xlfn.XMATCH(U223,U$1:U222,0,-1))+COUNT(KI222:KM222))</f>
        <v>9</v>
      </c>
      <c r="KJ223">
        <f>KI223+1</f>
        <v>10</v>
      </c>
      <c r="KK223">
        <f>KJ223+1</f>
        <v>11</v>
      </c>
      <c r="KN223">
        <v>1</v>
      </c>
      <c r="KO223" s="16">
        <v>2</v>
      </c>
      <c r="KS223" s="16"/>
    </row>
    <row r="224" spans="1:443" ht="15.75" thickBot="1" x14ac:dyDescent="0.3">
      <c r="A224" s="83" t="s">
        <v>1354</v>
      </c>
      <c r="B224" s="83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2987</v>
      </c>
      <c r="X224" s="33" t="str">
        <f>IF(COUNTIF(X$1:X223,X223)&gt;7,REPLACE(X223,LEN(X223),1,VALUE(RIGHT(X223,1))+1),X223)</f>
        <v>A3.31</v>
      </c>
      <c r="Y224" s="45">
        <f t="array" ref="Y224">IF(COUNTIFS($X$2:$X224,$X224)=1,"1",VALUE(SUBSTITUTE(INDEX(Y:Y,_xlfn.XMATCH($X224,$X$1:$X223,0,-1)),"A",""))+INDEX(Z:Z,_xlfn.XMATCH($X224,$X$1:$X223,0,-1))+1)</f>
        <v>6</v>
      </c>
      <c r="Z224" s="46">
        <f t="array" ref="Z224">SUM(IF(ISNUMBER(FIND("TmAi",$BE$1:$AAQ$1)),IF(IFERROR(ISODD(SUBSTITUTE($BE224:$AAQ224,"A","")),FALSE),IF(ISODD(SUBSTITUTE($BE224:$AAQ224,"A","")),1,0),0)))</f>
        <v>0</v>
      </c>
      <c r="AA224" t="str">
        <f>CONCATENATE($Y224*2-1,"B")</f>
        <v>11B</v>
      </c>
      <c r="AB224" t="str">
        <f>CONCATENATE($Y224*2,"B")</f>
        <v>12B</v>
      </c>
      <c r="AD224" s="46"/>
      <c r="AE224" s="46">
        <f t="array" ref="AE224">SUM(IF(ISNUMBER(FIND("TmDi",$BE$1:$AAQ$1)),IF(IFERROR(ISNUMBER(VALUE(SUBSTITUTE($BE224:$AAQ224,"B",""))),FALSE),IF(ISNUMBER(VALUE(SUBSTITUTE($BE224:$AAQ224,"B",""))),1,0),0)))</f>
        <v>0</v>
      </c>
      <c r="AP224" t="s">
        <v>137</v>
      </c>
      <c r="AS224" t="s">
        <v>396</v>
      </c>
      <c r="JZ224" s="27" t="str">
        <f t="shared" si="227"/>
        <v>XT71</v>
      </c>
      <c r="KC224" t="str">
        <f t="shared" si="228"/>
        <v>F0-AI31-11B</v>
      </c>
      <c r="KD224" t="str">
        <f t="shared" si="229"/>
        <v>F0-AI31-12B</v>
      </c>
      <c r="KI224">
        <f t="array" ref="KI224">IF(COUNTIFS($U$2:$U224,$U224)=1,1,INDEX(KI:KI,_xlfn.XMATCH(U224,U$1:U223,0,-1))+COUNT(KI223:KM223))</f>
        <v>12</v>
      </c>
      <c r="KJ224">
        <f>KI224+1</f>
        <v>13</v>
      </c>
      <c r="KK224">
        <f>KJ224+1</f>
        <v>14</v>
      </c>
      <c r="KN224">
        <v>1</v>
      </c>
      <c r="KO224" s="16">
        <v>2</v>
      </c>
      <c r="KS224" s="16"/>
    </row>
    <row r="225" spans="1:358" x14ac:dyDescent="0.25">
      <c r="A225" s="83" t="s">
        <v>1372</v>
      </c>
      <c r="B225" s="83" t="s">
        <v>1371</v>
      </c>
      <c r="P225" t="s">
        <v>1370</v>
      </c>
      <c r="T225" s="10" t="s">
        <v>554</v>
      </c>
      <c r="U225" s="49">
        <v>72</v>
      </c>
      <c r="V225" s="11" t="s">
        <v>2988</v>
      </c>
      <c r="W225" s="11" t="s">
        <v>2989</v>
      </c>
      <c r="X225" s="12"/>
      <c r="Y225" s="12"/>
      <c r="Z225" s="12"/>
      <c r="AA225" s="12"/>
      <c r="AB225" s="12"/>
      <c r="AC225" s="12" t="s">
        <v>1375</v>
      </c>
      <c r="AD225" s="78" t="str">
        <f t="array" ref="AD225">IF(COUNTIFS(AC$2:AC225,AC225)=1,"1",VALUE(SUBSTITUTE(INDEX(AD:AD,_xlfn.XMATCH(AC225,AC$1:AC224,0,-1)),"A",""))+INDEX(AE:AE,_xlfn.XMATCH(AC225,AC$1:AC224,0,-1))+1)</f>
        <v>1</v>
      </c>
      <c r="AE225" s="78">
        <f t="array" ref="AE225">SUM(IF(ISNUMBER(FIND("TmDi",$BE$1:$AAQ$1)),IF(IFERROR(ISNUMBER(VALUE(SUBSTITUTE($BE225:$AAQ225,"B",""))),FALSE),IF(ISNUMBER(VALUE(SUBSTITUTE($BE225:$AAQ225,"B",""))),1,0),0)))</f>
        <v>2</v>
      </c>
      <c r="AF225" s="12" t="s">
        <v>133</v>
      </c>
      <c r="AG225" s="12" t="s">
        <v>134</v>
      </c>
      <c r="AH225" s="12" t="s">
        <v>1376</v>
      </c>
      <c r="AI225" s="68" t="str">
        <f t="array" ref="AI225">IF(COUNTIFS(AH$2:AH225,AH225)=1,"1",VALUE(SUBSTITUTE(INDEX(AI:AI,_xlfn.XMATCH(AH225,AH$1:AH224,0,-1)),"A",""))+INDEX(AJ:AJ,_xlfn.XMATCH(AH225,AH$1:AH224,0,-1))+1)</f>
        <v>1</v>
      </c>
      <c r="AJ225" s="68">
        <f t="array" ref="AJ225">SUM(IF(ISNUMBER(FIND("TmDo",$BE$1:$AAQ$1)),IF(IFERROR(ISNUMBER(VALUE(SUBSTITUTE($BE225:$AAQ225,"B",""))),FALSE),IF(ISNUMBER(VALUE(SUBSTITUTE($BE225:$AAQ225,"B",""))),1,0),0)))</f>
        <v>1</v>
      </c>
      <c r="AK225" s="12" t="str">
        <f>CONCATENATE($AI225,"A")</f>
        <v>1A</v>
      </c>
      <c r="AL225" s="12" t="str">
        <f>CONCATENATE($AI225,"B")</f>
        <v>1B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CONCATENATE(REPLACE(AK225,LEN(AK225),1,"")+1,"A")</f>
        <v>2A</v>
      </c>
      <c r="EX225" s="12" t="str">
        <f>CONCATENATE(REPLACE(AL225,LEN(AL225),1,"")+1,"B")</f>
        <v>2B</v>
      </c>
      <c r="EY225" s="12" t="str">
        <f t="shared" ref="EY225:EZ229" si="232">CONCATENATE("DI",REPLACE($AC225,1,3,""),"-",AF225)</f>
        <v>DI13-C1</v>
      </c>
      <c r="EZ225" s="12" t="str">
        <f t="shared" si="232"/>
        <v>DI13-B1</v>
      </c>
      <c r="FA225" s="12" t="str">
        <f t="shared" ref="FA225:FD227" si="233">CONCATENATE("DI",REPLACE($AC225,1,3,""),"-",ES225)</f>
        <v>DI13-C2</v>
      </c>
      <c r="FB225" s="12" t="str">
        <f t="shared" si="233"/>
        <v>DI13-B2</v>
      </c>
      <c r="FC225" s="12" t="str">
        <f t="shared" si="233"/>
        <v>DI13-C3</v>
      </c>
      <c r="FD225" s="12" t="str">
        <f t="shared" si="233"/>
        <v>DI13-B3</v>
      </c>
      <c r="FE225" s="12" t="str">
        <f t="shared" ref="FE225:FF229" si="234">CONCATENATE("DO",REPLACE($AH225,1,3,""),"-",AK225)</f>
        <v>DO7-1A</v>
      </c>
      <c r="FF225" s="12" t="str">
        <f t="shared" si="234"/>
        <v>DO7-1B</v>
      </c>
      <c r="FG225" s="12" t="str">
        <f t="shared" ref="FG225:FH227" si="235">CONCATENATE("DO",REPLACE($AH225,1,3,""),"-",EW225)</f>
        <v>DO7-2A</v>
      </c>
      <c r="FH225" s="12" t="str">
        <f t="shared" si="235"/>
        <v>DO7-2B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8" x14ac:dyDescent="0.25">
      <c r="A226" s="83" t="s">
        <v>1377</v>
      </c>
      <c r="B226" s="83" t="s">
        <v>1384</v>
      </c>
      <c r="P226" t="s">
        <v>1370</v>
      </c>
      <c r="T226" s="27" t="s">
        <v>554</v>
      </c>
      <c r="U226">
        <v>73</v>
      </c>
      <c r="V226" t="s">
        <v>2990</v>
      </c>
      <c r="W226" t="s">
        <v>2991</v>
      </c>
      <c r="AC226" t="s">
        <v>1375</v>
      </c>
      <c r="AD226" s="46">
        <f t="array" ref="AD226">IF(COUNTIFS(AC$2:AC226,AC226)=1,"1",VALUE(SUBSTITUTE(INDEX(AD:AD,_xlfn.XMATCH(AC226,AC$1:AC225,0,-1)),"A",""))+INDEX(AE:AE,_xlfn.XMATCH(AC226,AC$1:AC225,0,-1))+1)</f>
        <v>4</v>
      </c>
      <c r="AE226" s="46">
        <f t="array" ref="AE226">SUM(IF(ISNUMBER(FIND("TmDi",$BE$1:$AAQ$1)),IF(IFERROR(ISNUMBER(VALUE(SUBSTITUTE($BE226:$AAQ226,"B",""))),FALSE),IF(ISNUMBER(VALUE(SUBSTITUTE($BE226:$AAQ226,"B",""))),1,0),0)))</f>
        <v>2</v>
      </c>
      <c r="AF226" t="s">
        <v>369</v>
      </c>
      <c r="AG226" t="s">
        <v>370</v>
      </c>
      <c r="AH226" t="s">
        <v>1376</v>
      </c>
      <c r="AI226" s="69">
        <f t="array" ref="AI226">IF(COUNTIFS(AH$2:AH226,AH226)=1,"1",VALUE(SUBSTITUTE(INDEX(AI:AI,_xlfn.XMATCH(AH226,AH$1:AH225,0,-1)),"A",""))+INDEX(AJ:AJ,_xlfn.XMATCH(AH226,AH$1:AH225,0,-1))+1)</f>
        <v>3</v>
      </c>
      <c r="AJ226" s="69">
        <f t="array" ref="AJ226">SUM(IF(ISNUMBER(FIND("TmDo",$BE$1:$AAQ$1)),IF(IFERROR(ISNUMBER(VALUE(SUBSTITUTE($BE226:$AAQ226,"B",""))),FALSE),IF(ISNUMBER(VALUE(SUBSTITUTE($BE226:$AAQ226,"B",""))),1,0),0)))</f>
        <v>1</v>
      </c>
      <c r="AK226" t="str">
        <f>CONCATENATE($AI226,"A")</f>
        <v>3A</v>
      </c>
      <c r="AL226" t="str">
        <f>CONCATENATE($AI226,"B")</f>
        <v>3B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CONCATENATE(REPLACE(AK226,LEN(AK226),1,"")+1,"A")</f>
        <v>4A</v>
      </c>
      <c r="EX226" t="str">
        <f>CONCATENATE(REPLACE(AL226,LEN(AL226),1,"")+1,"B")</f>
        <v>4B</v>
      </c>
      <c r="EY226" t="str">
        <f t="shared" si="232"/>
        <v>DI13-C4</v>
      </c>
      <c r="EZ226" t="str">
        <f t="shared" si="232"/>
        <v>DI13-B4</v>
      </c>
      <c r="FA226" t="str">
        <f t="shared" si="233"/>
        <v>DI13-C5</v>
      </c>
      <c r="FB226" t="str">
        <f t="shared" si="233"/>
        <v>DI13-B5</v>
      </c>
      <c r="FC226" t="str">
        <f t="shared" si="233"/>
        <v>DI13-C6</v>
      </c>
      <c r="FD226" t="str">
        <f t="shared" si="233"/>
        <v>DI13-B6</v>
      </c>
      <c r="FE226" t="str">
        <f t="shared" si="234"/>
        <v>DO7-3A</v>
      </c>
      <c r="FF226" t="str">
        <f t="shared" si="234"/>
        <v>DO7-3B</v>
      </c>
      <c r="FG226" t="str">
        <f t="shared" si="235"/>
        <v>DO7-4A</v>
      </c>
      <c r="FH226" t="str">
        <f t="shared" si="235"/>
        <v>DO7-4B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8" x14ac:dyDescent="0.25">
      <c r="A227" s="83" t="s">
        <v>1381</v>
      </c>
      <c r="B227" s="83" t="s">
        <v>1385</v>
      </c>
      <c r="P227" t="s">
        <v>1370</v>
      </c>
      <c r="T227" s="27" t="s">
        <v>554</v>
      </c>
      <c r="U227">
        <v>74</v>
      </c>
      <c r="V227" t="s">
        <v>2992</v>
      </c>
      <c r="W227" t="s">
        <v>2993</v>
      </c>
      <c r="AC227" t="s">
        <v>1375</v>
      </c>
      <c r="AD227" s="46">
        <f t="array" ref="AD227">IF(COUNTIFS(AC$2:AC227,AC227)=1,"1",VALUE(SUBSTITUTE(INDEX(AD:AD,_xlfn.XMATCH(AC227,AC$1:AC226,0,-1)),"A",""))+INDEX(AE:AE,_xlfn.XMATCH(AC227,AC$1:AC226,0,-1))+1)</f>
        <v>7</v>
      </c>
      <c r="AE227" s="46">
        <f t="array" ref="AE227">SUM(IF(ISNUMBER(FIND("TmDi",$BE$1:$AAQ$1)),IF(IFERROR(ISNUMBER(VALUE(SUBSTITUTE($BE227:$AAQ227,"B",""))),FALSE),IF(ISNUMBER(VALUE(SUBSTITUTE($BE227:$AAQ227,"B",""))),1,0),0)))</f>
        <v>2</v>
      </c>
      <c r="AF227" t="s">
        <v>148</v>
      </c>
      <c r="AG227" t="s">
        <v>149</v>
      </c>
      <c r="AH227" t="s">
        <v>1376</v>
      </c>
      <c r="AI227" s="69">
        <f t="array" ref="AI227">IF(COUNTIFS(AH$2:AH227,AH227)=1,"1",VALUE(SUBSTITUTE(INDEX(AI:AI,_xlfn.XMATCH(AH227,AH$1:AH226,0,-1)),"A",""))+INDEX(AJ:AJ,_xlfn.XMATCH(AH227,AH$1:AH226,0,-1))+1)</f>
        <v>5</v>
      </c>
      <c r="AJ227" s="69">
        <f t="array" ref="AJ227">SUM(IF(ISNUMBER(FIND("TmDo",$BE$1:$AAQ$1)),IF(IFERROR(ISNUMBER(VALUE(SUBSTITUTE($BE227:$AAQ227,"B",""))),FALSE),IF(ISNUMBER(VALUE(SUBSTITUTE($BE227:$AAQ227,"B",""))),1,0),0)))</f>
        <v>1</v>
      </c>
      <c r="AK227" t="str">
        <f>CONCATENATE($AI227,"A")</f>
        <v>5A</v>
      </c>
      <c r="AL227" t="str">
        <f>CONCATENATE($AI227,"B")</f>
        <v>5B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CONCATENATE(REPLACE(AK227,LEN(AK227),1,"")+1,"A")</f>
        <v>6A</v>
      </c>
      <c r="EX227" t="str">
        <f>CONCATENATE(REPLACE(AL227,LEN(AL227),1,"")+1,"B")</f>
        <v>6B</v>
      </c>
      <c r="EY227" t="str">
        <f t="shared" si="232"/>
        <v>DI13-C7</v>
      </c>
      <c r="EZ227" t="str">
        <f t="shared" si="232"/>
        <v>DI13-B7</v>
      </c>
      <c r="FA227" t="str">
        <f t="shared" si="233"/>
        <v>DI13-C8</v>
      </c>
      <c r="FB227" t="str">
        <f t="shared" si="233"/>
        <v>DI13-B8</v>
      </c>
      <c r="FC227" t="str">
        <f t="shared" si="233"/>
        <v>DI13-C9</v>
      </c>
      <c r="FD227" t="str">
        <f t="shared" si="233"/>
        <v>DI13-B9</v>
      </c>
      <c r="FE227" t="str">
        <f t="shared" si="234"/>
        <v>DO7-5A</v>
      </c>
      <c r="FF227" t="str">
        <f t="shared" si="234"/>
        <v>DO7-5B</v>
      </c>
      <c r="FG227" t="str">
        <f t="shared" si="235"/>
        <v>DO7-6A</v>
      </c>
      <c r="FH227" t="str">
        <f t="shared" si="235"/>
        <v>DO7-6B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8" x14ac:dyDescent="0.25">
      <c r="A228" s="83" t="s">
        <v>1391</v>
      </c>
      <c r="B228" s="83" t="s">
        <v>1389</v>
      </c>
      <c r="P228" t="s">
        <v>1393</v>
      </c>
      <c r="T228" s="27" t="s">
        <v>554</v>
      </c>
      <c r="U228">
        <v>75</v>
      </c>
      <c r="V228" t="s">
        <v>2994</v>
      </c>
      <c r="W228" t="s">
        <v>2995</v>
      </c>
      <c r="AC228" t="s">
        <v>1375</v>
      </c>
      <c r="AD228" s="46">
        <f t="array" ref="AD228">IF(COUNTIFS(AC$2:AC228,AC228)=1,"1",VALUE(SUBSTITUTE(INDEX(AD:AD,_xlfn.XMATCH(AC228,AC$1:AC227,0,-1)),"A",""))+INDEX(AE:AE,_xlfn.XMATCH(AC228,AC$1:AC227,0,-1))+1)</f>
        <v>10</v>
      </c>
      <c r="AE228" s="46">
        <f t="array" ref="AE228">SUM(IF(ISNUMBER(FIND("TmDi",$BE$1:$AAQ$1)),IF(IFERROR(ISNUMBER(VALUE(SUBSTITUTE($BE228:$AAQ228,"B",""))),FALSE),IF(ISNUMBER(VALUE(SUBSTITUTE($BE228:$AAQ228,"B",""))),1,0),0)))</f>
        <v>0</v>
      </c>
      <c r="AF228" t="s">
        <v>377</v>
      </c>
      <c r="AG228" t="s">
        <v>378</v>
      </c>
      <c r="AH228" t="s">
        <v>1376</v>
      </c>
      <c r="AI228" s="69">
        <f t="array" ref="AI228">IF(COUNTIFS(AH$2:AH228,AH228)=1,"1",VALUE(SUBSTITUTE(INDEX(AI:AI,_xlfn.XMATCH(AH228,AH$1:AH227,0,-1)),"A",""))+INDEX(AJ:AJ,_xlfn.XMATCH(AH228,AH$1:AH227,0,-1))+1)</f>
        <v>7</v>
      </c>
      <c r="AJ228" s="69">
        <f t="array" ref="AJ228">SUM(IF(ISNUMBER(FIND("TmDo",$BE$1:$AAQ$1)),IF(IFERROR(ISNUMBER(VALUE(SUBSTITUTE($BE228:$AAQ228,"B",""))),FALSE),IF(ISNUMBER(VALUE(SUBSTITUTE($BE228:$AAQ228,"B",""))),1,0),0)))</f>
        <v>0</v>
      </c>
      <c r="AK228" t="str">
        <f>CONCATENATE($AI228,"A")</f>
        <v>7A</v>
      </c>
      <c r="AL228" t="str">
        <f>CONCATENATE($AI228,"B")</f>
        <v>7B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232"/>
        <v>DI13-C10</v>
      </c>
      <c r="EZ228" t="str">
        <f t="shared" si="232"/>
        <v>DI13-B10</v>
      </c>
      <c r="FE228" t="str">
        <f t="shared" si="234"/>
        <v>DO7-7A</v>
      </c>
      <c r="FF228" t="str">
        <f t="shared" si="234"/>
        <v>DO7-7B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8" ht="15.75" customHeight="1" thickBot="1" x14ac:dyDescent="0.3">
      <c r="A229" s="83" t="s">
        <v>1392</v>
      </c>
      <c r="B229" s="83" t="s">
        <v>1390</v>
      </c>
      <c r="P229" t="s">
        <v>1393</v>
      </c>
      <c r="T229" s="27" t="s">
        <v>554</v>
      </c>
      <c r="U229">
        <v>76</v>
      </c>
      <c r="V229" t="s">
        <v>2996</v>
      </c>
      <c r="W229" t="s">
        <v>2997</v>
      </c>
      <c r="AC229" t="s">
        <v>1375</v>
      </c>
      <c r="AD229" s="46">
        <f t="array" ref="AD229">IF(COUNTIFS(AC$2:AC229,AC229)=1,"1",VALUE(SUBSTITUTE(INDEX(AD:AD,_xlfn.XMATCH(AC229,AC$1:AC228,0,-1)),"A",""))+INDEX(AE:AE,_xlfn.XMATCH(AC229,AC$1:AC228,0,-1))+1)</f>
        <v>11</v>
      </c>
      <c r="AE229" s="46">
        <f t="array" ref="AE229">SUM(IF(ISNUMBER(FIND("TmDi",$BE$1:$AAQ$1)),IF(IFERROR(ISNUMBER(VALUE(SUBSTITUTE($BE229:$AAQ229,"B",""))),FALSE),IF(ISNUMBER(VALUE(SUBSTITUTE($BE229:$AAQ229,"B",""))),1,0),0)))</f>
        <v>0</v>
      </c>
      <c r="AF229" t="s">
        <v>1394</v>
      </c>
      <c r="AG229" t="s">
        <v>1395</v>
      </c>
      <c r="AH229" t="s">
        <v>1376</v>
      </c>
      <c r="AI229" s="69">
        <f t="array" ref="AI229">IF(COUNTIFS(AH$2:AH229,AH229)=1,"1",VALUE(SUBSTITUTE(INDEX(AI:AI,_xlfn.XMATCH(AH229,AH$1:AH228,0,-1)),"A",""))+INDEX(AJ:AJ,_xlfn.XMATCH(AH229,AH$1:AH228,0,-1))+1)</f>
        <v>8</v>
      </c>
      <c r="AJ229" s="69">
        <f t="array" ref="AJ229">SUM(IF(ISNUMBER(FIND("TmDo",$BE$1:$AAQ$1)),IF(IFERROR(ISNUMBER(VALUE(SUBSTITUTE($BE229:$AAQ229,"B",""))),FALSE),IF(ISNUMBER(VALUE(SUBSTITUTE($BE229:$AAQ229,"B",""))),1,0),0)))</f>
        <v>0</v>
      </c>
      <c r="AK229" t="str">
        <f>CONCATENATE($AI229,"A")</f>
        <v>8A</v>
      </c>
      <c r="AL229" t="str">
        <f>CONCATENATE($AI229,"B")</f>
        <v>8B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232"/>
        <v>DI13-C11</v>
      </c>
      <c r="EZ229" t="str">
        <f t="shared" si="232"/>
        <v>DI13-B11</v>
      </c>
      <c r="FE229" t="str">
        <f t="shared" si="234"/>
        <v>DO7-8A</v>
      </c>
      <c r="FF229" t="str">
        <f t="shared" si="234"/>
        <v>DO7-8B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8" ht="15.75" thickBot="1" x14ac:dyDescent="0.3">
      <c r="A230" s="83" t="s">
        <v>1914</v>
      </c>
      <c r="B230" s="83" t="s">
        <v>1402</v>
      </c>
      <c r="P230" t="s">
        <v>1378</v>
      </c>
      <c r="T230" s="14" t="s">
        <v>554</v>
      </c>
      <c r="U230">
        <v>77</v>
      </c>
      <c r="V230" t="s">
        <v>2998</v>
      </c>
      <c r="Y230" s="43"/>
      <c r="Z230" s="46"/>
      <c r="AC230" t="s">
        <v>1375</v>
      </c>
      <c r="AD230" s="46">
        <f t="array" ref="AD230">IF(COUNTIFS(AC$2:AC230,AC230)=1,"1",VALUE(SUBSTITUTE(INDEX(AD:AD,_xlfn.XMATCH(AC230,AC$1:AC229,0,-1)),"A",""))+INDEX(AE:AE,_xlfn.XMATCH(AC230,AC$1:AC229,0,-1))+1)</f>
        <v>12</v>
      </c>
      <c r="AE230" s="46">
        <f t="array" ref="AE230">SUM(IF(ISNUMBER(FIND("TmDi",$BE$1:$AAQ$1)),IF(IFERROR(ISNUMBER(VALUE(SUBSTITUTE($BE230:$AAQ230,"B",""))),FALSE),IF(ISNUMBER(VALUE(SUBSTITUTE($BE230:$AAQ230,"B",""))),1,0),0)))</f>
        <v>0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U230" t="s">
        <v>1405</v>
      </c>
      <c r="LY230" s="25" t="str">
        <f>CONCATENATE("XT",U230)</f>
        <v>XT77</v>
      </c>
      <c r="LZ230" s="12" t="str">
        <f>CONCATENATE("DI",REPLACE($AC230,1,3,""),"-",$AG230)</f>
        <v>DI13-B13</v>
      </c>
      <c r="MA230" s="12" t="str">
        <f>CONCATENATE("DI",REPLACE($AC230,1,3,""),"-",$AF230)</f>
        <v>DI13-C13</v>
      </c>
      <c r="MB230" s="12" t="s">
        <v>910</v>
      </c>
      <c r="MC230" s="12" t="s">
        <v>1417</v>
      </c>
      <c r="MD230" s="12">
        <v>11</v>
      </c>
      <c r="ME230" s="12">
        <v>14</v>
      </c>
      <c r="MF230" s="12" t="s">
        <v>142</v>
      </c>
      <c r="MG230" s="12" t="s">
        <v>143</v>
      </c>
      <c r="MH230" s="12" t="s">
        <v>488</v>
      </c>
      <c r="MI230" s="12" t="s">
        <v>487</v>
      </c>
      <c r="MJ230" s="12" t="s">
        <v>414</v>
      </c>
      <c r="MK230" s="12" t="s">
        <v>413</v>
      </c>
      <c r="ML230" s="12">
        <v>1</v>
      </c>
      <c r="MM230" s="12">
        <f>ML230+1</f>
        <v>2</v>
      </c>
      <c r="MN230" s="12"/>
      <c r="MO230" s="12"/>
      <c r="MP230" s="12"/>
      <c r="MQ230" s="12"/>
      <c r="MR230" s="12">
        <v>1</v>
      </c>
      <c r="MS230" s="12">
        <v>2</v>
      </c>
      <c r="MT230" s="13"/>
    </row>
    <row r="231" spans="1:358" ht="15.75" thickBot="1" x14ac:dyDescent="0.3">
      <c r="A231" s="83" t="s">
        <v>1915</v>
      </c>
      <c r="B231" s="83" t="s">
        <v>1411</v>
      </c>
      <c r="P231" t="s">
        <v>1378</v>
      </c>
      <c r="T231" s="14" t="s">
        <v>554</v>
      </c>
      <c r="U231">
        <v>77</v>
      </c>
      <c r="V231" t="s">
        <v>2999</v>
      </c>
      <c r="Y231" s="43"/>
      <c r="Z231" s="46"/>
      <c r="AC231" t="s">
        <v>1375</v>
      </c>
      <c r="AD231" s="46">
        <f t="array" ref="AD231">IF(COUNTIFS(AC$2:AC231,AC231)=1,"1",VALUE(SUBSTITUTE(INDEX(AD:AD,_xlfn.XMATCH(AC231,AC$1:AC230,0,-1)),"A",""))+INDEX(AE:AE,_xlfn.XMATCH(AC231,AC$1:AC230,0,-1))+1)</f>
        <v>13</v>
      </c>
      <c r="AE231" s="46">
        <f t="array" ref="AE231">SUM(IF(ISNUMBER(FIND("TmDi",$BE$1:$AAQ$1)),IF(IFERROR(ISNUMBER(VALUE(SUBSTITUTE($BE231:$AAQ231,"B",""))),FALSE),IF(ISNUMBER(VALUE(SUBSTITUTE($BE231:$AAQ231,"B",""))),1,0),0)))</f>
        <v>0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U231" t="s">
        <v>1405</v>
      </c>
      <c r="LY231" s="25" t="str">
        <f>CONCATENATE("XT",U231)</f>
        <v>XT77</v>
      </c>
      <c r="LZ231" s="12" t="str">
        <f>CONCATENATE("DI",REPLACE($AC231,1,3,""),"-",$AG231)</f>
        <v>DI13-B14</v>
      </c>
      <c r="MA231" s="12" t="str">
        <f>CONCATENATE("DI",REPLACE($AC231,1,3,""),"-",$AF231)</f>
        <v>DI13-C14</v>
      </c>
      <c r="MB231" s="12" t="s">
        <v>911</v>
      </c>
      <c r="MC231" s="12" t="s">
        <v>1418</v>
      </c>
      <c r="MD231" s="12">
        <v>11</v>
      </c>
      <c r="ME231" s="12">
        <v>14</v>
      </c>
      <c r="MF231" s="12" t="s">
        <v>142</v>
      </c>
      <c r="MG231" s="12" t="s">
        <v>143</v>
      </c>
      <c r="MH231" s="12" t="s">
        <v>488</v>
      </c>
      <c r="MI231" s="12" t="s">
        <v>487</v>
      </c>
      <c r="MJ231" s="12" t="s">
        <v>414</v>
      </c>
      <c r="MK231" s="12" t="s">
        <v>413</v>
      </c>
      <c r="ML231" s="12">
        <v>3</v>
      </c>
      <c r="MM231" s="12">
        <v>4</v>
      </c>
      <c r="MN231" s="12"/>
      <c r="MO231" s="12"/>
      <c r="MP231" s="12"/>
      <c r="MQ231" s="12"/>
      <c r="MR231" s="12">
        <v>1</v>
      </c>
      <c r="MS231" s="12">
        <v>2</v>
      </c>
      <c r="MT231" s="13"/>
    </row>
    <row r="232" spans="1:358" x14ac:dyDescent="0.25">
      <c r="A232" s="83" t="s">
        <v>1916</v>
      </c>
      <c r="B232" s="83" t="s">
        <v>1412</v>
      </c>
      <c r="P232" t="s">
        <v>1378</v>
      </c>
      <c r="T232" s="14" t="s">
        <v>554</v>
      </c>
      <c r="U232">
        <v>77</v>
      </c>
      <c r="V232" t="s">
        <v>3000</v>
      </c>
      <c r="Y232" s="43"/>
      <c r="Z232" s="46"/>
      <c r="AC232" t="s">
        <v>1375</v>
      </c>
      <c r="AD232" s="46">
        <f t="array" ref="AD232">IF(COUNTIFS(AC$2:AC232,AC232)=1,"1",VALUE(SUBSTITUTE(INDEX(AD:AD,_xlfn.XMATCH(AC232,AC$1:AC231,0,-1)),"A",""))+INDEX(AE:AE,_xlfn.XMATCH(AC232,AC$1:AC231,0,-1))+1)</f>
        <v>14</v>
      </c>
      <c r="AE232" s="46">
        <f t="array" ref="AE232">SUM(IF(ISNUMBER(FIND("TmDi",$BE$1:$AAQ$1)),IF(IFERROR(ISNUMBER(VALUE(SUBSTITUTE($BE232:$AAQ232,"B",""))),FALSE),IF(ISNUMBER(VALUE(SUBSTITUTE($BE232:$AAQ232,"B",""))),1,0),0)))</f>
        <v>0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U232" t="s">
        <v>1405</v>
      </c>
      <c r="LY232" s="25" t="str">
        <f>CONCATENATE("XT",U232)</f>
        <v>XT77</v>
      </c>
      <c r="LZ232" s="12" t="str">
        <f>CONCATENATE("DI",REPLACE($AC232,1,3,""),"-",$AG232)</f>
        <v>DI13-B15</v>
      </c>
      <c r="MA232" s="12" t="str">
        <f>CONCATENATE("DI",REPLACE($AC232,1,3,""),"-",$AF232)</f>
        <v>DI13-C15</v>
      </c>
      <c r="MB232" s="12" t="s">
        <v>1416</v>
      </c>
      <c r="MC232" s="12" t="s">
        <v>1419</v>
      </c>
      <c r="MD232" s="12">
        <v>11</v>
      </c>
      <c r="ME232" s="12">
        <v>14</v>
      </c>
      <c r="MF232" s="12" t="s">
        <v>142</v>
      </c>
      <c r="MG232" s="12" t="s">
        <v>143</v>
      </c>
      <c r="MH232" s="12" t="s">
        <v>488</v>
      </c>
      <c r="MI232" s="12" t="s">
        <v>487</v>
      </c>
      <c r="MJ232" s="12" t="s">
        <v>414</v>
      </c>
      <c r="MK232" s="12" t="s">
        <v>413</v>
      </c>
      <c r="ML232" s="12">
        <v>5</v>
      </c>
      <c r="MM232" s="12">
        <v>6</v>
      </c>
      <c r="MN232" s="12"/>
      <c r="MO232" s="12"/>
      <c r="MP232" s="12"/>
      <c r="MQ232" s="12"/>
      <c r="MR232" s="12">
        <v>1</v>
      </c>
      <c r="MS232" s="12">
        <v>2</v>
      </c>
      <c r="MT232" s="13"/>
    </row>
    <row r="233" spans="1:358" x14ac:dyDescent="0.25">
      <c r="A233" s="83" t="s">
        <v>1677</v>
      </c>
      <c r="B233" s="8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3001</v>
      </c>
      <c r="X233" t="s">
        <v>1178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SUM(IF(ISNUMBER(FIND("TmAi",$BE$1:$AAQ$1)),IF(IFERROR(ISODD(SUBSTITUTE($BE233:$AAQ233,"A","")),FALSE),IF(ISODD(SUBSTITUTE($BE233:$AAQ233,"A","")),1,0),0)))</f>
        <v>0</v>
      </c>
      <c r="AA233" t="str">
        <f t="shared" ref="AA233:AA266" si="236">CONCATENATE($Y233*2-1,"B")</f>
        <v>1B</v>
      </c>
      <c r="AB233" t="str">
        <f t="shared" ref="AB233:AB266" si="237">CONCATENATE($Y233*2,"B")</f>
        <v>2B</v>
      </c>
      <c r="AD233" s="46"/>
      <c r="AE233" s="46"/>
      <c r="AP233" t="s">
        <v>137</v>
      </c>
      <c r="AS233" t="s">
        <v>396</v>
      </c>
      <c r="JZ233" s="27" t="str">
        <f t="shared" ref="JZ233:JZ266" si="238">CONCATENATE("XT",U233)</f>
        <v>XT78</v>
      </c>
      <c r="KC233" t="str">
        <f t="shared" ref="KC233:KC266" si="239">CONCATENATE(T233,"-AI",REPLACE($X233,1,3,""),"-",AA233)</f>
        <v>F0-AI32-1B</v>
      </c>
      <c r="KD233" t="str">
        <f t="shared" ref="KD233:KD266" si="240">CONCATENATE(T233,"-AI",REPLACE($X233,1,3,""),"-",AB233)</f>
        <v>F0-AI32-2B</v>
      </c>
      <c r="KI233">
        <f t="array" ref="KI233">IF(COUNTIFS($U$2:$U233,$U233)=1,1,INDEX(KI:KI,_xlfn.XMATCH(U233,U$1:U232,0,-1))+COUNT(KI232:KM232))</f>
        <v>1</v>
      </c>
      <c r="KJ233">
        <f t="shared" ref="KJ233:KK247" si="241">KI233+1</f>
        <v>2</v>
      </c>
      <c r="KK233">
        <f t="shared" si="241"/>
        <v>3</v>
      </c>
      <c r="KN233">
        <v>1</v>
      </c>
      <c r="KO233" s="16">
        <v>2</v>
      </c>
      <c r="KS233" s="16"/>
    </row>
    <row r="234" spans="1:358" x14ac:dyDescent="0.25">
      <c r="A234" s="83" t="s">
        <v>1678</v>
      </c>
      <c r="B234" s="85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3002</v>
      </c>
      <c r="X234" t="str">
        <f>IF(COUNTIF(X$1:X233,X233)&gt;7,REPLACE(X233,LEN(X233),1,VALUE(RIGHT(X233,1))+1),X233)</f>
        <v>A3.32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SUM(IF(ISNUMBER(FIND("TmAi",$BE$1:$AAQ$1)),IF(IFERROR(ISODD(SUBSTITUTE($BE234:$AAQ234,"A","")),FALSE),IF(ISODD(SUBSTITUTE($BE234:$AAQ234,"A","")),1,0),0)))</f>
        <v>0</v>
      </c>
      <c r="AA234" t="str">
        <f t="shared" si="236"/>
        <v>3B</v>
      </c>
      <c r="AB234" t="str">
        <f t="shared" si="237"/>
        <v>4B</v>
      </c>
      <c r="AD234" s="46"/>
      <c r="AE234" s="46"/>
      <c r="AP234" t="s">
        <v>137</v>
      </c>
      <c r="AS234" t="s">
        <v>396</v>
      </c>
      <c r="JZ234" s="27" t="str">
        <f t="shared" si="238"/>
        <v>XT78</v>
      </c>
      <c r="KC234" t="str">
        <f t="shared" si="239"/>
        <v>F0-AI32-3B</v>
      </c>
      <c r="KD234" t="str">
        <f t="shared" si="240"/>
        <v>F0-AI32-4B</v>
      </c>
      <c r="KI234">
        <f t="array" ref="KI234">IF(COUNTIFS($U$2:$U234,$U234)=1,1,INDEX(KI:KI,_xlfn.XMATCH(U234,U$1:U233,0,-1))+COUNT(KI233:KM233))</f>
        <v>4</v>
      </c>
      <c r="KJ234">
        <f t="shared" si="241"/>
        <v>5</v>
      </c>
      <c r="KK234">
        <f t="shared" si="241"/>
        <v>6</v>
      </c>
      <c r="KN234">
        <v>1</v>
      </c>
      <c r="KO234" s="16">
        <v>2</v>
      </c>
      <c r="KS234" s="16"/>
    </row>
    <row r="235" spans="1:358" x14ac:dyDescent="0.25">
      <c r="A235" s="83" t="s">
        <v>1685</v>
      </c>
      <c r="B235" s="83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3003</v>
      </c>
      <c r="X235" t="s">
        <v>2967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SUM(IF(ISNUMBER(FIND("TmAi",$BE$1:$AAQ$1)),IF(IFERROR(ISODD(SUBSTITUTE($BE235:$AAQ235,"A","")),FALSE),IF(ISODD(SUBSTITUTE($BE235:$AAQ235,"A","")),1,0),0)))</f>
        <v>0</v>
      </c>
      <c r="AA235" t="str">
        <f t="shared" si="236"/>
        <v>1B</v>
      </c>
      <c r="AB235" t="str">
        <f t="shared" si="237"/>
        <v>2B</v>
      </c>
      <c r="AD235" s="46"/>
      <c r="AE235" s="46"/>
      <c r="AP235" t="s">
        <v>137</v>
      </c>
      <c r="AS235" t="s">
        <v>396</v>
      </c>
      <c r="JZ235" s="27" t="str">
        <f t="shared" si="238"/>
        <v>XT79</v>
      </c>
      <c r="KC235" t="str">
        <f t="shared" si="239"/>
        <v>F0-AI33-1B</v>
      </c>
      <c r="KD235" t="str">
        <f t="shared" si="240"/>
        <v>F0-AI33-2B</v>
      </c>
      <c r="KI235">
        <f t="array" ref="KI235">IF(COUNTIFS($U$2:$U235,$U235)=1,1,INDEX(KI:KI,_xlfn.XMATCH(U235,U$1:U234,0,-1))+COUNT(KI234:KM234))</f>
        <v>1</v>
      </c>
      <c r="KJ235">
        <f t="shared" si="241"/>
        <v>2</v>
      </c>
      <c r="KK235">
        <f t="shared" si="241"/>
        <v>3</v>
      </c>
      <c r="KN235">
        <v>1</v>
      </c>
      <c r="KO235" s="16">
        <v>2</v>
      </c>
      <c r="KS235" s="16"/>
    </row>
    <row r="236" spans="1:358" x14ac:dyDescent="0.25">
      <c r="A236" s="83" t="s">
        <v>1686</v>
      </c>
      <c r="B236" s="83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3004</v>
      </c>
      <c r="X236" t="str">
        <f>IF(COUNTIF(X$1:X235,X235)&gt;7,REPLACE(X235,LEN(X235),1,VALUE(RIGHT(X235,1))+1),X235)</f>
        <v>А3.33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SUM(IF(ISNUMBER(FIND("TmAi",$BE$1:$AAQ$1)),IF(IFERROR(ISODD(SUBSTITUTE($BE236:$AAQ236,"A","")),FALSE),IF(ISODD(SUBSTITUTE($BE236:$AAQ236,"A","")),1,0),0)))</f>
        <v>0</v>
      </c>
      <c r="AA236" t="str">
        <f t="shared" si="236"/>
        <v>3B</v>
      </c>
      <c r="AB236" t="str">
        <f t="shared" si="237"/>
        <v>4B</v>
      </c>
      <c r="AD236" s="46"/>
      <c r="AE236" s="46"/>
      <c r="AP236" t="s">
        <v>137</v>
      </c>
      <c r="AS236" t="s">
        <v>396</v>
      </c>
      <c r="JZ236" s="27" t="str">
        <f t="shared" si="238"/>
        <v>XT79</v>
      </c>
      <c r="KC236" t="str">
        <f t="shared" si="239"/>
        <v>F0-AI33-3B</v>
      </c>
      <c r="KD236" t="str">
        <f t="shared" si="240"/>
        <v>F0-AI33-4B</v>
      </c>
      <c r="KI236">
        <f t="array" ref="KI236">IF(COUNTIFS($U$2:$U236,$U236)=1,1,INDEX(KI:KI,_xlfn.XMATCH(U236,U$1:U235,0,-1))+COUNT(KI235:KM235))</f>
        <v>4</v>
      </c>
      <c r="KJ236">
        <f t="shared" si="241"/>
        <v>5</v>
      </c>
      <c r="KK236">
        <f t="shared" si="241"/>
        <v>6</v>
      </c>
      <c r="KN236">
        <v>1</v>
      </c>
      <c r="KO236" s="16">
        <v>2</v>
      </c>
      <c r="KS236" s="16"/>
    </row>
    <row r="237" spans="1:358" x14ac:dyDescent="0.25">
      <c r="A237" s="83" t="s">
        <v>1687</v>
      </c>
      <c r="B237" s="83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3005</v>
      </c>
      <c r="X237" t="str">
        <f>IF(COUNTIF(X$1:X236,X236)&gt;7,REPLACE(X236,LEN(X236),1,VALUE(RIGHT(X236,1))+1),X236)</f>
        <v>А3.33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SUM(IF(ISNUMBER(FIND("TmAi",$BE$1:$AAQ$1)),IF(IFERROR(ISODD(SUBSTITUTE($BE237:$AAQ237,"A","")),FALSE),IF(ISODD(SUBSTITUTE($BE237:$AAQ237,"A","")),1,0),0)))</f>
        <v>0</v>
      </c>
      <c r="AA237" t="str">
        <f t="shared" si="236"/>
        <v>5B</v>
      </c>
      <c r="AB237" t="str">
        <f t="shared" si="237"/>
        <v>6B</v>
      </c>
      <c r="AD237" s="46"/>
      <c r="AE237" s="46"/>
      <c r="AP237" t="s">
        <v>137</v>
      </c>
      <c r="AS237" t="s">
        <v>396</v>
      </c>
      <c r="JZ237" s="27" t="str">
        <f t="shared" si="238"/>
        <v>XT79</v>
      </c>
      <c r="KC237" t="str">
        <f t="shared" si="239"/>
        <v>F0-AI33-5B</v>
      </c>
      <c r="KD237" t="str">
        <f t="shared" si="240"/>
        <v>F0-AI33-6B</v>
      </c>
      <c r="KI237">
        <f t="array" ref="KI237">IF(COUNTIFS($U$2:$U237,$U237)=1,1,INDEX(KI:KI,_xlfn.XMATCH(U237,U$1:U236,0,-1))+COUNT(KI236:KM236))</f>
        <v>7</v>
      </c>
      <c r="KJ237">
        <f t="shared" si="241"/>
        <v>8</v>
      </c>
      <c r="KK237">
        <f t="shared" si="241"/>
        <v>9</v>
      </c>
      <c r="KN237">
        <v>1</v>
      </c>
      <c r="KO237" s="16">
        <v>2</v>
      </c>
      <c r="KS237" s="16"/>
    </row>
    <row r="238" spans="1:358" x14ac:dyDescent="0.25">
      <c r="A238" s="83" t="s">
        <v>1688</v>
      </c>
      <c r="B238" s="85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3006</v>
      </c>
      <c r="X238" t="str">
        <f>IF(COUNTIF(X$1:X237,X237)&gt;7,REPLACE(X237,LEN(X237),1,VALUE(RIGHT(X237,1))+1),X237)</f>
        <v>А3.33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SUM(IF(ISNUMBER(FIND("TmAi",$BE$1:$AAQ$1)),IF(IFERROR(ISODD(SUBSTITUTE($BE238:$AAQ238,"A","")),FALSE),IF(ISODD(SUBSTITUTE($BE238:$AAQ238,"A","")),1,0),0)))</f>
        <v>0</v>
      </c>
      <c r="AA238" t="str">
        <f t="shared" si="236"/>
        <v>7B</v>
      </c>
      <c r="AB238" t="str">
        <f t="shared" si="237"/>
        <v>8B</v>
      </c>
      <c r="AD238" s="46"/>
      <c r="AE238" s="46"/>
      <c r="AP238" t="s">
        <v>137</v>
      </c>
      <c r="AS238" t="s">
        <v>396</v>
      </c>
      <c r="JZ238" s="27" t="str">
        <f t="shared" si="238"/>
        <v>XT79</v>
      </c>
      <c r="KC238" t="str">
        <f t="shared" si="239"/>
        <v>F0-AI33-7B</v>
      </c>
      <c r="KD238" t="str">
        <f t="shared" si="240"/>
        <v>F0-AI33-8B</v>
      </c>
      <c r="KI238">
        <f t="array" ref="KI238">IF(COUNTIFS($U$2:$U238,$U238)=1,1,INDEX(KI:KI,_xlfn.XMATCH(U238,U$1:U237,0,-1))+COUNT(KI237:KM237))</f>
        <v>10</v>
      </c>
      <c r="KJ238">
        <f t="shared" si="241"/>
        <v>11</v>
      </c>
      <c r="KK238">
        <f t="shared" si="241"/>
        <v>12</v>
      </c>
      <c r="KN238">
        <v>1</v>
      </c>
      <c r="KO238" s="16">
        <v>2</v>
      </c>
      <c r="KS238" s="16"/>
    </row>
    <row r="239" spans="1:358" x14ac:dyDescent="0.25">
      <c r="A239" s="83" t="s">
        <v>1702</v>
      </c>
      <c r="B239" s="83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1420</v>
      </c>
      <c r="X239" t="str">
        <f>IF(COUNTIF(X$1:X238,X238)&gt;7,REPLACE(X238,LEN(X238),1,VALUE(RIGHT(X238,1))+1),X238)</f>
        <v>А3.33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SUM(IF(ISNUMBER(FIND("TmAi",$BE$1:$AAQ$1)),IF(IFERROR(ISODD(SUBSTITUTE($BE239:$AAQ239,"A","")),FALSE),IF(ISODD(SUBSTITUTE($BE239:$AAQ239,"A","")),1,0),0)))</f>
        <v>0</v>
      </c>
      <c r="AA239" t="str">
        <f t="shared" si="236"/>
        <v>9B</v>
      </c>
      <c r="AB239" t="str">
        <f t="shared" si="237"/>
        <v>10B</v>
      </c>
      <c r="AD239" s="46"/>
      <c r="AE239" s="46"/>
      <c r="AP239" t="s">
        <v>137</v>
      </c>
      <c r="AS239" t="s">
        <v>396</v>
      </c>
      <c r="JZ239" s="27" t="str">
        <f t="shared" si="238"/>
        <v>XT80</v>
      </c>
      <c r="KC239" t="str">
        <f t="shared" si="239"/>
        <v>F0-AI33-9B</v>
      </c>
      <c r="KD239" t="str">
        <f t="shared" si="240"/>
        <v>F0-AI33-10B</v>
      </c>
      <c r="KI239">
        <f t="array" ref="KI239">IF(COUNTIFS($U$2:$U239,$U239)=1,1,INDEX(KI:KI,_xlfn.XMATCH(U239,U$1:U238,0,-1))+COUNT(KI238:KM238))</f>
        <v>1</v>
      </c>
      <c r="KJ239">
        <f t="shared" si="241"/>
        <v>2</v>
      </c>
      <c r="KK239">
        <f t="shared" si="241"/>
        <v>3</v>
      </c>
      <c r="KN239">
        <v>1</v>
      </c>
      <c r="KO239" s="16">
        <v>2</v>
      </c>
      <c r="KS239" s="16"/>
    </row>
    <row r="240" spans="1:358" x14ac:dyDescent="0.25">
      <c r="A240" s="83" t="s">
        <v>1703</v>
      </c>
      <c r="B240" s="83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1421</v>
      </c>
      <c r="X240" t="str">
        <f>IF(COUNTIF(X$1:X239,X239)&gt;7,REPLACE(X239,LEN(X239),1,VALUE(RIGHT(X239,1))+1),X239)</f>
        <v>А3.33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SUM(IF(ISNUMBER(FIND("TmAi",$BE$1:$AAQ$1)),IF(IFERROR(ISODD(SUBSTITUTE($BE240:$AAQ240,"A","")),FALSE),IF(ISODD(SUBSTITUTE($BE240:$AAQ240,"A","")),1,0),0)))</f>
        <v>0</v>
      </c>
      <c r="AA240" t="str">
        <f t="shared" si="236"/>
        <v>11B</v>
      </c>
      <c r="AB240" t="str">
        <f t="shared" si="237"/>
        <v>12B</v>
      </c>
      <c r="AD240" s="46"/>
      <c r="AE240" s="46"/>
      <c r="AP240" t="s">
        <v>137</v>
      </c>
      <c r="AS240" t="s">
        <v>396</v>
      </c>
      <c r="JZ240" s="27" t="str">
        <f t="shared" si="238"/>
        <v>XT80</v>
      </c>
      <c r="KC240" t="str">
        <f t="shared" si="239"/>
        <v>F0-AI33-11B</v>
      </c>
      <c r="KD240" t="str">
        <f t="shared" si="240"/>
        <v>F0-AI33-12B</v>
      </c>
      <c r="KI240">
        <f t="array" ref="KI240">IF(COUNTIFS($U$2:$U240,$U240)=1,1,INDEX(KI:KI,_xlfn.XMATCH(U240,U$1:U239,0,-1))+COUNT(KI239:KM239))</f>
        <v>4</v>
      </c>
      <c r="KJ240">
        <f t="shared" si="241"/>
        <v>5</v>
      </c>
      <c r="KK240">
        <f t="shared" si="241"/>
        <v>6</v>
      </c>
      <c r="KN240">
        <v>1</v>
      </c>
      <c r="KO240" s="16">
        <v>2</v>
      </c>
      <c r="KS240" s="16"/>
    </row>
    <row r="241" spans="1:305" x14ac:dyDescent="0.25">
      <c r="A241" s="83" t="s">
        <v>1704</v>
      </c>
      <c r="B241" s="83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3007</v>
      </c>
      <c r="X241" t="str">
        <f>IF(COUNTIF(X$1:X240,X240)&gt;7,REPLACE(X240,LEN(X240),1,VALUE(RIGHT(X240,1))+1),X240)</f>
        <v>А3.33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SUM(IF(ISNUMBER(FIND("TmAi",$BE$1:$AAQ$1)),IF(IFERROR(ISODD(SUBSTITUTE($BE241:$AAQ241,"A","")),FALSE),IF(ISODD(SUBSTITUTE($BE241:$AAQ241,"A","")),1,0),0)))</f>
        <v>0</v>
      </c>
      <c r="AA241" t="str">
        <f t="shared" si="236"/>
        <v>13B</v>
      </c>
      <c r="AB241" t="str">
        <f t="shared" si="237"/>
        <v>14B</v>
      </c>
      <c r="AD241" s="46"/>
      <c r="AE241" s="46"/>
      <c r="AP241" t="s">
        <v>137</v>
      </c>
      <c r="AS241" t="s">
        <v>396</v>
      </c>
      <c r="JZ241" s="27" t="str">
        <f t="shared" si="238"/>
        <v>XT80</v>
      </c>
      <c r="KC241" t="str">
        <f t="shared" si="239"/>
        <v>F0-AI33-13B</v>
      </c>
      <c r="KD241" t="str">
        <f t="shared" si="240"/>
        <v>F0-AI33-14B</v>
      </c>
      <c r="KI241">
        <f t="array" ref="KI241">IF(COUNTIFS($U$2:$U241,$U241)=1,1,INDEX(KI:KI,_xlfn.XMATCH(U241,U$1:U240,0,-1))+COUNT(KI240:KM240))</f>
        <v>7</v>
      </c>
      <c r="KJ241">
        <f t="shared" si="241"/>
        <v>8</v>
      </c>
      <c r="KK241">
        <f t="shared" si="241"/>
        <v>9</v>
      </c>
      <c r="KN241">
        <v>1</v>
      </c>
      <c r="KO241" s="16">
        <v>2</v>
      </c>
      <c r="KS241" s="16"/>
    </row>
    <row r="242" spans="1:305" x14ac:dyDescent="0.25">
      <c r="A242" s="83" t="s">
        <v>1705</v>
      </c>
      <c r="B242" s="85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3008</v>
      </c>
      <c r="X242" t="str">
        <f>IF(COUNTIF(X$1:X241,X241)&gt;7,REPLACE(X241,LEN(X241),1,VALUE(RIGHT(X241,1))+1),X241)</f>
        <v>А3.33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SUM(IF(ISNUMBER(FIND("TmAi",$BE$1:$AAQ$1)),IF(IFERROR(ISODD(SUBSTITUTE($BE242:$AAQ242,"A","")),FALSE),IF(ISODD(SUBSTITUTE($BE242:$AAQ242,"A","")),1,0),0)))</f>
        <v>0</v>
      </c>
      <c r="AA242" t="str">
        <f t="shared" si="236"/>
        <v>15B</v>
      </c>
      <c r="AB242" t="str">
        <f t="shared" si="237"/>
        <v>16B</v>
      </c>
      <c r="AD242" s="46"/>
      <c r="AE242" s="46"/>
      <c r="AP242" t="s">
        <v>137</v>
      </c>
      <c r="AS242" t="s">
        <v>396</v>
      </c>
      <c r="JZ242" s="27" t="str">
        <f t="shared" si="238"/>
        <v>XT80</v>
      </c>
      <c r="KC242" t="str">
        <f t="shared" si="239"/>
        <v>F0-AI33-15B</v>
      </c>
      <c r="KD242" t="str">
        <f t="shared" si="240"/>
        <v>F0-AI33-16B</v>
      </c>
      <c r="KI242">
        <f t="array" ref="KI242">IF(COUNTIFS($U$2:$U242,$U242)=1,1,INDEX(KI:KI,_xlfn.XMATCH(U242,U$1:U241,0,-1))+COUNT(KI241:KM241))</f>
        <v>10</v>
      </c>
      <c r="KJ242">
        <f t="shared" si="241"/>
        <v>11</v>
      </c>
      <c r="KK242">
        <f t="shared" si="241"/>
        <v>12</v>
      </c>
      <c r="KN242">
        <v>1</v>
      </c>
      <c r="KO242" s="16">
        <v>2</v>
      </c>
      <c r="KS242" s="16"/>
    </row>
    <row r="243" spans="1:305" x14ac:dyDescent="0.25">
      <c r="A243" s="83" t="s">
        <v>1716</v>
      </c>
      <c r="B243" s="8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3009</v>
      </c>
      <c r="X243" t="str">
        <f>IF(COUNTIF(X$1:X242,X242)&gt;7,REPLACE(X242,LEN(X242),1,VALUE(RIGHT(X242,1))+1),X242)</f>
        <v>А3.34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SUM(IF(ISNUMBER(FIND("TmAi",$BE$1:$AAQ$1)),IF(IFERROR(ISODD(SUBSTITUTE($BE243:$AAQ243,"A","")),FALSE),IF(ISODD(SUBSTITUTE($BE243:$AAQ243,"A","")),1,0),0)))</f>
        <v>0</v>
      </c>
      <c r="AA243" t="str">
        <f t="shared" si="236"/>
        <v>1B</v>
      </c>
      <c r="AB243" t="str">
        <f t="shared" si="237"/>
        <v>2B</v>
      </c>
      <c r="AD243" s="46"/>
      <c r="AE243" s="46"/>
      <c r="AP243" t="s">
        <v>137</v>
      </c>
      <c r="AS243" t="s">
        <v>396</v>
      </c>
      <c r="JZ243" s="27" t="str">
        <f t="shared" si="238"/>
        <v>XT81</v>
      </c>
      <c r="KC243" t="str">
        <f t="shared" si="239"/>
        <v>F0-AI34-1B</v>
      </c>
      <c r="KD243" t="str">
        <f t="shared" si="240"/>
        <v>F0-AI34-2B</v>
      </c>
      <c r="KI243">
        <f t="array" ref="KI243">IF(COUNTIFS($U$2:$U243,$U243)=1,1,INDEX(KI:KI,_xlfn.XMATCH(U243,U$1:U242,0,-1))+COUNT(KI242:KM242))</f>
        <v>1</v>
      </c>
      <c r="KJ243">
        <f t="shared" si="241"/>
        <v>2</v>
      </c>
      <c r="KK243">
        <f t="shared" si="241"/>
        <v>3</v>
      </c>
      <c r="KN243">
        <v>1</v>
      </c>
      <c r="KO243" s="16">
        <v>2</v>
      </c>
      <c r="KS243" s="16"/>
    </row>
    <row r="244" spans="1:305" x14ac:dyDescent="0.25">
      <c r="A244" s="83" t="s">
        <v>1717</v>
      </c>
      <c r="B244" s="83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3010</v>
      </c>
      <c r="X244" t="str">
        <f>IF(COUNTIF(X$1:X243,X243)&gt;7,REPLACE(X243,LEN(X243),1,VALUE(RIGHT(X243,1))+1),X243)</f>
        <v>А3.34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SUM(IF(ISNUMBER(FIND("TmAi",$BE$1:$AAQ$1)),IF(IFERROR(ISODD(SUBSTITUTE($BE244:$AAQ244,"A","")),FALSE),IF(ISODD(SUBSTITUTE($BE244:$AAQ244,"A","")),1,0),0)))</f>
        <v>0</v>
      </c>
      <c r="AA244" t="str">
        <f t="shared" si="236"/>
        <v>3B</v>
      </c>
      <c r="AB244" t="str">
        <f t="shared" si="237"/>
        <v>4B</v>
      </c>
      <c r="AD244" s="46"/>
      <c r="AE244" s="46"/>
      <c r="AP244" t="s">
        <v>137</v>
      </c>
      <c r="AS244" t="s">
        <v>396</v>
      </c>
      <c r="JZ244" s="27" t="str">
        <f t="shared" si="238"/>
        <v>XT81</v>
      </c>
      <c r="KC244" t="str">
        <f t="shared" si="239"/>
        <v>F0-AI34-3B</v>
      </c>
      <c r="KD244" t="str">
        <f t="shared" si="240"/>
        <v>F0-AI34-4B</v>
      </c>
      <c r="KI244">
        <f t="array" ref="KI244">IF(COUNTIFS($U$2:$U244,$U244)=1,1,INDEX(KI:KI,_xlfn.XMATCH(U244,U$1:U243,0,-1))+COUNT(KI243:KM243))</f>
        <v>4</v>
      </c>
      <c r="KJ244">
        <f t="shared" si="241"/>
        <v>5</v>
      </c>
      <c r="KK244">
        <f t="shared" si="241"/>
        <v>6</v>
      </c>
      <c r="KN244">
        <v>1</v>
      </c>
      <c r="KO244" s="16">
        <v>2</v>
      </c>
      <c r="KS244" s="16"/>
    </row>
    <row r="245" spans="1:305" x14ac:dyDescent="0.25">
      <c r="A245" s="83" t="s">
        <v>1718</v>
      </c>
      <c r="B245" s="83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3011</v>
      </c>
      <c r="X245" t="str">
        <f>IF(COUNTIF(X$1:X244,X244)&gt;7,REPLACE(X244,LEN(X244),1,VALUE(RIGHT(X244,1))+1),X244)</f>
        <v>А3.34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SUM(IF(ISNUMBER(FIND("TmAi",$BE$1:$AAQ$1)),IF(IFERROR(ISODD(SUBSTITUTE($BE245:$AAQ245,"A","")),FALSE),IF(ISODD(SUBSTITUTE($BE245:$AAQ245,"A","")),1,0),0)))</f>
        <v>0</v>
      </c>
      <c r="AA245" t="str">
        <f t="shared" si="236"/>
        <v>5B</v>
      </c>
      <c r="AB245" t="str">
        <f t="shared" si="237"/>
        <v>6B</v>
      </c>
      <c r="AD245" s="46"/>
      <c r="AE245" s="46"/>
      <c r="AP245" t="s">
        <v>137</v>
      </c>
      <c r="AS245" t="s">
        <v>396</v>
      </c>
      <c r="JZ245" s="27" t="str">
        <f t="shared" si="238"/>
        <v>XT81</v>
      </c>
      <c r="KC245" t="str">
        <f t="shared" si="239"/>
        <v>F0-AI34-5B</v>
      </c>
      <c r="KD245" t="str">
        <f t="shared" si="240"/>
        <v>F0-AI34-6B</v>
      </c>
      <c r="KI245">
        <f t="array" ref="KI245">IF(COUNTIFS($U$2:$U245,$U245)=1,1,INDEX(KI:KI,_xlfn.XMATCH(U245,U$1:U244,0,-1))+COUNT(KI244:KM244))</f>
        <v>7</v>
      </c>
      <c r="KJ245">
        <f t="shared" si="241"/>
        <v>8</v>
      </c>
      <c r="KK245">
        <f t="shared" si="241"/>
        <v>9</v>
      </c>
      <c r="KN245">
        <v>1</v>
      </c>
      <c r="KO245" s="16">
        <v>2</v>
      </c>
      <c r="KS245" s="16"/>
    </row>
    <row r="246" spans="1:305" x14ac:dyDescent="0.25">
      <c r="A246" s="83" t="s">
        <v>1719</v>
      </c>
      <c r="B246" s="85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3012</v>
      </c>
      <c r="X246" t="str">
        <f>IF(COUNTIF(X$1:X245,X245)&gt;7,REPLACE(X245,LEN(X245),1,VALUE(RIGHT(X245,1))+1),X245)</f>
        <v>А3.34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SUM(IF(ISNUMBER(FIND("TmAi",$BE$1:$AAQ$1)),IF(IFERROR(ISODD(SUBSTITUTE($BE246:$AAQ246,"A","")),FALSE),IF(ISODD(SUBSTITUTE($BE246:$AAQ246,"A","")),1,0),0)))</f>
        <v>0</v>
      </c>
      <c r="AA246" t="str">
        <f t="shared" si="236"/>
        <v>7B</v>
      </c>
      <c r="AB246" t="str">
        <f t="shared" si="237"/>
        <v>8B</v>
      </c>
      <c r="AD246" s="46"/>
      <c r="AE246" s="46"/>
      <c r="AP246" t="s">
        <v>137</v>
      </c>
      <c r="AS246" t="s">
        <v>396</v>
      </c>
      <c r="JZ246" s="27" t="str">
        <f t="shared" si="238"/>
        <v>XT81</v>
      </c>
      <c r="KC246" t="str">
        <f t="shared" si="239"/>
        <v>F0-AI34-7B</v>
      </c>
      <c r="KD246" t="str">
        <f t="shared" si="240"/>
        <v>F0-AI34-8B</v>
      </c>
      <c r="KI246">
        <f t="array" ref="KI246">IF(COUNTIFS($U$2:$U246,$U246)=1,1,INDEX(KI:KI,_xlfn.XMATCH(U246,U$1:U245,0,-1))+COUNT(KI245:KM245))</f>
        <v>10</v>
      </c>
      <c r="KJ246">
        <f t="shared" si="241"/>
        <v>11</v>
      </c>
      <c r="KK246">
        <f t="shared" si="241"/>
        <v>12</v>
      </c>
      <c r="KN246">
        <v>1</v>
      </c>
      <c r="KO246" s="16">
        <v>2</v>
      </c>
      <c r="KS246" s="16"/>
    </row>
    <row r="247" spans="1:305" x14ac:dyDescent="0.25">
      <c r="A247" s="83" t="s">
        <v>1758</v>
      </c>
      <c r="B247" s="83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3013</v>
      </c>
      <c r="X247" t="str">
        <f>IF(COUNTIF(X$1:X246,X246)&gt;7,REPLACE(X246,LEN(X246),1,VALUE(RIGHT(X246,1))+1),X246)</f>
        <v>А3.34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SUM(IF(ISNUMBER(FIND("TmAi",$BE$1:$AAQ$1)),IF(IFERROR(ISODD(SUBSTITUTE($BE247:$AAQ247,"A","")),FALSE),IF(ISODD(SUBSTITUTE($BE247:$AAQ247,"A","")),1,0),0)))</f>
        <v>0</v>
      </c>
      <c r="AA247" t="str">
        <f t="shared" si="236"/>
        <v>9B</v>
      </c>
      <c r="AB247" t="str">
        <f t="shared" si="237"/>
        <v>10B</v>
      </c>
      <c r="AD247" s="46"/>
      <c r="AE247" s="46"/>
      <c r="AP247" t="s">
        <v>137</v>
      </c>
      <c r="AS247" t="s">
        <v>396</v>
      </c>
      <c r="JZ247" s="27" t="str">
        <f t="shared" si="238"/>
        <v>XT82</v>
      </c>
      <c r="KC247" t="str">
        <f t="shared" si="239"/>
        <v>F0-AI34-9B</v>
      </c>
      <c r="KD247" t="str">
        <f t="shared" si="240"/>
        <v>F0-AI34-10B</v>
      </c>
      <c r="KI247">
        <f t="array" ref="KI247">IF(COUNTIFS($U$2:$U247,$U247)=1,1,INDEX(KI:KI,_xlfn.XMATCH(U247,U$1:U246,0,-1))+COUNT(KI246:KM246))</f>
        <v>1</v>
      </c>
      <c r="KJ247">
        <f t="shared" si="241"/>
        <v>2</v>
      </c>
      <c r="KK247">
        <f t="shared" si="241"/>
        <v>3</v>
      </c>
      <c r="KN247">
        <v>1</v>
      </c>
      <c r="KO247" s="16">
        <v>2</v>
      </c>
      <c r="KS247" s="16"/>
    </row>
    <row r="248" spans="1:305" x14ac:dyDescent="0.25">
      <c r="A248" s="83" t="s">
        <v>1759</v>
      </c>
      <c r="B248" s="83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3014</v>
      </c>
      <c r="X248" t="str">
        <f>IF(COUNTIF(X$1:X247,X247)&gt;7,REPLACE(X247,LEN(X247),1,VALUE(RIGHT(X247,1))+1),X247)</f>
        <v>А3.34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SUM(IF(ISNUMBER(FIND("TmAi",$BE$1:$AAQ$1)),IF(IFERROR(ISODD(SUBSTITUTE($BE248:$AAQ248,"A","")),FALSE),IF(ISODD(SUBSTITUTE($BE248:$AAQ248,"A","")),1,0),0)))</f>
        <v>0</v>
      </c>
      <c r="AA248" t="str">
        <f t="shared" si="236"/>
        <v>11B</v>
      </c>
      <c r="AB248" t="str">
        <f t="shared" si="237"/>
        <v>12B</v>
      </c>
      <c r="AD248" s="46"/>
      <c r="AE248" s="46"/>
      <c r="AP248" t="s">
        <v>137</v>
      </c>
      <c r="AS248" t="s">
        <v>396</v>
      </c>
      <c r="JZ248" s="27" t="str">
        <f t="shared" si="238"/>
        <v>XT82</v>
      </c>
      <c r="KC248" t="str">
        <f t="shared" si="239"/>
        <v>F0-AI34-11B</v>
      </c>
      <c r="KD248" t="str">
        <f t="shared" si="240"/>
        <v>F0-AI34-12B</v>
      </c>
      <c r="KI248">
        <f t="array" ref="KI248">IF(COUNTIFS($U$2:$U248,$U248)=1,1,INDEX(KI:KI,_xlfn.XMATCH(U248,U$1:U247,0,-1))+COUNT(KI247:KM247))</f>
        <v>4</v>
      </c>
      <c r="KJ248">
        <f t="shared" ref="KJ248:KJ266" si="242">KI248+1</f>
        <v>5</v>
      </c>
      <c r="KK248">
        <f t="shared" ref="KK248:KK266" si="243">KJ248+1</f>
        <v>6</v>
      </c>
      <c r="KN248">
        <v>1</v>
      </c>
      <c r="KO248" s="16">
        <v>2</v>
      </c>
      <c r="KS248" s="16"/>
    </row>
    <row r="249" spans="1:305" x14ac:dyDescent="0.25">
      <c r="A249" s="83" t="s">
        <v>1760</v>
      </c>
      <c r="B249" s="83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3015</v>
      </c>
      <c r="X249" t="str">
        <f>IF(COUNTIF(X$1:X248,X248)&gt;7,REPLACE(X248,LEN(X248),1,VALUE(RIGHT(X248,1))+1),X248)</f>
        <v>А3.34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SUM(IF(ISNUMBER(FIND("TmAi",$BE$1:$AAQ$1)),IF(IFERROR(ISODD(SUBSTITUTE($BE249:$AAQ249,"A","")),FALSE),IF(ISODD(SUBSTITUTE($BE249:$AAQ249,"A","")),1,0),0)))</f>
        <v>0</v>
      </c>
      <c r="AA249" t="str">
        <f t="shared" si="236"/>
        <v>13B</v>
      </c>
      <c r="AB249" t="str">
        <f t="shared" si="237"/>
        <v>14B</v>
      </c>
      <c r="AD249" s="46"/>
      <c r="AE249" s="46"/>
      <c r="AP249" t="s">
        <v>137</v>
      </c>
      <c r="AS249" t="s">
        <v>396</v>
      </c>
      <c r="JZ249" s="27" t="str">
        <f t="shared" si="238"/>
        <v>XT82</v>
      </c>
      <c r="KC249" t="str">
        <f t="shared" si="239"/>
        <v>F0-AI34-13B</v>
      </c>
      <c r="KD249" t="str">
        <f t="shared" si="240"/>
        <v>F0-AI34-14B</v>
      </c>
      <c r="KI249">
        <f t="array" ref="KI249">IF(COUNTIFS($U$2:$U249,$U249)=1,1,INDEX(KI:KI,_xlfn.XMATCH(U249,U$1:U248,0,-1))+COUNT(KI248:KM248))</f>
        <v>7</v>
      </c>
      <c r="KJ249">
        <f t="shared" si="242"/>
        <v>8</v>
      </c>
      <c r="KK249">
        <f t="shared" si="243"/>
        <v>9</v>
      </c>
      <c r="KN249">
        <v>1</v>
      </c>
      <c r="KO249" s="16">
        <v>2</v>
      </c>
      <c r="KS249" s="16"/>
    </row>
    <row r="250" spans="1:305" x14ac:dyDescent="0.25">
      <c r="A250" s="83" t="s">
        <v>1761</v>
      </c>
      <c r="B250" s="85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3016</v>
      </c>
      <c r="X250" t="str">
        <f>IF(COUNTIF(X$1:X249,X249)&gt;7,REPLACE(X249,LEN(X249),1,VALUE(RIGHT(X249,1))+1),X249)</f>
        <v>А3.34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SUM(IF(ISNUMBER(FIND("TmAi",$BE$1:$AAQ$1)),IF(IFERROR(ISODD(SUBSTITUTE($BE250:$AAQ250,"A","")),FALSE),IF(ISODD(SUBSTITUTE($BE250:$AAQ250,"A","")),1,0),0)))</f>
        <v>0</v>
      </c>
      <c r="AA250" t="str">
        <f t="shared" si="236"/>
        <v>15B</v>
      </c>
      <c r="AB250" t="str">
        <f t="shared" si="237"/>
        <v>16B</v>
      </c>
      <c r="AD250" s="46"/>
      <c r="AE250" s="46"/>
      <c r="AP250" t="s">
        <v>137</v>
      </c>
      <c r="AS250" t="s">
        <v>396</v>
      </c>
      <c r="JZ250" s="27" t="str">
        <f t="shared" si="238"/>
        <v>XT82</v>
      </c>
      <c r="KC250" t="str">
        <f t="shared" si="239"/>
        <v>F0-AI34-15B</v>
      </c>
      <c r="KD250" t="str">
        <f t="shared" si="240"/>
        <v>F0-AI34-16B</v>
      </c>
      <c r="KI250">
        <f t="array" ref="KI250">IF(COUNTIFS($U$2:$U250,$U250)=1,1,INDEX(KI:KI,_xlfn.XMATCH(U250,U$1:U249,0,-1))+COUNT(KI249:KM249))</f>
        <v>10</v>
      </c>
      <c r="KJ250">
        <f t="shared" si="242"/>
        <v>11</v>
      </c>
      <c r="KK250">
        <f t="shared" si="243"/>
        <v>12</v>
      </c>
      <c r="KN250">
        <v>1</v>
      </c>
      <c r="KO250" s="16">
        <v>2</v>
      </c>
      <c r="KS250" s="16"/>
    </row>
    <row r="251" spans="1:305" x14ac:dyDescent="0.25">
      <c r="A251" s="83" t="s">
        <v>1762</v>
      </c>
      <c r="B251" s="83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3017</v>
      </c>
      <c r="X251" t="str">
        <f>IF(COUNTIF(X$1:X250,X250)&gt;7,REPLACE(X250,LEN(X250),1,VALUE(RIGHT(X250,1))+1),X250)</f>
        <v>А3.35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SUM(IF(ISNUMBER(FIND("TmAi",$BE$1:$AAQ$1)),IF(IFERROR(ISODD(SUBSTITUTE($BE251:$AAQ251,"A","")),FALSE),IF(ISODD(SUBSTITUTE($BE251:$AAQ251,"A","")),1,0),0)))</f>
        <v>0</v>
      </c>
      <c r="AA251" t="str">
        <f t="shared" si="236"/>
        <v>1B</v>
      </c>
      <c r="AB251" t="str">
        <f t="shared" si="237"/>
        <v>2B</v>
      </c>
      <c r="AD251" s="46"/>
      <c r="AE251" s="46"/>
      <c r="AP251" t="s">
        <v>137</v>
      </c>
      <c r="AS251" t="s">
        <v>396</v>
      </c>
      <c r="JZ251" s="27" t="str">
        <f t="shared" si="238"/>
        <v>XT83</v>
      </c>
      <c r="KC251" t="str">
        <f t="shared" si="239"/>
        <v>F0-AI35-1B</v>
      </c>
      <c r="KD251" t="str">
        <f t="shared" si="240"/>
        <v>F0-AI35-2B</v>
      </c>
      <c r="KI251">
        <f t="array" ref="KI251">IF(COUNTIFS($U$2:$U251,$U251)=1,1,INDEX(KI:KI,_xlfn.XMATCH(U251,U$1:U250,0,-1))+COUNT(KI250:KM250))</f>
        <v>1</v>
      </c>
      <c r="KJ251">
        <f t="shared" si="242"/>
        <v>2</v>
      </c>
      <c r="KK251">
        <f t="shared" si="243"/>
        <v>3</v>
      </c>
      <c r="KN251">
        <v>1</v>
      </c>
      <c r="KO251" s="16">
        <v>2</v>
      </c>
      <c r="KS251" s="16"/>
    </row>
    <row r="252" spans="1:305" x14ac:dyDescent="0.25">
      <c r="A252" s="83" t="s">
        <v>1763</v>
      </c>
      <c r="B252" s="83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3018</v>
      </c>
      <c r="X252" t="str">
        <f>IF(COUNTIF(X$1:X251,X251)&gt;7,REPLACE(X251,LEN(X251),1,VALUE(RIGHT(X251,1))+1),X251)</f>
        <v>А3.35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SUM(IF(ISNUMBER(FIND("TmAi",$BE$1:$AAQ$1)),IF(IFERROR(ISODD(SUBSTITUTE($BE252:$AAQ252,"A","")),FALSE),IF(ISODD(SUBSTITUTE($BE252:$AAQ252,"A","")),1,0),0)))</f>
        <v>0</v>
      </c>
      <c r="AA252" t="str">
        <f t="shared" si="236"/>
        <v>3B</v>
      </c>
      <c r="AB252" t="str">
        <f t="shared" si="237"/>
        <v>4B</v>
      </c>
      <c r="AD252" s="46"/>
      <c r="AE252" s="46"/>
      <c r="AP252" t="s">
        <v>137</v>
      </c>
      <c r="AS252" t="s">
        <v>396</v>
      </c>
      <c r="JZ252" s="27" t="str">
        <f t="shared" si="238"/>
        <v>XT83</v>
      </c>
      <c r="KC252" t="str">
        <f t="shared" si="239"/>
        <v>F0-AI35-3B</v>
      </c>
      <c r="KD252" t="str">
        <f t="shared" si="240"/>
        <v>F0-AI35-4B</v>
      </c>
      <c r="KI252">
        <f t="array" ref="KI252">IF(COUNTIFS($U$2:$U252,$U252)=1,1,INDEX(KI:KI,_xlfn.XMATCH(U252,U$1:U251,0,-1))+COUNT(KI251:KM251))</f>
        <v>4</v>
      </c>
      <c r="KJ252">
        <f t="shared" si="242"/>
        <v>5</v>
      </c>
      <c r="KK252">
        <f t="shared" si="243"/>
        <v>6</v>
      </c>
      <c r="KN252">
        <v>1</v>
      </c>
      <c r="KO252" s="16">
        <v>2</v>
      </c>
      <c r="KS252" s="16"/>
    </row>
    <row r="253" spans="1:305" x14ac:dyDescent="0.25">
      <c r="A253" s="83" t="s">
        <v>1764</v>
      </c>
      <c r="B253" s="8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3019</v>
      </c>
      <c r="X253" t="str">
        <f>IF(COUNTIF(X$1:X252,X252)&gt;7,REPLACE(X252,LEN(X252),1,VALUE(RIGHT(X252,1))+1),X252)</f>
        <v>А3.35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SUM(IF(ISNUMBER(FIND("TmAi",$BE$1:$AAQ$1)),IF(IFERROR(ISODD(SUBSTITUTE($BE253:$AAQ253,"A","")),FALSE),IF(ISODD(SUBSTITUTE($BE253:$AAQ253,"A","")),1,0),0)))</f>
        <v>0</v>
      </c>
      <c r="AA253" t="str">
        <f t="shared" si="236"/>
        <v>5B</v>
      </c>
      <c r="AB253" t="str">
        <f t="shared" si="237"/>
        <v>6B</v>
      </c>
      <c r="AD253" s="46"/>
      <c r="AE253" s="46"/>
      <c r="AP253" t="s">
        <v>137</v>
      </c>
      <c r="AS253" t="s">
        <v>396</v>
      </c>
      <c r="JZ253" s="27" t="str">
        <f t="shared" si="238"/>
        <v>XT83</v>
      </c>
      <c r="KC253" t="str">
        <f t="shared" si="239"/>
        <v>F0-AI35-5B</v>
      </c>
      <c r="KD253" t="str">
        <f t="shared" si="240"/>
        <v>F0-AI35-6B</v>
      </c>
      <c r="KI253">
        <f t="array" ref="KI253">IF(COUNTIFS($U$2:$U253,$U253)=1,1,INDEX(KI:KI,_xlfn.XMATCH(U253,U$1:U252,0,-1))+COUNT(KI252:KM252))</f>
        <v>7</v>
      </c>
      <c r="KJ253">
        <f t="shared" si="242"/>
        <v>8</v>
      </c>
      <c r="KK253">
        <f t="shared" si="243"/>
        <v>9</v>
      </c>
      <c r="KN253">
        <v>1</v>
      </c>
      <c r="KO253" s="16">
        <v>2</v>
      </c>
      <c r="KS253" s="16"/>
    </row>
    <row r="254" spans="1:305" x14ac:dyDescent="0.25">
      <c r="A254" s="83" t="s">
        <v>1765</v>
      </c>
      <c r="B254" s="85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3020</v>
      </c>
      <c r="X254" t="str">
        <f>IF(COUNTIF(X$1:X253,X253)&gt;7,REPLACE(X253,LEN(X253),1,VALUE(RIGHT(X253,1))+1),X253)</f>
        <v>А3.35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SUM(IF(ISNUMBER(FIND("TmAi",$BE$1:$AAQ$1)),IF(IFERROR(ISODD(SUBSTITUTE($BE254:$AAQ254,"A","")),FALSE),IF(ISODD(SUBSTITUTE($BE254:$AAQ254,"A","")),1,0),0)))</f>
        <v>0</v>
      </c>
      <c r="AA254" t="str">
        <f t="shared" si="236"/>
        <v>7B</v>
      </c>
      <c r="AB254" t="str">
        <f t="shared" si="237"/>
        <v>8B</v>
      </c>
      <c r="AD254" s="46"/>
      <c r="AE254" s="46"/>
      <c r="AP254" t="s">
        <v>137</v>
      </c>
      <c r="AS254" t="s">
        <v>396</v>
      </c>
      <c r="JZ254" s="27" t="str">
        <f t="shared" si="238"/>
        <v>XT83</v>
      </c>
      <c r="KC254" t="str">
        <f t="shared" si="239"/>
        <v>F0-AI35-7B</v>
      </c>
      <c r="KD254" t="str">
        <f t="shared" si="240"/>
        <v>F0-AI35-8B</v>
      </c>
      <c r="KI254">
        <f t="array" ref="KI254">IF(COUNTIFS($U$2:$U254,$U254)=1,1,INDEX(KI:KI,_xlfn.XMATCH(U254,U$1:U253,0,-1))+COUNT(KI253:KM253))</f>
        <v>10</v>
      </c>
      <c r="KJ254">
        <f t="shared" si="242"/>
        <v>11</v>
      </c>
      <c r="KK254">
        <f t="shared" si="243"/>
        <v>12</v>
      </c>
      <c r="KN254">
        <v>1</v>
      </c>
      <c r="KO254" s="16">
        <v>2</v>
      </c>
      <c r="KS254" s="16"/>
    </row>
    <row r="255" spans="1:305" x14ac:dyDescent="0.25">
      <c r="A255" s="83" t="s">
        <v>1766</v>
      </c>
      <c r="B255" s="83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3021</v>
      </c>
      <c r="X255" t="str">
        <f>IF(COUNTIF(X$1:X254,X254)&gt;7,REPLACE(X254,LEN(X254),1,VALUE(RIGHT(X254,1))+1),X254)</f>
        <v>А3.35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SUM(IF(ISNUMBER(FIND("TmAi",$BE$1:$AAQ$1)),IF(IFERROR(ISODD(SUBSTITUTE($BE255:$AAQ255,"A","")),FALSE),IF(ISODD(SUBSTITUTE($BE255:$AAQ255,"A","")),1,0),0)))</f>
        <v>0</v>
      </c>
      <c r="AA255" t="str">
        <f t="shared" si="236"/>
        <v>9B</v>
      </c>
      <c r="AB255" t="str">
        <f t="shared" si="237"/>
        <v>10B</v>
      </c>
      <c r="AD255" s="46"/>
      <c r="AE255" s="46"/>
      <c r="AP255" t="s">
        <v>137</v>
      </c>
      <c r="AS255" t="s">
        <v>396</v>
      </c>
      <c r="JZ255" s="27" t="str">
        <f t="shared" si="238"/>
        <v>XT84</v>
      </c>
      <c r="KC255" t="str">
        <f t="shared" si="239"/>
        <v>F0-AI35-9B</v>
      </c>
      <c r="KD255" t="str">
        <f t="shared" si="240"/>
        <v>F0-AI35-10B</v>
      </c>
      <c r="KI255">
        <f t="array" ref="KI255">IF(COUNTIFS($U$2:$U255,$U255)=1,1,INDEX(KI:KI,_xlfn.XMATCH(U255,U$1:U254,0,-1))+COUNT(KI254:KM254))</f>
        <v>1</v>
      </c>
      <c r="KJ255">
        <f t="shared" si="242"/>
        <v>2</v>
      </c>
      <c r="KK255">
        <f t="shared" si="243"/>
        <v>3</v>
      </c>
      <c r="KN255">
        <v>1</v>
      </c>
      <c r="KO255" s="16">
        <v>2</v>
      </c>
      <c r="KS255" s="16"/>
    </row>
    <row r="256" spans="1:305" x14ac:dyDescent="0.25">
      <c r="A256" s="83" t="s">
        <v>1767</v>
      </c>
      <c r="B256" s="83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3022</v>
      </c>
      <c r="X256" t="str">
        <f>IF(COUNTIF(X$1:X255,X255)&gt;7,REPLACE(X255,LEN(X255),1,VALUE(RIGHT(X255,1))+1),X255)</f>
        <v>А3.35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SUM(IF(ISNUMBER(FIND("TmAi",$BE$1:$AAQ$1)),IF(IFERROR(ISODD(SUBSTITUTE($BE256:$AAQ256,"A","")),FALSE),IF(ISODD(SUBSTITUTE($BE256:$AAQ256,"A","")),1,0),0)))</f>
        <v>0</v>
      </c>
      <c r="AA256" t="str">
        <f t="shared" si="236"/>
        <v>11B</v>
      </c>
      <c r="AB256" t="str">
        <f t="shared" si="237"/>
        <v>12B</v>
      </c>
      <c r="AD256" s="46"/>
      <c r="AE256" s="46"/>
      <c r="AP256" t="s">
        <v>137</v>
      </c>
      <c r="AS256" t="s">
        <v>396</v>
      </c>
      <c r="JZ256" s="27" t="str">
        <f t="shared" si="238"/>
        <v>XT84</v>
      </c>
      <c r="KC256" t="str">
        <f t="shared" si="239"/>
        <v>F0-AI35-11B</v>
      </c>
      <c r="KD256" t="str">
        <f t="shared" si="240"/>
        <v>F0-AI35-12B</v>
      </c>
      <c r="KI256">
        <f t="array" ref="KI256">IF(COUNTIFS($U$2:$U256,$U256)=1,1,INDEX(KI:KI,_xlfn.XMATCH(U256,U$1:U255,0,-1))+COUNT(KI255:KM255))</f>
        <v>4</v>
      </c>
      <c r="KJ256">
        <f t="shared" si="242"/>
        <v>5</v>
      </c>
      <c r="KK256">
        <f t="shared" si="243"/>
        <v>6</v>
      </c>
      <c r="KN256">
        <v>1</v>
      </c>
      <c r="KO256" s="16">
        <v>2</v>
      </c>
      <c r="KS256" s="16"/>
    </row>
    <row r="257" spans="1:305" x14ac:dyDescent="0.25">
      <c r="A257" s="83" t="s">
        <v>1768</v>
      </c>
      <c r="B257" s="83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3023</v>
      </c>
      <c r="X257" t="str">
        <f>IF(COUNTIF(X$1:X256,X256)&gt;7,REPLACE(X256,LEN(X256),1,VALUE(RIGHT(X256,1))+1),X256)</f>
        <v>А3.35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SUM(IF(ISNUMBER(FIND("TmAi",$BE$1:$AAQ$1)),IF(IFERROR(ISODD(SUBSTITUTE($BE257:$AAQ257,"A","")),FALSE),IF(ISODD(SUBSTITUTE($BE257:$AAQ257,"A","")),1,0),0)))</f>
        <v>0</v>
      </c>
      <c r="AA257" t="str">
        <f t="shared" si="236"/>
        <v>13B</v>
      </c>
      <c r="AB257" t="str">
        <f t="shared" si="237"/>
        <v>14B</v>
      </c>
      <c r="AD257" s="46"/>
      <c r="AE257" s="46"/>
      <c r="AP257" t="s">
        <v>137</v>
      </c>
      <c r="AS257" t="s">
        <v>396</v>
      </c>
      <c r="JZ257" s="27" t="str">
        <f t="shared" si="238"/>
        <v>XT84</v>
      </c>
      <c r="KC257" t="str">
        <f t="shared" si="239"/>
        <v>F0-AI35-13B</v>
      </c>
      <c r="KD257" t="str">
        <f t="shared" si="240"/>
        <v>F0-AI35-14B</v>
      </c>
      <c r="KI257">
        <f t="array" ref="KI257">IF(COUNTIFS($U$2:$U257,$U257)=1,1,INDEX(KI:KI,_xlfn.XMATCH(U257,U$1:U256,0,-1))+COUNT(KI256:KM256))</f>
        <v>7</v>
      </c>
      <c r="KJ257">
        <f t="shared" si="242"/>
        <v>8</v>
      </c>
      <c r="KK257">
        <f t="shared" si="243"/>
        <v>9</v>
      </c>
      <c r="KN257">
        <v>1</v>
      </c>
      <c r="KO257" s="16">
        <v>2</v>
      </c>
      <c r="KS257" s="16"/>
    </row>
    <row r="258" spans="1:305" x14ac:dyDescent="0.25">
      <c r="A258" s="83" t="s">
        <v>1769</v>
      </c>
      <c r="B258" s="85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3024</v>
      </c>
      <c r="X258" t="str">
        <f>IF(COUNTIF(X$1:X257,X257)&gt;7,REPLACE(X257,LEN(X257),1,VALUE(RIGHT(X257,1))+1),X257)</f>
        <v>А3.35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SUM(IF(ISNUMBER(FIND("TmAi",$BE$1:$AAQ$1)),IF(IFERROR(ISODD(SUBSTITUTE($BE258:$AAQ258,"A","")),FALSE),IF(ISODD(SUBSTITUTE($BE258:$AAQ258,"A","")),1,0),0)))</f>
        <v>0</v>
      </c>
      <c r="AA258" t="str">
        <f t="shared" si="236"/>
        <v>15B</v>
      </c>
      <c r="AB258" t="str">
        <f t="shared" si="237"/>
        <v>16B</v>
      </c>
      <c r="AD258" s="46"/>
      <c r="AE258" s="46"/>
      <c r="AP258" t="s">
        <v>137</v>
      </c>
      <c r="AS258" t="s">
        <v>396</v>
      </c>
      <c r="JZ258" s="27" t="str">
        <f t="shared" si="238"/>
        <v>XT84</v>
      </c>
      <c r="KC258" t="str">
        <f t="shared" si="239"/>
        <v>F0-AI35-15B</v>
      </c>
      <c r="KD258" t="str">
        <f t="shared" si="240"/>
        <v>F0-AI35-16B</v>
      </c>
      <c r="KI258">
        <f t="array" ref="KI258">IF(COUNTIFS($U$2:$U258,$U258)=1,1,INDEX(KI:KI,_xlfn.XMATCH(U258,U$1:U257,0,-1))+COUNT(KI257:KM257))</f>
        <v>10</v>
      </c>
      <c r="KJ258">
        <f t="shared" si="242"/>
        <v>11</v>
      </c>
      <c r="KK258">
        <f t="shared" si="243"/>
        <v>12</v>
      </c>
      <c r="KN258">
        <v>1</v>
      </c>
      <c r="KO258" s="16">
        <v>2</v>
      </c>
      <c r="KS258" s="16"/>
    </row>
    <row r="259" spans="1:305" x14ac:dyDescent="0.25">
      <c r="A259" s="83" t="s">
        <v>1770</v>
      </c>
      <c r="B259" s="83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3025</v>
      </c>
      <c r="X259" t="str">
        <f>IF(COUNTIF(X$1:X258,X258)&gt;7,REPLACE(X258,LEN(X258),1,VALUE(RIGHT(X258,1))+1),X258)</f>
        <v>А3.36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SUM(IF(ISNUMBER(FIND("TmAi",$BE$1:$AAQ$1)),IF(IFERROR(ISODD(SUBSTITUTE($BE259:$AAQ259,"A","")),FALSE),IF(ISODD(SUBSTITUTE($BE259:$AAQ259,"A","")),1,0),0)))</f>
        <v>0</v>
      </c>
      <c r="AA259" t="str">
        <f t="shared" si="236"/>
        <v>1B</v>
      </c>
      <c r="AB259" t="str">
        <f t="shared" si="237"/>
        <v>2B</v>
      </c>
      <c r="AD259" s="46"/>
      <c r="AE259" s="46"/>
      <c r="AP259" t="s">
        <v>137</v>
      </c>
      <c r="AS259" t="s">
        <v>396</v>
      </c>
      <c r="JZ259" s="27" t="str">
        <f t="shared" si="238"/>
        <v>XT85</v>
      </c>
      <c r="KC259" t="str">
        <f t="shared" si="239"/>
        <v>F0-AI36-1B</v>
      </c>
      <c r="KD259" t="str">
        <f t="shared" si="240"/>
        <v>F0-AI36-2B</v>
      </c>
      <c r="KI259">
        <f t="array" ref="KI259">IF(COUNTIFS($U$2:$U259,$U259)=1,1,INDEX(KI:KI,_xlfn.XMATCH(U259,U$1:U258,0,-1))+COUNT(KI258:KM258))</f>
        <v>1</v>
      </c>
      <c r="KJ259">
        <f t="shared" si="242"/>
        <v>2</v>
      </c>
      <c r="KK259">
        <f t="shared" si="243"/>
        <v>3</v>
      </c>
      <c r="KN259">
        <v>1</v>
      </c>
      <c r="KO259" s="16">
        <v>2</v>
      </c>
      <c r="KS259" s="16"/>
    </row>
    <row r="260" spans="1:305" x14ac:dyDescent="0.25">
      <c r="A260" s="83" t="s">
        <v>1771</v>
      </c>
      <c r="B260" s="83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3026</v>
      </c>
      <c r="X260" t="str">
        <f>IF(COUNTIF(X$1:X259,X259)&gt;7,REPLACE(X259,LEN(X259),1,VALUE(RIGHT(X259,1))+1),X259)</f>
        <v>А3.36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SUM(IF(ISNUMBER(FIND("TmAi",$BE$1:$AAQ$1)),IF(IFERROR(ISODD(SUBSTITUTE($BE260:$AAQ260,"A","")),FALSE),IF(ISODD(SUBSTITUTE($BE260:$AAQ260,"A","")),1,0),0)))</f>
        <v>0</v>
      </c>
      <c r="AA260" t="str">
        <f t="shared" si="236"/>
        <v>3B</v>
      </c>
      <c r="AB260" t="str">
        <f t="shared" si="237"/>
        <v>4B</v>
      </c>
      <c r="AD260" s="46"/>
      <c r="AE260" s="46"/>
      <c r="AP260" t="s">
        <v>137</v>
      </c>
      <c r="AS260" t="s">
        <v>396</v>
      </c>
      <c r="JZ260" s="27" t="str">
        <f t="shared" si="238"/>
        <v>XT85</v>
      </c>
      <c r="KC260" t="str">
        <f t="shared" si="239"/>
        <v>F0-AI36-3B</v>
      </c>
      <c r="KD260" t="str">
        <f t="shared" si="240"/>
        <v>F0-AI36-4B</v>
      </c>
      <c r="KI260">
        <f t="array" ref="KI260">IF(COUNTIFS($U$2:$U260,$U260)=1,1,INDEX(KI:KI,_xlfn.XMATCH(U260,U$1:U259,0,-1))+COUNT(KI259:KM259))</f>
        <v>4</v>
      </c>
      <c r="KJ260">
        <f t="shared" si="242"/>
        <v>5</v>
      </c>
      <c r="KK260">
        <f t="shared" si="243"/>
        <v>6</v>
      </c>
      <c r="KN260">
        <v>1</v>
      </c>
      <c r="KO260" s="16">
        <v>2</v>
      </c>
      <c r="KS260" s="16"/>
    </row>
    <row r="261" spans="1:305" x14ac:dyDescent="0.25">
      <c r="A261" s="83" t="s">
        <v>1772</v>
      </c>
      <c r="B261" s="83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3027</v>
      </c>
      <c r="X261" t="str">
        <f>IF(COUNTIF(X$1:X260,X260)&gt;7,REPLACE(X260,LEN(X260),1,VALUE(RIGHT(X260,1))+1),X260)</f>
        <v>А3.36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SUM(IF(ISNUMBER(FIND("TmAi",$BE$1:$AAQ$1)),IF(IFERROR(ISODD(SUBSTITUTE($BE261:$AAQ261,"A","")),FALSE),IF(ISODD(SUBSTITUTE($BE261:$AAQ261,"A","")),1,0),0)))</f>
        <v>0</v>
      </c>
      <c r="AA261" t="str">
        <f t="shared" si="236"/>
        <v>5B</v>
      </c>
      <c r="AB261" t="str">
        <f t="shared" si="237"/>
        <v>6B</v>
      </c>
      <c r="AD261" s="46"/>
      <c r="AE261" s="46"/>
      <c r="AP261" t="s">
        <v>137</v>
      </c>
      <c r="AS261" t="s">
        <v>396</v>
      </c>
      <c r="JZ261" s="27" t="str">
        <f t="shared" si="238"/>
        <v>XT85</v>
      </c>
      <c r="KC261" t="str">
        <f t="shared" si="239"/>
        <v>F0-AI36-5B</v>
      </c>
      <c r="KD261" t="str">
        <f t="shared" si="240"/>
        <v>F0-AI36-6B</v>
      </c>
      <c r="KI261">
        <f t="array" ref="KI261">IF(COUNTIFS($U$2:$U261,$U261)=1,1,INDEX(KI:KI,_xlfn.XMATCH(U261,U$1:U260,0,-1))+COUNT(KI260:KM260))</f>
        <v>7</v>
      </c>
      <c r="KJ261">
        <f t="shared" si="242"/>
        <v>8</v>
      </c>
      <c r="KK261">
        <f t="shared" si="243"/>
        <v>9</v>
      </c>
      <c r="KN261">
        <v>1</v>
      </c>
      <c r="KO261" s="16">
        <v>2</v>
      </c>
      <c r="KS261" s="16"/>
    </row>
    <row r="262" spans="1:305" x14ac:dyDescent="0.25">
      <c r="A262" s="83" t="s">
        <v>1773</v>
      </c>
      <c r="B262" s="85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3028</v>
      </c>
      <c r="X262" t="str">
        <f>IF(COUNTIF(X$1:X261,X261)&gt;7,REPLACE(X261,LEN(X261),1,VALUE(RIGHT(X261,1))+1),X261)</f>
        <v>А3.36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SUM(IF(ISNUMBER(FIND("TmAi",$BE$1:$AAQ$1)),IF(IFERROR(ISODD(SUBSTITUTE($BE262:$AAQ262,"A","")),FALSE),IF(ISODD(SUBSTITUTE($BE262:$AAQ262,"A","")),1,0),0)))</f>
        <v>0</v>
      </c>
      <c r="AA262" t="str">
        <f t="shared" si="236"/>
        <v>7B</v>
      </c>
      <c r="AB262" t="str">
        <f t="shared" si="237"/>
        <v>8B</v>
      </c>
      <c r="AD262" s="46"/>
      <c r="AE262" s="46"/>
      <c r="AP262" t="s">
        <v>137</v>
      </c>
      <c r="AS262" t="s">
        <v>396</v>
      </c>
      <c r="JZ262" s="27" t="str">
        <f t="shared" si="238"/>
        <v>XT85</v>
      </c>
      <c r="KC262" t="str">
        <f t="shared" si="239"/>
        <v>F0-AI36-7B</v>
      </c>
      <c r="KD262" t="str">
        <f t="shared" si="240"/>
        <v>F0-AI36-8B</v>
      </c>
      <c r="KI262">
        <f t="array" ref="KI262">IF(COUNTIFS($U$2:$U262,$U262)=1,1,INDEX(KI:KI,_xlfn.XMATCH(U262,U$1:U261,0,-1))+COUNT(KI261:KM261))</f>
        <v>10</v>
      </c>
      <c r="KJ262">
        <f t="shared" si="242"/>
        <v>11</v>
      </c>
      <c r="KK262">
        <f t="shared" si="243"/>
        <v>12</v>
      </c>
      <c r="KN262">
        <v>1</v>
      </c>
      <c r="KO262" s="16">
        <v>2</v>
      </c>
      <c r="KS262" s="16"/>
    </row>
    <row r="263" spans="1:305" x14ac:dyDescent="0.25">
      <c r="A263" s="83" t="s">
        <v>1774</v>
      </c>
      <c r="B263" s="8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3029</v>
      </c>
      <c r="X263" t="str">
        <f>IF(COUNTIF(X$1:X262,X262)&gt;7,REPLACE(X262,LEN(X262),1,VALUE(RIGHT(X262,1))+1),X262)</f>
        <v>А3.36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SUM(IF(ISNUMBER(FIND("TmAi",$BE$1:$AAQ$1)),IF(IFERROR(ISODD(SUBSTITUTE($BE263:$AAQ263,"A","")),FALSE),IF(ISODD(SUBSTITUTE($BE263:$AAQ263,"A","")),1,0),0)))</f>
        <v>0</v>
      </c>
      <c r="AA263" t="str">
        <f t="shared" si="236"/>
        <v>9B</v>
      </c>
      <c r="AB263" t="str">
        <f t="shared" si="237"/>
        <v>10B</v>
      </c>
      <c r="AD263" s="46"/>
      <c r="AE263" s="46"/>
      <c r="AP263" t="s">
        <v>137</v>
      </c>
      <c r="AS263" t="s">
        <v>396</v>
      </c>
      <c r="JZ263" s="27" t="str">
        <f t="shared" si="238"/>
        <v>XT86</v>
      </c>
      <c r="KC263" t="str">
        <f t="shared" si="239"/>
        <v>F0-AI36-9B</v>
      </c>
      <c r="KD263" t="str">
        <f t="shared" si="240"/>
        <v>F0-AI36-10B</v>
      </c>
      <c r="KI263">
        <f t="array" ref="KI263">IF(COUNTIFS($U$2:$U263,$U263)=1,1,INDEX(KI:KI,_xlfn.XMATCH(U263,U$1:U262,0,-1))+COUNT(KI262:KM262))</f>
        <v>1</v>
      </c>
      <c r="KJ263">
        <f t="shared" si="242"/>
        <v>2</v>
      </c>
      <c r="KK263">
        <f t="shared" si="243"/>
        <v>3</v>
      </c>
      <c r="KN263">
        <v>1</v>
      </c>
      <c r="KO263" s="16">
        <v>2</v>
      </c>
      <c r="KS263" s="16"/>
    </row>
    <row r="264" spans="1:305" x14ac:dyDescent="0.25">
      <c r="A264" s="83" t="s">
        <v>1775</v>
      </c>
      <c r="B264" s="83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3030</v>
      </c>
      <c r="X264" t="str">
        <f>IF(COUNTIF(X$1:X263,X263)&gt;7,REPLACE(X263,LEN(X263),1,VALUE(RIGHT(X263,1))+1),X263)</f>
        <v>А3.36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SUM(IF(ISNUMBER(FIND("TmAi",$BE$1:$AAQ$1)),IF(IFERROR(ISODD(SUBSTITUTE($BE264:$AAQ264,"A","")),FALSE),IF(ISODD(SUBSTITUTE($BE264:$AAQ264,"A","")),1,0),0)))</f>
        <v>0</v>
      </c>
      <c r="AA264" t="str">
        <f t="shared" si="236"/>
        <v>11B</v>
      </c>
      <c r="AB264" t="str">
        <f t="shared" si="237"/>
        <v>12B</v>
      </c>
      <c r="AD264" s="46"/>
      <c r="AE264" s="46"/>
      <c r="AP264" t="s">
        <v>137</v>
      </c>
      <c r="AS264" t="s">
        <v>396</v>
      </c>
      <c r="JZ264" s="27" t="str">
        <f t="shared" si="238"/>
        <v>XT86</v>
      </c>
      <c r="KC264" t="str">
        <f t="shared" si="239"/>
        <v>F0-AI36-11B</v>
      </c>
      <c r="KD264" t="str">
        <f t="shared" si="240"/>
        <v>F0-AI36-12B</v>
      </c>
      <c r="KI264">
        <f t="array" ref="KI264">IF(COUNTIFS($U$2:$U264,$U264)=1,1,INDEX(KI:KI,_xlfn.XMATCH(U264,U$1:U263,0,-1))+COUNT(KI263:KM263))</f>
        <v>4</v>
      </c>
      <c r="KJ264">
        <f t="shared" si="242"/>
        <v>5</v>
      </c>
      <c r="KK264">
        <f t="shared" si="243"/>
        <v>6</v>
      </c>
      <c r="KN264">
        <v>1</v>
      </c>
      <c r="KO264" s="16">
        <v>2</v>
      </c>
      <c r="KS264" s="16"/>
    </row>
    <row r="265" spans="1:305" x14ac:dyDescent="0.25">
      <c r="A265" s="83" t="s">
        <v>1776</v>
      </c>
      <c r="B265" s="83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3031</v>
      </c>
      <c r="X265" t="str">
        <f>IF(COUNTIF(X$1:X264,X264)&gt;7,REPLACE(X264,LEN(X264),1,VALUE(RIGHT(X264,1))+1),X264)</f>
        <v>А3.36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SUM(IF(ISNUMBER(FIND("TmAi",$BE$1:$AAQ$1)),IF(IFERROR(ISODD(SUBSTITUTE($BE265:$AAQ265,"A","")),FALSE),IF(ISODD(SUBSTITUTE($BE265:$AAQ265,"A","")),1,0),0)))</f>
        <v>0</v>
      </c>
      <c r="AA265" t="str">
        <f t="shared" si="236"/>
        <v>13B</v>
      </c>
      <c r="AB265" t="str">
        <f t="shared" si="237"/>
        <v>14B</v>
      </c>
      <c r="AD265" s="46"/>
      <c r="AE265" s="46"/>
      <c r="AP265" t="s">
        <v>137</v>
      </c>
      <c r="AS265" t="s">
        <v>396</v>
      </c>
      <c r="JZ265" s="27" t="str">
        <f t="shared" si="238"/>
        <v>XT86</v>
      </c>
      <c r="KC265" t="str">
        <f t="shared" si="239"/>
        <v>F0-AI36-13B</v>
      </c>
      <c r="KD265" t="str">
        <f t="shared" si="240"/>
        <v>F0-AI36-14B</v>
      </c>
      <c r="KI265">
        <f t="array" ref="KI265">IF(COUNTIFS($U$2:$U265,$U265)=1,1,INDEX(KI:KI,_xlfn.XMATCH(U265,U$1:U264,0,-1))+COUNT(KI264:KM264))</f>
        <v>7</v>
      </c>
      <c r="KJ265">
        <f t="shared" si="242"/>
        <v>8</v>
      </c>
      <c r="KK265">
        <f t="shared" si="243"/>
        <v>9</v>
      </c>
      <c r="KN265">
        <v>1</v>
      </c>
      <c r="KO265" s="16">
        <v>2</v>
      </c>
      <c r="KS265" s="16"/>
    </row>
    <row r="266" spans="1:305" ht="15.75" thickBot="1" x14ac:dyDescent="0.3">
      <c r="A266" s="83" t="s">
        <v>1777</v>
      </c>
      <c r="B266" s="85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3032</v>
      </c>
      <c r="X266" t="str">
        <f>IF(COUNTIF(X$1:X265,X265)&gt;7,REPLACE(X265,LEN(X265),1,VALUE(RIGHT(X265,1))+1),X265)</f>
        <v>А3.36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SUM(IF(ISNUMBER(FIND("TmAi",$BE$1:$AAQ$1)),IF(IFERROR(ISODD(SUBSTITUTE($BE266:$AAQ266,"A","")),FALSE),IF(ISODD(SUBSTITUTE($BE266:$AAQ266,"A","")),1,0),0)))</f>
        <v>0</v>
      </c>
      <c r="AA266" t="str">
        <f t="shared" si="236"/>
        <v>15B</v>
      </c>
      <c r="AB266" t="str">
        <f t="shared" si="237"/>
        <v>16B</v>
      </c>
      <c r="AD266" s="46"/>
      <c r="AE266" s="46"/>
      <c r="AP266" t="s">
        <v>137</v>
      </c>
      <c r="AS266" t="s">
        <v>396</v>
      </c>
      <c r="JZ266" s="27" t="str">
        <f t="shared" si="238"/>
        <v>XT86</v>
      </c>
      <c r="KC266" t="str">
        <f t="shared" si="239"/>
        <v>F0-AI36-15B</v>
      </c>
      <c r="KD266" t="str">
        <f t="shared" si="240"/>
        <v>F0-AI36-16B</v>
      </c>
      <c r="KI266">
        <f t="array" ref="KI266">IF(COUNTIFS($U$2:$U266,$U266)=1,1,INDEX(KI:KI,_xlfn.XMATCH(U266,U$1:U265,0,-1))+COUNT(KI265:KM265))</f>
        <v>10</v>
      </c>
      <c r="KJ266">
        <f t="shared" si="242"/>
        <v>11</v>
      </c>
      <c r="KK266">
        <f t="shared" si="243"/>
        <v>12</v>
      </c>
      <c r="KN266">
        <v>1</v>
      </c>
      <c r="KO266" s="16">
        <v>2</v>
      </c>
      <c r="KS266" s="16"/>
    </row>
    <row r="267" spans="1:305" ht="15.75" thickBot="1" x14ac:dyDescent="0.3">
      <c r="A267" s="83" t="s">
        <v>1782</v>
      </c>
      <c r="B267" s="83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3033</v>
      </c>
      <c r="W267" s="11" t="s">
        <v>3034</v>
      </c>
      <c r="X267" t="str">
        <f>IF(COUNTIF(X$1:X266,X266)&gt;7,REPLACE(X266,LEN(X266),1,VALUE(RIGHT(X266,1))+1),X266)</f>
        <v>А3.37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SUM(IF(ISNUMBER(FIND("TmAi",$BE$1:$AAQ$1)),IF(IFERROR(ISODD(SUBSTITUTE($BE267:$AAQ267,"A","")),FALSE),IF(ISODD(SUBSTITUTE($BE267:$AAQ267,"A","")),1,0),0)))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SUM(IF(ISNUMBER(FIND("TmDi",$BE$1:$AAQ$1)),IF(IFERROR(ISNUMBER(VALUE(SUBSTITUTE($BE267:$AAQ267,"B",""))),FALSE),IF(ISNUMBER(VALUE(SUBSTITUTE($BE267:$AAQ267,"B",""))),1,0),0)))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62" t="str">
        <f t="array" ref="AI267">IF(COUNTIFS(AH$2:AH267,AH267)=1,"1",VALUE(SUBSTITUTE(INDEX(AI:AI,_xlfn.XMATCH(AH267,AH$1:AH266,0,-1)),"A",""))+INDEX(AJ:AJ,_xlfn.XMATCH(AH267,AH$1:AH266,0,-1))+1)</f>
        <v>1</v>
      </c>
      <c r="AJ267" s="62">
        <f t="array" ref="AJ267">SUM(IF(ISNUMBER(FIND("TmDo",$BE$1:$AAQ$1)),IF(IFERROR(ISNUMBER(VALUE(SUBSTITUTE($BE267:$AAQ267,"B",""))),FALSE),IF(ISNUMBER(VALUE(SUBSTITUTE($BE267:$AAQ267,"B",""))),1,0),0)))</f>
        <v>1</v>
      </c>
      <c r="AK267" s="11" t="str">
        <f t="shared" ref="AK267:AK282" si="244">CONCATENATE($AI267,"A")</f>
        <v>1A</v>
      </c>
      <c r="AL267" s="11" t="str">
        <f t="shared" ref="AL267:AL282" si="245">CONCATENATE($AI267,"B")</f>
        <v>1B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CONCATENATE(REPLACE(AK267,LEN(AK267),1,"")+1,"A")</f>
        <v>2A</v>
      </c>
      <c r="HF267" s="12" t="str">
        <f>CONCATENATE(REPLACE(AL267,LEN(AL267),1,"")+1,"B")</f>
        <v>2B</v>
      </c>
      <c r="HG267" s="12" t="str">
        <f>CONCATENATE("AI",REPLACE($X267,1,3,""),"-",AA267)</f>
        <v>AI37-1A</v>
      </c>
      <c r="HH267" s="12" t="str">
        <f>CONCATENATE("AI",REPLACE($X267,1,3,""),"-",AB267)</f>
        <v>AI37-1B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246">CONCATENATE("DI",REPLACE($AC267,1,3,""),"-",GU267)</f>
        <v>DI14-C2</v>
      </c>
      <c r="HL267" s="12" t="str">
        <f t="shared" si="246"/>
        <v>DI14-B2</v>
      </c>
      <c r="HM267" s="12" t="str">
        <f t="shared" si="246"/>
        <v>DI14-C3</v>
      </c>
      <c r="HN267" s="12" t="str">
        <f t="shared" si="246"/>
        <v>DI14-B3</v>
      </c>
      <c r="HO267" s="12" t="str">
        <f t="shared" si="246"/>
        <v>DI14-C4</v>
      </c>
      <c r="HP267" s="12" t="str">
        <f t="shared" si="246"/>
        <v>DI14-B4</v>
      </c>
      <c r="HQ267" s="12" t="str">
        <f t="shared" si="246"/>
        <v>DI14-C5</v>
      </c>
      <c r="HR267" s="12" t="str">
        <f t="shared" si="246"/>
        <v>DI14-B5</v>
      </c>
      <c r="HS267" s="12" t="str">
        <f t="shared" si="246"/>
        <v>DI14-</v>
      </c>
      <c r="HT267" s="12" t="str">
        <f t="shared" si="246"/>
        <v>DI14-</v>
      </c>
      <c r="HU267" s="12" t="str">
        <f>CONCATENATE("DO",REPLACE($AH267,1,3,""),"-",AK267)</f>
        <v>DO8-1A</v>
      </c>
      <c r="HV267" s="12" t="str">
        <f>CONCATENATE("DO",REPLACE($AH267,1,3,""),"-",AL267)</f>
        <v>DO8-1B</v>
      </c>
      <c r="HW267" s="12" t="str">
        <f>CONCATENATE("DO",REPLACE($AH267,1,3,""),"-",HE267)</f>
        <v>DO8-2A</v>
      </c>
      <c r="HX267" s="12" t="str">
        <f>CONCATENATE("DO",REPLACE($AH267,1,3,""),"-",HF267)</f>
        <v>DO8-2B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s="83" t="s">
        <v>1783</v>
      </c>
      <c r="B268" s="83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3035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SUM(IF(ISNUMBER(FIND("TmDi",$BE$1:$AAQ$1)),IF(IFERROR(ISNUMBER(VALUE(SUBSTITUTE($BE268:$AAQ268,"B",""))),FALSE),IF(ISNUMBER(VALUE(SUBSTITUTE($BE268:$AAQ268,"B",""))),1,0),0)))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62">
        <f t="array" ref="AI268">IF(COUNTIFS(AH$2:AH268,AH268)=1,"1",VALUE(SUBSTITUTE(INDEX(AI:AI,_xlfn.XMATCH(AH268,AH$1:AH267,0,-1)),"A",""))+INDEX(AJ:AJ,_xlfn.XMATCH(AH268,AH$1:AH267,0,-1))+1)</f>
        <v>3</v>
      </c>
      <c r="AJ268" s="62">
        <f t="array" ref="AJ268">SUM(IF(ISNUMBER(FIND("TmDo",$BE$1:$AAQ$1)),IF(IFERROR(ISNUMBER(VALUE(SUBSTITUTE($BE268:$AAQ268,"B",""))),FALSE),IF(ISNUMBER(VALUE(SUBSTITUTE($BE268:$AAQ268,"B",""))),1,0),0)))</f>
        <v>2</v>
      </c>
      <c r="AK268" s="11" t="str">
        <f t="shared" si="244"/>
        <v>3A</v>
      </c>
      <c r="AL268" s="11" t="str">
        <f t="shared" si="245"/>
        <v>3B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CONCATENATE(REPLACE(AK268,LEN(AK268),1,"")+1,"A")</f>
        <v>4A</v>
      </c>
      <c r="BQ268" s="23" t="str">
        <f>CONCATENATE(REPLACE(AL268,LEN(AL268),1,"")+1,"B")</f>
        <v>4B</v>
      </c>
      <c r="BR268" s="23" t="str">
        <f>CONCATENATE(REPLACE(BP268,LEN(BP268),1,"")+1,"A")</f>
        <v>5A</v>
      </c>
      <c r="BS268" s="23" t="str">
        <f>CONCATENATE(REPLACE(BQ268,LEN(BQ268),1,"")+1,"B")</f>
        <v>5B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247">CONCATENATE("DI",REPLACE($AC268,1,3,""),"-",BF268)</f>
        <v>DI14-C7</v>
      </c>
      <c r="BW268" s="23" t="str">
        <f t="shared" si="247"/>
        <v>DI14-B7</v>
      </c>
      <c r="BX268" s="23" t="str">
        <f t="shared" si="247"/>
        <v>DI14-C8</v>
      </c>
      <c r="BY268" s="23" t="str">
        <f t="shared" si="247"/>
        <v>DI14-B8</v>
      </c>
      <c r="BZ268" s="23" t="str">
        <f t="shared" si="247"/>
        <v>DI14-C9</v>
      </c>
      <c r="CA268" s="23" t="str">
        <f t="shared" si="247"/>
        <v>DI14-B9</v>
      </c>
      <c r="CB268" s="23" t="str">
        <f t="shared" si="247"/>
        <v>DI14-C10</v>
      </c>
      <c r="CC268" s="23" t="str">
        <f t="shared" si="247"/>
        <v>DI14-B10</v>
      </c>
      <c r="CD268" s="23" t="str">
        <f t="shared" si="247"/>
        <v>DI14-</v>
      </c>
      <c r="CE268" s="23" t="str">
        <f t="shared" si="247"/>
        <v>DI14-</v>
      </c>
      <c r="CF268" s="23" t="str">
        <f>CONCATENATE("DO",REPLACE($AH268,1,3,""),"-",AK268)</f>
        <v>DO8-3A</v>
      </c>
      <c r="CG268" s="23" t="str">
        <f>CONCATENATE("DO",REPLACE($AH268,1,3,""),"-",AL268)</f>
        <v>DO8-3B</v>
      </c>
      <c r="CH268" s="23" t="str">
        <f>CONCATENATE("DO",REPLACE($AH268,1,3,""),"-",BP268)</f>
        <v>DO8-4A</v>
      </c>
      <c r="CI268" s="23" t="str">
        <f>CONCATENATE("DO",REPLACE($AH268,1,3,""),"-",BQ268)</f>
        <v>DO8-4B</v>
      </c>
      <c r="CJ268" s="23" t="str">
        <f>CONCATENATE("DO",REPLACE($AH268,1,3,""),"-",BR268)</f>
        <v>DO8-5A</v>
      </c>
      <c r="CK268" s="23" t="str">
        <f>CONCATENATE("DO",REPLACE($AH268,1,3,""),"-",BS268)</f>
        <v>DO8-5B</v>
      </c>
      <c r="CL268" s="23" t="str">
        <f t="shared" ref="CL268:CL285" si="248">CONCATENATE("K",$U268,"-10")</f>
        <v>K88-10</v>
      </c>
      <c r="CM268" s="23" t="str">
        <f t="shared" ref="CM268:CM285" si="249">CONCATENATE("K",$U268,"-03")</f>
        <v>K88-03</v>
      </c>
      <c r="CN268" s="23" t="str">
        <f t="shared" ref="CN268:CN285" si="250">CONCATENATE("K",$U268,"-04")</f>
        <v>K88-04</v>
      </c>
      <c r="CO268" s="23" t="str">
        <f t="shared" ref="CO268:CO285" si="251">CONCATENATE("K",$U268,"-01")</f>
        <v>K88-01</v>
      </c>
      <c r="CP268" s="23" t="str">
        <f t="shared" ref="CP268:CP285" si="252">CONCATENATE("K",$U268,"-08")</f>
        <v>K88-08</v>
      </c>
      <c r="CQ268" s="23" t="str">
        <f t="shared" ref="CQ268:CQ285" si="253">CONCATENATE("K",$U268,"-02")</f>
        <v>K88-02</v>
      </c>
      <c r="CR268" s="23" t="str">
        <f t="shared" ref="CR268:CR285" si="254">CONCATENATE("K",$U268,"-09")</f>
        <v>K88-09</v>
      </c>
      <c r="CS268" s="23" t="str">
        <f t="shared" ref="CS268:CS285" si="255">CONCATENATE("K",$U268,"-05")</f>
        <v>K88-05</v>
      </c>
      <c r="CT268" s="23" t="str">
        <f t="shared" ref="CT268:CT285" si="256">CONCATENATE("K",$U268,"-11")</f>
        <v>K88-11</v>
      </c>
      <c r="CU268" s="23" t="str">
        <f t="shared" ref="CU268:CU285" si="257">CONCATENATE($T268,"-M",$U268,"-A9")</f>
        <v>F0-M88-A9</v>
      </c>
      <c r="CV268" s="23" t="str">
        <f t="shared" ref="CV268:CV285" si="258">CONCATENATE($T268,"-M",$U268,"-A7")</f>
        <v>F0-M88-A7</v>
      </c>
      <c r="CW268" s="23" t="str">
        <f t="shared" ref="CW268:CW285" si="259">CONCATENATE($T268,"-M",$U268,"-A8")</f>
        <v>F0-M88-A8</v>
      </c>
      <c r="CX268" s="23" t="str">
        <f t="shared" ref="CX268:CX285" si="260">CONCATENATE($T268,"-M",$U268,"-A6")</f>
        <v>F0-M88-A6</v>
      </c>
      <c r="CY268" s="23" t="str">
        <f t="shared" ref="CY268:CY285" si="261">CONCATENATE($T268,"-M",$U268,"-A30")</f>
        <v>F0-M88-A30</v>
      </c>
      <c r="CZ268" s="23" t="str">
        <f t="shared" ref="CZ268:CZ285" si="262">CONCATENATE($T268,"-M",$U268,"-N")</f>
        <v>F0-M88-N</v>
      </c>
      <c r="DA268" s="23" t="str">
        <f>CONCATENATE($T268,"-A220-M",U268)</f>
        <v>F0-A220-M88</v>
      </c>
      <c r="DB268" s="23" t="str">
        <f t="shared" ref="DB268:DB285" si="263">CONCATENATE($T268,"-M",$U268,"-XM01")</f>
        <v>F0-M88-XM01</v>
      </c>
      <c r="DC268" s="23" t="str">
        <f t="shared" ref="DC268:DC285" si="264">CONCATENATE($T268,"-M",$U268,"-A1")</f>
        <v>F0-M88-A1</v>
      </c>
      <c r="DD268" s="23" t="str">
        <f t="shared" ref="DD268:DD285" si="265">CONCATENATE($T268,"-M",$U268,"-A5")</f>
        <v>F0-M88-A5</v>
      </c>
      <c r="DE268" s="23" t="str">
        <f t="shared" ref="DE268:DE285" si="266">CONCATENATE($T268,"-M",$U268,"-A11")</f>
        <v>F0-M88-A11</v>
      </c>
      <c r="DF268" s="23" t="str">
        <f t="shared" ref="DF268:DF285" si="267">CONCATENATE($T268,"-M",$U268,"-A12")</f>
        <v>F0-M88-A12</v>
      </c>
      <c r="DG268" s="23" t="str">
        <f t="shared" ref="DG268:DG285" si="268">CONCATENATE($T268,"-M",$U268,"-A19")</f>
        <v>F0-M88-A19</v>
      </c>
      <c r="DH268" s="23" t="str">
        <f t="shared" ref="DH268:DH285" si="269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s="83" t="s">
        <v>1844</v>
      </c>
      <c r="B269" s="83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3036</v>
      </c>
      <c r="W269" s="11" t="s">
        <v>3037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А3.37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SUM(IF(ISNUMBER(FIND("TmAi",$BE$1:$AAQ$1)),IF(IFERROR(ISODD(SUBSTITUTE($BE269:$AAQ269,"A","")),FALSE),IF(ISODD(SUBSTITUTE($BE269:$AAQ269,"A","")),1,0),0)))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SUM(IF(ISNUMBER(FIND("TmDi",$BE$1:$AAQ$1)),IF(IFERROR(ISNUMBER(VALUE(SUBSTITUTE($BE269:$AAQ269,"B",""))),FALSE),IF(ISNUMBER(VALUE(SUBSTITUTE($BE269:$AAQ269,"B",""))),1,0),0)))</f>
        <v>4</v>
      </c>
      <c r="AF269" t="str">
        <f t="shared" ref="AF269:AF306" si="270">CONCATENATE("C",$AD269)</f>
        <v>C11</v>
      </c>
      <c r="AG269" t="str">
        <f t="shared" ref="AG269:AG306" si="271">CONCATENATE("B",$AD269)</f>
        <v>B11</v>
      </c>
      <c r="AH269" t="str">
        <f t="shared" ref="AH269:AH284" si="272">IF(AI268+AJ268&gt;31,REPLACE(AH268,LEN(AH268),1,VALUE(RIGHT(AH268,1))+1),AH268)</f>
        <v>A6.8</v>
      </c>
      <c r="AI269" s="62">
        <f t="array" ref="AI269">IF(COUNTIFS(AH$2:AH269,AH269)=1,"1",VALUE(SUBSTITUTE(INDEX(AI:AI,_xlfn.XMATCH(AH269,AH$1:AH268,0,-1)),"A",""))+INDEX(AJ:AJ,_xlfn.XMATCH(AH269,AH$1:AH268,0,-1))+1)</f>
        <v>6</v>
      </c>
      <c r="AJ269" s="62">
        <f t="array" ref="AJ269">SUM(IF(ISNUMBER(FIND("TmDo",$BE$1:$AAQ$1)),IF(IFERROR(ISNUMBER(VALUE(SUBSTITUTE($BE269:$AAQ269,"B",""))),FALSE),IF(ISNUMBER(VALUE(SUBSTITUTE($BE269:$AAQ269,"B",""))),1,0),0)))</f>
        <v>1</v>
      </c>
      <c r="AK269" s="11" t="str">
        <f t="shared" si="244"/>
        <v>6A</v>
      </c>
      <c r="AL269" s="11" t="str">
        <f t="shared" si="245"/>
        <v>6B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CONCATENATE(REPLACE(AK269,LEN(AK269),1,"")+1,"A")</f>
        <v>7A</v>
      </c>
      <c r="HF269" s="12" t="str">
        <f>CONCATENATE(REPLACE(AL269,LEN(AL269),1,"")+1,"B")</f>
        <v>7B</v>
      </c>
      <c r="HG269" s="12" t="str">
        <f>CONCATENATE("AI",REPLACE($X269,1,3,""),"-",AA269)</f>
        <v>AI37-3A</v>
      </c>
      <c r="HH269" s="12" t="str">
        <f>CONCATENATE("AI",REPLACE($X269,1,3,""),"-",AB269)</f>
        <v>AI37-3B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273">CONCATENATE("DI",REPLACE($AC269,1,3,""),"-",GU269)</f>
        <v>DI14-C12</v>
      </c>
      <c r="HL269" s="12" t="str">
        <f t="shared" si="273"/>
        <v>DI14-B12</v>
      </c>
      <c r="HM269" s="12" t="str">
        <f t="shared" si="273"/>
        <v>DI14-C13</v>
      </c>
      <c r="HN269" s="12" t="str">
        <f t="shared" si="273"/>
        <v>DI14-B13</v>
      </c>
      <c r="HO269" s="12" t="str">
        <f t="shared" si="273"/>
        <v>DI14-C14</v>
      </c>
      <c r="HP269" s="12" t="str">
        <f t="shared" si="273"/>
        <v>DI14-B14</v>
      </c>
      <c r="HQ269" s="12" t="str">
        <f t="shared" si="273"/>
        <v>DI14-C15</v>
      </c>
      <c r="HR269" s="12" t="str">
        <f t="shared" si="273"/>
        <v>DI14-B15</v>
      </c>
      <c r="HS269" s="12" t="str">
        <f t="shared" si="273"/>
        <v>DI14-</v>
      </c>
      <c r="HT269" s="12" t="str">
        <f t="shared" si="273"/>
        <v>DI14-</v>
      </c>
      <c r="HU269" s="12" t="str">
        <f>CONCATENATE("DO",REPLACE($AH269,1,3,""),"-",AK269)</f>
        <v>DO8-6A</v>
      </c>
      <c r="HV269" s="12" t="str">
        <f>CONCATENATE("DO",REPLACE($AH269,1,3,""),"-",AL269)</f>
        <v>DO8-6B</v>
      </c>
      <c r="HW269" s="12" t="str">
        <f>CONCATENATE("DO",REPLACE($AH269,1,3,""),"-",HE269)</f>
        <v>DO8-7A</v>
      </c>
      <c r="HX269" s="12" t="str">
        <f>CONCATENATE("DO",REPLACE($AH269,1,3,""),"-",HF269)</f>
        <v>DO8-7B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s="83" t="s">
        <v>1845</v>
      </c>
      <c r="B270" s="83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3038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SUM(IF(ISNUMBER(FIND("TmDi",$BE$1:$AAQ$1)),IF(IFERROR(ISNUMBER(VALUE(SUBSTITUTE($BE270:$AAQ270,"B",""))),FALSE),IF(ISNUMBER(VALUE(SUBSTITUTE($BE270:$AAQ270,"B",""))),1,0),0)))</f>
        <v>4</v>
      </c>
      <c r="AF270" t="str">
        <f t="shared" si="270"/>
        <v>C16</v>
      </c>
      <c r="AG270" t="str">
        <f t="shared" si="271"/>
        <v>B16</v>
      </c>
      <c r="AH270" t="str">
        <f t="shared" si="272"/>
        <v>A6.8</v>
      </c>
      <c r="AI270" s="62">
        <f t="array" ref="AI270">IF(COUNTIFS(AH$2:AH270,AH270)=1,"1",VALUE(SUBSTITUTE(INDEX(AI:AI,_xlfn.XMATCH(AH270,AH$1:AH269,0,-1)),"A",""))+INDEX(AJ:AJ,_xlfn.XMATCH(AH270,AH$1:AH269,0,-1))+1)</f>
        <v>8</v>
      </c>
      <c r="AJ270" s="62">
        <f t="array" ref="AJ270">SUM(IF(ISNUMBER(FIND("TmDo",$BE$1:$AAQ$1)),IF(IFERROR(ISNUMBER(VALUE(SUBSTITUTE($BE270:$AAQ270,"B",""))),FALSE),IF(ISNUMBER(VALUE(SUBSTITUTE($BE270:$AAQ270,"B",""))),1,0),0)))</f>
        <v>2</v>
      </c>
      <c r="AK270" s="11" t="str">
        <f t="shared" si="244"/>
        <v>8A</v>
      </c>
      <c r="AL270" s="11" t="str">
        <f t="shared" si="245"/>
        <v>8B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CONCATENATE(REPLACE(AK270,LEN(AK270),1,"")+1,"A")</f>
        <v>9A</v>
      </c>
      <c r="BQ270" s="23" t="str">
        <f>CONCATENATE(REPLACE(AL270,LEN(AL270),1,"")+1,"B")</f>
        <v>9B</v>
      </c>
      <c r="BR270" s="23" t="str">
        <f>CONCATENATE(REPLACE(BP270,LEN(BP270),1,"")+1,"A")</f>
        <v>10A</v>
      </c>
      <c r="BS270" s="23" t="str">
        <f>CONCATENATE(REPLACE(BQ270,LEN(BQ270),1,"")+1,"B")</f>
        <v>10B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274">CONCATENATE("DI",REPLACE($AC270,1,3,""),"-",BF270)</f>
        <v>DI14-C17</v>
      </c>
      <c r="BW270" s="23" t="str">
        <f t="shared" si="274"/>
        <v>DI14-B17</v>
      </c>
      <c r="BX270" s="23" t="str">
        <f t="shared" si="274"/>
        <v>DI14-C18</v>
      </c>
      <c r="BY270" s="23" t="str">
        <f t="shared" si="274"/>
        <v>DI14-B18</v>
      </c>
      <c r="BZ270" s="23" t="str">
        <f t="shared" si="274"/>
        <v>DI14-C19</v>
      </c>
      <c r="CA270" s="23" t="str">
        <f t="shared" si="274"/>
        <v>DI14-B19</v>
      </c>
      <c r="CB270" s="23" t="str">
        <f t="shared" si="274"/>
        <v>DI14-C20</v>
      </c>
      <c r="CC270" s="23" t="str">
        <f t="shared" si="274"/>
        <v>DI14-B20</v>
      </c>
      <c r="CD270" s="23" t="str">
        <f t="shared" si="274"/>
        <v>DI14-</v>
      </c>
      <c r="CE270" s="23" t="str">
        <f t="shared" si="274"/>
        <v>DI14-</v>
      </c>
      <c r="CF270" s="23" t="str">
        <f>CONCATENATE("DO",REPLACE($AH270,1,3,""),"-",AK270)</f>
        <v>DO8-8A</v>
      </c>
      <c r="CG270" s="23" t="str">
        <f>CONCATENATE("DO",REPLACE($AH270,1,3,""),"-",AL270)</f>
        <v>DO8-8B</v>
      </c>
      <c r="CH270" s="23" t="str">
        <f>CONCATENATE("DO",REPLACE($AH270,1,3,""),"-",BP270)</f>
        <v>DO8-9A</v>
      </c>
      <c r="CI270" s="23" t="str">
        <f>CONCATENATE("DO",REPLACE($AH270,1,3,""),"-",BQ270)</f>
        <v>DO8-9B</v>
      </c>
      <c r="CJ270" s="23" t="str">
        <f>CONCATENATE("DO",REPLACE($AH270,1,3,""),"-",BR270)</f>
        <v>DO8-10A</v>
      </c>
      <c r="CK270" s="23" t="str">
        <f>CONCATENATE("DO",REPLACE($AH270,1,3,""),"-",BS270)</f>
        <v>DO8-10B</v>
      </c>
      <c r="CL270" s="23" t="str">
        <f t="shared" si="248"/>
        <v>K90-10</v>
      </c>
      <c r="CM270" s="23" t="str">
        <f t="shared" si="249"/>
        <v>K90-03</v>
      </c>
      <c r="CN270" s="23" t="str">
        <f t="shared" si="250"/>
        <v>K90-04</v>
      </c>
      <c r="CO270" s="23" t="str">
        <f t="shared" si="251"/>
        <v>K90-01</v>
      </c>
      <c r="CP270" s="23" t="str">
        <f t="shared" si="252"/>
        <v>K90-08</v>
      </c>
      <c r="CQ270" s="23" t="str">
        <f t="shared" si="253"/>
        <v>K90-02</v>
      </c>
      <c r="CR270" s="23" t="str">
        <f t="shared" si="254"/>
        <v>K90-09</v>
      </c>
      <c r="CS270" s="23" t="str">
        <f t="shared" si="255"/>
        <v>K90-05</v>
      </c>
      <c r="CT270" s="23" t="str">
        <f t="shared" si="256"/>
        <v>K90-11</v>
      </c>
      <c r="CU270" s="23" t="str">
        <f t="shared" si="257"/>
        <v>F0-M90-A9</v>
      </c>
      <c r="CV270" s="23" t="str">
        <f t="shared" si="258"/>
        <v>F0-M90-A7</v>
      </c>
      <c r="CW270" s="23" t="str">
        <f t="shared" si="259"/>
        <v>F0-M90-A8</v>
      </c>
      <c r="CX270" s="23" t="str">
        <f t="shared" si="260"/>
        <v>F0-M90-A6</v>
      </c>
      <c r="CY270" s="23" t="str">
        <f t="shared" si="261"/>
        <v>F0-M90-A30</v>
      </c>
      <c r="CZ270" s="23" t="str">
        <f t="shared" si="262"/>
        <v>F0-M90-N</v>
      </c>
      <c r="DA270" s="23" t="str">
        <f>CONCATENATE($T270,"-A220-M",U270)</f>
        <v>F0-A220-M90</v>
      </c>
      <c r="DB270" s="23" t="str">
        <f t="shared" si="263"/>
        <v>F0-M90-XM01</v>
      </c>
      <c r="DC270" s="23" t="str">
        <f t="shared" si="264"/>
        <v>F0-M90-A1</v>
      </c>
      <c r="DD270" s="23" t="str">
        <f t="shared" si="265"/>
        <v>F0-M90-A5</v>
      </c>
      <c r="DE270" s="23" t="str">
        <f t="shared" si="266"/>
        <v>F0-M90-A11</v>
      </c>
      <c r="DF270" s="23" t="str">
        <f t="shared" si="267"/>
        <v>F0-M90-A12</v>
      </c>
      <c r="DG270" s="23" t="str">
        <f t="shared" si="268"/>
        <v>F0-M90-A19</v>
      </c>
      <c r="DH270" s="23" t="str">
        <f t="shared" si="269"/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s="83" t="s">
        <v>1846</v>
      </c>
      <c r="B271" s="83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3039</v>
      </c>
      <c r="W271" s="11" t="s">
        <v>3040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А3.37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SUM(IF(ISNUMBER(FIND("TmAi",$BE$1:$AAQ$1)),IF(IFERROR(ISODD(SUBSTITUTE($BE271:$AAQ271,"A","")),FALSE),IF(ISODD(SUBSTITUTE($BE271:$AAQ271,"A","")),1,0),0)))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SUM(IF(ISNUMBER(FIND("TmDi",$BE$1:$AAQ$1)),IF(IFERROR(ISNUMBER(VALUE(SUBSTITUTE($BE271:$AAQ271,"B",""))),FALSE),IF(ISNUMBER(VALUE(SUBSTITUTE($BE271:$AAQ271,"B",""))),1,0),0)))</f>
        <v>4</v>
      </c>
      <c r="AF271" t="str">
        <f t="shared" si="270"/>
        <v>C1</v>
      </c>
      <c r="AG271" t="str">
        <f t="shared" si="271"/>
        <v>B1</v>
      </c>
      <c r="AH271" t="str">
        <f t="shared" si="272"/>
        <v>A6.8</v>
      </c>
      <c r="AI271" s="62">
        <f t="array" ref="AI271">IF(COUNTIFS(AH$2:AH271,AH271)=1,"1",VALUE(SUBSTITUTE(INDEX(AI:AI,_xlfn.XMATCH(AH271,AH$1:AH270,0,-1)),"A",""))+INDEX(AJ:AJ,_xlfn.XMATCH(AH271,AH$1:AH270,0,-1))+1)</f>
        <v>11</v>
      </c>
      <c r="AJ271" s="62">
        <f t="array" ref="AJ271">SUM(IF(ISNUMBER(FIND("TmDo",$BE$1:$AAQ$1)),IF(IFERROR(ISNUMBER(VALUE(SUBSTITUTE($BE271:$AAQ271,"B",""))),FALSE),IF(ISNUMBER(VALUE(SUBSTITUTE($BE271:$AAQ271,"B",""))),1,0),0)))</f>
        <v>1</v>
      </c>
      <c r="AK271" s="11" t="str">
        <f t="shared" si="244"/>
        <v>11A</v>
      </c>
      <c r="AL271" s="11" t="str">
        <f t="shared" si="245"/>
        <v>11B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CONCATENATE(REPLACE(AK271,LEN(AK271),1,"")+1,"A")</f>
        <v>12A</v>
      </c>
      <c r="HF271" s="12" t="str">
        <f>CONCATENATE(REPLACE(AL271,LEN(AL271),1,"")+1,"B")</f>
        <v>12B</v>
      </c>
      <c r="HG271" s="12" t="str">
        <f>CONCATENATE("AI",REPLACE($X271,1,3,""),"-",AA271)</f>
        <v>AI37-5A</v>
      </c>
      <c r="HH271" s="12" t="str">
        <f>CONCATENATE("AI",REPLACE($X271,1,3,""),"-",AB271)</f>
        <v>AI37-5B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275">CONCATENATE("DI",REPLACE($AC271,1,3,""),"-",GU271)</f>
        <v>DI15-C2</v>
      </c>
      <c r="HL271" s="12" t="str">
        <f t="shared" si="275"/>
        <v>DI15-B2</v>
      </c>
      <c r="HM271" s="12" t="str">
        <f t="shared" si="275"/>
        <v>DI15-C3</v>
      </c>
      <c r="HN271" s="12" t="str">
        <f t="shared" si="275"/>
        <v>DI15-B3</v>
      </c>
      <c r="HO271" s="12" t="str">
        <f t="shared" si="275"/>
        <v>DI15-C4</v>
      </c>
      <c r="HP271" s="12" t="str">
        <f t="shared" si="275"/>
        <v>DI15-B4</v>
      </c>
      <c r="HQ271" s="12" t="str">
        <f t="shared" si="275"/>
        <v>DI15-C5</v>
      </c>
      <c r="HR271" s="12" t="str">
        <f t="shared" si="275"/>
        <v>DI15-B5</v>
      </c>
      <c r="HS271" s="12" t="str">
        <f t="shared" si="275"/>
        <v>DI15-</v>
      </c>
      <c r="HT271" s="12" t="str">
        <f t="shared" si="275"/>
        <v>DI15-</v>
      </c>
      <c r="HU271" s="12" t="str">
        <f>CONCATENATE("DO",REPLACE($AH271,1,3,""),"-",AK271)</f>
        <v>DO8-11A</v>
      </c>
      <c r="HV271" s="12" t="str">
        <f>CONCATENATE("DO",REPLACE($AH271,1,3,""),"-",AL271)</f>
        <v>DO8-11B</v>
      </c>
      <c r="HW271" s="12" t="str">
        <f>CONCATENATE("DO",REPLACE($AH271,1,3,""),"-",HE271)</f>
        <v>DO8-12A</v>
      </c>
      <c r="HX271" s="12" t="str">
        <f>CONCATENATE("DO",REPLACE($AH271,1,3,""),"-",HF271)</f>
        <v>DO8-12B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s="83" t="s">
        <v>1847</v>
      </c>
      <c r="B272" s="83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3041</v>
      </c>
      <c r="W272" s="22"/>
      <c r="X272" s="23"/>
      <c r="Y272" s="23"/>
      <c r="Z272" s="23"/>
      <c r="AA272" s="23"/>
      <c r="AB272" s="23"/>
      <c r="AC272" t="str">
        <f t="shared" ref="AC272:AC284" si="276"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SUM(IF(ISNUMBER(FIND("TmDi",$BE$1:$AAQ$1)),IF(IFERROR(ISNUMBER(VALUE(SUBSTITUTE($BE272:$AAQ272,"B",""))),FALSE),IF(ISNUMBER(VALUE(SUBSTITUTE($BE272:$AAQ272,"B",""))),1,0),0)))</f>
        <v>4</v>
      </c>
      <c r="AF272" t="str">
        <f t="shared" si="270"/>
        <v>C6</v>
      </c>
      <c r="AG272" t="str">
        <f t="shared" si="271"/>
        <v>B6</v>
      </c>
      <c r="AH272" t="str">
        <f t="shared" si="272"/>
        <v>A6.8</v>
      </c>
      <c r="AI272" s="62">
        <f t="array" ref="AI272">IF(COUNTIFS(AH$2:AH272,AH272)=1,"1",VALUE(SUBSTITUTE(INDEX(AI:AI,_xlfn.XMATCH(AH272,AH$1:AH271,0,-1)),"A",""))+INDEX(AJ:AJ,_xlfn.XMATCH(AH272,AH$1:AH271,0,-1))+1)</f>
        <v>13</v>
      </c>
      <c r="AJ272" s="62">
        <f t="array" ref="AJ272">SUM(IF(ISNUMBER(FIND("TmDo",$BE$1:$AAQ$1)),IF(IFERROR(ISNUMBER(VALUE(SUBSTITUTE($BE272:$AAQ272,"B",""))),FALSE),IF(ISNUMBER(VALUE(SUBSTITUTE($BE272:$AAQ272,"B",""))),1,0),0)))</f>
        <v>2</v>
      </c>
      <c r="AK272" s="11" t="str">
        <f t="shared" si="244"/>
        <v>13A</v>
      </c>
      <c r="AL272" s="11" t="str">
        <f t="shared" si="245"/>
        <v>13B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CONCATENATE(REPLACE(AK272,LEN(AK272),1,"")+1,"A")</f>
        <v>14A</v>
      </c>
      <c r="BQ272" s="23" t="str">
        <f>CONCATENATE(REPLACE(AL272,LEN(AL272),1,"")+1,"B")</f>
        <v>14B</v>
      </c>
      <c r="BR272" s="23" t="str">
        <f>CONCATENATE(REPLACE(BP272,LEN(BP272),1,"")+1,"A")</f>
        <v>15A</v>
      </c>
      <c r="BS272" s="23" t="str">
        <f>CONCATENATE(REPLACE(BQ272,LEN(BQ272),1,"")+1,"B")</f>
        <v>15B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77">CONCATENATE("DI",REPLACE($AC272,1,3,""),"-",BF272)</f>
        <v>DI15-C7</v>
      </c>
      <c r="BW272" s="23" t="str">
        <f t="shared" si="277"/>
        <v>DI15-B7</v>
      </c>
      <c r="BX272" s="23" t="str">
        <f t="shared" si="277"/>
        <v>DI15-C8</v>
      </c>
      <c r="BY272" s="23" t="str">
        <f t="shared" si="277"/>
        <v>DI15-B8</v>
      </c>
      <c r="BZ272" s="23" t="str">
        <f t="shared" si="277"/>
        <v>DI15-C9</v>
      </c>
      <c r="CA272" s="23" t="str">
        <f t="shared" si="277"/>
        <v>DI15-B9</v>
      </c>
      <c r="CB272" s="23" t="str">
        <f t="shared" si="277"/>
        <v>DI15-C10</v>
      </c>
      <c r="CC272" s="23" t="str">
        <f t="shared" si="277"/>
        <v>DI15-B10</v>
      </c>
      <c r="CD272" s="23" t="str">
        <f t="shared" si="277"/>
        <v>DI15-</v>
      </c>
      <c r="CE272" s="23" t="str">
        <f t="shared" si="277"/>
        <v>DI15-</v>
      </c>
      <c r="CF272" s="23" t="str">
        <f>CONCATENATE("DO",REPLACE($AH272,1,3,""),"-",AK272)</f>
        <v>DO8-13A</v>
      </c>
      <c r="CG272" s="23" t="str">
        <f>CONCATENATE("DO",REPLACE($AH272,1,3,""),"-",AL272)</f>
        <v>DO8-13B</v>
      </c>
      <c r="CH272" s="23" t="str">
        <f>CONCATENATE("DO",REPLACE($AH272,1,3,""),"-",BP272)</f>
        <v>DO8-14A</v>
      </c>
      <c r="CI272" s="23" t="str">
        <f>CONCATENATE("DO",REPLACE($AH272,1,3,""),"-",BQ272)</f>
        <v>DO8-14B</v>
      </c>
      <c r="CJ272" s="23" t="str">
        <f>CONCATENATE("DO",REPLACE($AH272,1,3,""),"-",BR272)</f>
        <v>DO8-15A</v>
      </c>
      <c r="CK272" s="23" t="str">
        <f>CONCATENATE("DO",REPLACE($AH272,1,3,""),"-",BS272)</f>
        <v>DO8-15B</v>
      </c>
      <c r="CL272" s="23" t="str">
        <f t="shared" si="248"/>
        <v>K92-10</v>
      </c>
      <c r="CM272" s="23" t="str">
        <f t="shared" si="249"/>
        <v>K92-03</v>
      </c>
      <c r="CN272" s="23" t="str">
        <f t="shared" si="250"/>
        <v>K92-04</v>
      </c>
      <c r="CO272" s="23" t="str">
        <f t="shared" si="251"/>
        <v>K92-01</v>
      </c>
      <c r="CP272" s="23" t="str">
        <f t="shared" si="252"/>
        <v>K92-08</v>
      </c>
      <c r="CQ272" s="23" t="str">
        <f t="shared" si="253"/>
        <v>K92-02</v>
      </c>
      <c r="CR272" s="23" t="str">
        <f t="shared" si="254"/>
        <v>K92-09</v>
      </c>
      <c r="CS272" s="23" t="str">
        <f t="shared" si="255"/>
        <v>K92-05</v>
      </c>
      <c r="CT272" s="23" t="str">
        <f t="shared" si="256"/>
        <v>K92-11</v>
      </c>
      <c r="CU272" s="23" t="str">
        <f t="shared" si="257"/>
        <v>F0-M92-A9</v>
      </c>
      <c r="CV272" s="23" t="str">
        <f t="shared" si="258"/>
        <v>F0-M92-A7</v>
      </c>
      <c r="CW272" s="23" t="str">
        <f t="shared" si="259"/>
        <v>F0-M92-A8</v>
      </c>
      <c r="CX272" s="23" t="str">
        <f t="shared" si="260"/>
        <v>F0-M92-A6</v>
      </c>
      <c r="CY272" s="23" t="str">
        <f t="shared" si="261"/>
        <v>F0-M92-A30</v>
      </c>
      <c r="CZ272" s="23" t="str">
        <f t="shared" si="262"/>
        <v>F0-M92-N</v>
      </c>
      <c r="DA272" s="23" t="str">
        <f>CONCATENATE($T272,"-A220-M",U272)</f>
        <v>F0-A220-M92</v>
      </c>
      <c r="DB272" s="23" t="str">
        <f t="shared" si="263"/>
        <v>F0-M92-XM01</v>
      </c>
      <c r="DC272" s="23" t="str">
        <f t="shared" si="264"/>
        <v>F0-M92-A1</v>
      </c>
      <c r="DD272" s="23" t="str">
        <f t="shared" si="265"/>
        <v>F0-M92-A5</v>
      </c>
      <c r="DE272" s="23" t="str">
        <f t="shared" si="266"/>
        <v>F0-M92-A11</v>
      </c>
      <c r="DF272" s="23" t="str">
        <f t="shared" si="267"/>
        <v>F0-M92-A12</v>
      </c>
      <c r="DG272" s="23" t="str">
        <f t="shared" si="268"/>
        <v>F0-M92-A19</v>
      </c>
      <c r="DH272" s="23" t="str">
        <f t="shared" si="269"/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8" ht="15.75" thickBot="1" x14ac:dyDescent="0.3">
      <c r="A273" s="83" t="s">
        <v>1848</v>
      </c>
      <c r="B273" s="8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3042</v>
      </c>
      <c r="W273" s="11" t="s">
        <v>3043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А3.37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SUM(IF(ISNUMBER(FIND("TmAi",$BE$1:$AAQ$1)),IF(IFERROR(ISODD(SUBSTITUTE($BE273:$AAQ273,"A","")),FALSE),IF(ISODD(SUBSTITUTE($BE273:$AAQ273,"A","")),1,0),0)))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 t="shared" si="276"/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SUM(IF(ISNUMBER(FIND("TmDi",$BE$1:$AAQ$1)),IF(IFERROR(ISNUMBER(VALUE(SUBSTITUTE($BE273:$AAQ273,"B",""))),FALSE),IF(ISNUMBER(VALUE(SUBSTITUTE($BE273:$AAQ273,"B",""))),1,0),0)))</f>
        <v>4</v>
      </c>
      <c r="AF273" t="str">
        <f t="shared" si="270"/>
        <v>C11</v>
      </c>
      <c r="AG273" t="str">
        <f t="shared" si="271"/>
        <v>B11</v>
      </c>
      <c r="AH273" t="str">
        <f t="shared" si="272"/>
        <v>A6.8</v>
      </c>
      <c r="AI273" s="62">
        <f t="array" ref="AI273">IF(COUNTIFS(AH$2:AH273,AH273)=1,"1",VALUE(SUBSTITUTE(INDEX(AI:AI,_xlfn.XMATCH(AH273,AH$1:AH272,0,-1)),"A",""))+INDEX(AJ:AJ,_xlfn.XMATCH(AH273,AH$1:AH272,0,-1))+1)</f>
        <v>16</v>
      </c>
      <c r="AJ273" s="62">
        <f t="array" ref="AJ273">SUM(IF(ISNUMBER(FIND("TmDo",$BE$1:$AAQ$1)),IF(IFERROR(ISNUMBER(VALUE(SUBSTITUTE($BE273:$AAQ273,"B",""))),FALSE),IF(ISNUMBER(VALUE(SUBSTITUTE($BE273:$AAQ273,"B",""))),1,0),0)))</f>
        <v>1</v>
      </c>
      <c r="AK273" s="11" t="str">
        <f t="shared" si="244"/>
        <v>16A</v>
      </c>
      <c r="AL273" s="11" t="str">
        <f t="shared" si="245"/>
        <v>16B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CONCATENATE(REPLACE(AK273,LEN(AK273),1,"")+1,"A")</f>
        <v>17A</v>
      </c>
      <c r="HF273" s="12" t="str">
        <f>CONCATENATE(REPLACE(AL273,LEN(AL273),1,"")+1,"B")</f>
        <v>17B</v>
      </c>
      <c r="HG273" s="12" t="str">
        <f>CONCATENATE("AI",REPLACE($X273,1,3,""),"-",AA273)</f>
        <v>AI37-7A</v>
      </c>
      <c r="HH273" s="12" t="str">
        <f>CONCATENATE("AI",REPLACE($X273,1,3,""),"-",AB273)</f>
        <v>AI37-7B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78">CONCATENATE("DI",REPLACE($AC273,1,3,""),"-",GU273)</f>
        <v>DI15-C12</v>
      </c>
      <c r="HL273" s="12" t="str">
        <f t="shared" si="278"/>
        <v>DI15-B12</v>
      </c>
      <c r="HM273" s="12" t="str">
        <f t="shared" si="278"/>
        <v>DI15-C13</v>
      </c>
      <c r="HN273" s="12" t="str">
        <f t="shared" si="278"/>
        <v>DI15-B13</v>
      </c>
      <c r="HO273" s="12" t="str">
        <f t="shared" si="278"/>
        <v>DI15-C14</v>
      </c>
      <c r="HP273" s="12" t="str">
        <f t="shared" si="278"/>
        <v>DI15-B14</v>
      </c>
      <c r="HQ273" s="12" t="str">
        <f t="shared" si="278"/>
        <v>DI15-C15</v>
      </c>
      <c r="HR273" s="12" t="str">
        <f t="shared" si="278"/>
        <v>DI15-B15</v>
      </c>
      <c r="HS273" s="12" t="str">
        <f t="shared" si="278"/>
        <v>DI15-</v>
      </c>
      <c r="HT273" s="12" t="str">
        <f t="shared" si="278"/>
        <v>DI15-</v>
      </c>
      <c r="HU273" s="12" t="str">
        <f>CONCATENATE("DO",REPLACE($AH273,1,3,""),"-",AK273)</f>
        <v>DO8-16A</v>
      </c>
      <c r="HV273" s="12" t="str">
        <f>CONCATENATE("DO",REPLACE($AH273,1,3,""),"-",AL273)</f>
        <v>DO8-16B</v>
      </c>
      <c r="HW273" s="12" t="str">
        <f>CONCATENATE("DO",REPLACE($AH273,1,3,""),"-",HE273)</f>
        <v>DO8-17A</v>
      </c>
      <c r="HX273" s="12" t="str">
        <f>CONCATENATE("DO",REPLACE($AH273,1,3,""),"-",HF273)</f>
        <v>DO8-17B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8" ht="15.75" thickBot="1" x14ac:dyDescent="0.3">
      <c r="A274" s="83" t="s">
        <v>1849</v>
      </c>
      <c r="B274" s="83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3044</v>
      </c>
      <c r="W274" s="22"/>
      <c r="X274" s="23"/>
      <c r="Y274" s="23"/>
      <c r="Z274" s="23"/>
      <c r="AA274" s="23"/>
      <c r="AB274" s="23"/>
      <c r="AC274" t="str">
        <f t="shared" si="276"/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SUM(IF(ISNUMBER(FIND("TmDi",$BE$1:$AAQ$1)),IF(IFERROR(ISNUMBER(VALUE(SUBSTITUTE($BE274:$AAQ274,"B",""))),FALSE),IF(ISNUMBER(VALUE(SUBSTITUTE($BE274:$AAQ274,"B",""))),1,0),0)))</f>
        <v>4</v>
      </c>
      <c r="AF274" t="str">
        <f t="shared" si="270"/>
        <v>C16</v>
      </c>
      <c r="AG274" t="str">
        <f t="shared" si="271"/>
        <v>B16</v>
      </c>
      <c r="AH274" t="str">
        <f t="shared" si="272"/>
        <v>A6.8</v>
      </c>
      <c r="AI274" s="62">
        <f t="array" ref="AI274">IF(COUNTIFS(AH$2:AH274,AH274)=1,"1",VALUE(SUBSTITUTE(INDEX(AI:AI,_xlfn.XMATCH(AH274,AH$1:AH273,0,-1)),"A",""))+INDEX(AJ:AJ,_xlfn.XMATCH(AH274,AH$1:AH273,0,-1))+1)</f>
        <v>18</v>
      </c>
      <c r="AJ274" s="62">
        <f t="array" ref="AJ274">SUM(IF(ISNUMBER(FIND("TmDo",$BE$1:$AAQ$1)),IF(IFERROR(ISNUMBER(VALUE(SUBSTITUTE($BE274:$AAQ274,"B",""))),FALSE),IF(ISNUMBER(VALUE(SUBSTITUTE($BE274:$AAQ274,"B",""))),1,0),0)))</f>
        <v>2</v>
      </c>
      <c r="AK274" s="11" t="str">
        <f t="shared" si="244"/>
        <v>18A</v>
      </c>
      <c r="AL274" s="11" t="str">
        <f t="shared" si="245"/>
        <v>18B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CONCATENATE(REPLACE(AK274,LEN(AK274),1,"")+1,"A")</f>
        <v>19A</v>
      </c>
      <c r="BQ274" s="23" t="str">
        <f>CONCATENATE(REPLACE(AL274,LEN(AL274),1,"")+1,"B")</f>
        <v>19B</v>
      </c>
      <c r="BR274" s="23" t="str">
        <f>CONCATENATE(REPLACE(BP274,LEN(BP274),1,"")+1,"A")</f>
        <v>20A</v>
      </c>
      <c r="BS274" s="23" t="str">
        <f>CONCATENATE(REPLACE(BQ274,LEN(BQ274),1,"")+1,"B")</f>
        <v>20B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79">CONCATENATE("DI",REPLACE($AC274,1,3,""),"-",BF274)</f>
        <v>DI15-C17</v>
      </c>
      <c r="BW274" s="23" t="str">
        <f t="shared" si="279"/>
        <v>DI15-B17</v>
      </c>
      <c r="BX274" s="23" t="str">
        <f t="shared" si="279"/>
        <v>DI15-C18</v>
      </c>
      <c r="BY274" s="23" t="str">
        <f t="shared" si="279"/>
        <v>DI15-B18</v>
      </c>
      <c r="BZ274" s="23" t="str">
        <f t="shared" si="279"/>
        <v>DI15-C19</v>
      </c>
      <c r="CA274" s="23" t="str">
        <f t="shared" si="279"/>
        <v>DI15-B19</v>
      </c>
      <c r="CB274" s="23" t="str">
        <f t="shared" si="279"/>
        <v>DI15-C20</v>
      </c>
      <c r="CC274" s="23" t="str">
        <f t="shared" si="279"/>
        <v>DI15-B20</v>
      </c>
      <c r="CD274" s="23" t="str">
        <f t="shared" si="279"/>
        <v>DI15-</v>
      </c>
      <c r="CE274" s="23" t="str">
        <f t="shared" si="279"/>
        <v>DI15-</v>
      </c>
      <c r="CF274" s="23" t="str">
        <f>CONCATENATE("DO",REPLACE($AH274,1,3,""),"-",AK274)</f>
        <v>DO8-18A</v>
      </c>
      <c r="CG274" s="23" t="str">
        <f>CONCATENATE("DO",REPLACE($AH274,1,3,""),"-",AL274)</f>
        <v>DO8-18B</v>
      </c>
      <c r="CH274" s="23" t="str">
        <f>CONCATENATE("DO",REPLACE($AH274,1,3,""),"-",BP274)</f>
        <v>DO8-19A</v>
      </c>
      <c r="CI274" s="23" t="str">
        <f>CONCATENATE("DO",REPLACE($AH274,1,3,""),"-",BQ274)</f>
        <v>DO8-19B</v>
      </c>
      <c r="CJ274" s="23" t="str">
        <f>CONCATENATE("DO",REPLACE($AH274,1,3,""),"-",BR274)</f>
        <v>DO8-20A</v>
      </c>
      <c r="CK274" s="23" t="str">
        <f>CONCATENATE("DO",REPLACE($AH274,1,3,""),"-",BS274)</f>
        <v>DO8-20B</v>
      </c>
      <c r="CL274" s="23" t="str">
        <f t="shared" si="248"/>
        <v>K94-10</v>
      </c>
      <c r="CM274" s="23" t="str">
        <f t="shared" si="249"/>
        <v>K94-03</v>
      </c>
      <c r="CN274" s="23" t="str">
        <f t="shared" si="250"/>
        <v>K94-04</v>
      </c>
      <c r="CO274" s="23" t="str">
        <f t="shared" si="251"/>
        <v>K94-01</v>
      </c>
      <c r="CP274" s="23" t="str">
        <f t="shared" si="252"/>
        <v>K94-08</v>
      </c>
      <c r="CQ274" s="23" t="str">
        <f t="shared" si="253"/>
        <v>K94-02</v>
      </c>
      <c r="CR274" s="23" t="str">
        <f t="shared" si="254"/>
        <v>K94-09</v>
      </c>
      <c r="CS274" s="23" t="str">
        <f t="shared" si="255"/>
        <v>K94-05</v>
      </c>
      <c r="CT274" s="23" t="str">
        <f t="shared" si="256"/>
        <v>K94-11</v>
      </c>
      <c r="CU274" s="23" t="str">
        <f t="shared" si="257"/>
        <v>F0-M94-A9</v>
      </c>
      <c r="CV274" s="23" t="str">
        <f t="shared" si="258"/>
        <v>F0-M94-A7</v>
      </c>
      <c r="CW274" s="23" t="str">
        <f t="shared" si="259"/>
        <v>F0-M94-A8</v>
      </c>
      <c r="CX274" s="23" t="str">
        <f t="shared" si="260"/>
        <v>F0-M94-A6</v>
      </c>
      <c r="CY274" s="23" t="str">
        <f t="shared" si="261"/>
        <v>F0-M94-A30</v>
      </c>
      <c r="CZ274" s="23" t="str">
        <f t="shared" si="262"/>
        <v>F0-M94-N</v>
      </c>
      <c r="DA274" s="23" t="str">
        <f>CONCATENATE($T274,"-A220-M",U274)</f>
        <v>F0-A220-M94</v>
      </c>
      <c r="DB274" s="23" t="str">
        <f t="shared" si="263"/>
        <v>F0-M94-XM01</v>
      </c>
      <c r="DC274" s="23" t="str">
        <f t="shared" si="264"/>
        <v>F0-M94-A1</v>
      </c>
      <c r="DD274" s="23" t="str">
        <f t="shared" si="265"/>
        <v>F0-M94-A5</v>
      </c>
      <c r="DE274" s="23" t="str">
        <f t="shared" si="266"/>
        <v>F0-M94-A11</v>
      </c>
      <c r="DF274" s="23" t="str">
        <f t="shared" si="267"/>
        <v>F0-M94-A12</v>
      </c>
      <c r="DG274" s="23" t="str">
        <f t="shared" si="268"/>
        <v>F0-M94-A19</v>
      </c>
      <c r="DH274" s="23" t="str">
        <f t="shared" si="269"/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8" ht="15.75" thickBot="1" x14ac:dyDescent="0.3">
      <c r="A275" s="83" t="s">
        <v>1850</v>
      </c>
      <c r="B275" s="83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3045</v>
      </c>
      <c r="W275" s="11" t="s">
        <v>3046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А3.37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SUM(IF(ISNUMBER(FIND("TmAi",$BE$1:$AAQ$1)),IF(IFERROR(ISODD(SUBSTITUTE($BE275:$AAQ275,"A","")),FALSE),IF(ISODD(SUBSTITUTE($BE275:$AAQ275,"A","")),1,0),0)))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SUM(IF(ISNUMBER(FIND("TmDi",$BE$1:$AAQ$1)),IF(IFERROR(ISNUMBER(VALUE(SUBSTITUTE($BE275:$AAQ275,"B",""))),FALSE),IF(ISNUMBER(VALUE(SUBSTITUTE($BE275:$AAQ275,"B",""))),1,0),0)))</f>
        <v>4</v>
      </c>
      <c r="AF275" t="str">
        <f t="shared" si="270"/>
        <v>C1</v>
      </c>
      <c r="AG275" t="str">
        <f t="shared" si="271"/>
        <v>B1</v>
      </c>
      <c r="AH275" t="s">
        <v>1802</v>
      </c>
      <c r="AI275" s="62" t="str">
        <f t="array" ref="AI275">IF(COUNTIFS(AH$2:AH275,AH275)=1,"1",VALUE(SUBSTITUTE(INDEX(AI:AI,_xlfn.XMATCH(AH275,AH$1:AH274,0,-1)),"A",""))+INDEX(AJ:AJ,_xlfn.XMATCH(AH275,AH$1:AH274,0,-1))+1)</f>
        <v>1</v>
      </c>
      <c r="AJ275" s="62">
        <f t="array" ref="AJ275">SUM(IF(ISNUMBER(FIND("TmDo",$BE$1:$AAQ$1)),IF(IFERROR(ISNUMBER(VALUE(SUBSTITUTE($BE275:$AAQ275,"B",""))),FALSE),IF(ISNUMBER(VALUE(SUBSTITUTE($BE275:$AAQ275,"B",""))),1,0),0)))</f>
        <v>1</v>
      </c>
      <c r="AK275" s="11" t="str">
        <f t="shared" si="244"/>
        <v>1A</v>
      </c>
      <c r="AL275" s="11" t="str">
        <f t="shared" si="245"/>
        <v>1B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CONCATENATE(REPLACE(AK275,LEN(AK275),1,"")+1,"A")</f>
        <v>2A</v>
      </c>
      <c r="HF275" s="12" t="str">
        <f>CONCATENATE(REPLACE(AL275,LEN(AL275),1,"")+1,"B")</f>
        <v>2B</v>
      </c>
      <c r="HG275" s="12" t="str">
        <f>CONCATENATE("AI",REPLACE($X275,1,3,""),"-",AA275)</f>
        <v>AI37-9A</v>
      </c>
      <c r="HH275" s="12" t="str">
        <f>CONCATENATE("AI",REPLACE($X275,1,3,""),"-",AB275)</f>
        <v>AI37-9B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80">CONCATENATE("DI",REPLACE($AC275,1,3,""),"-",GU275)</f>
        <v>DI16-C2</v>
      </c>
      <c r="HL275" s="12" t="str">
        <f t="shared" si="280"/>
        <v>DI16-B2</v>
      </c>
      <c r="HM275" s="12" t="str">
        <f t="shared" si="280"/>
        <v>DI16-C3</v>
      </c>
      <c r="HN275" s="12" t="str">
        <f t="shared" si="280"/>
        <v>DI16-B3</v>
      </c>
      <c r="HO275" s="12" t="str">
        <f t="shared" si="280"/>
        <v>DI16-C4</v>
      </c>
      <c r="HP275" s="12" t="str">
        <f t="shared" si="280"/>
        <v>DI16-B4</v>
      </c>
      <c r="HQ275" s="12" t="str">
        <f t="shared" si="280"/>
        <v>DI16-C5</v>
      </c>
      <c r="HR275" s="12" t="str">
        <f t="shared" si="280"/>
        <v>DI16-B5</v>
      </c>
      <c r="HS275" s="12" t="str">
        <f t="shared" si="280"/>
        <v>DI16-</v>
      </c>
      <c r="HT275" s="12" t="str">
        <f t="shared" si="280"/>
        <v>DI16-</v>
      </c>
      <c r="HU275" s="12" t="str">
        <f>CONCATENATE("DO",REPLACE($AH275,1,3,""),"-",AK275)</f>
        <v>DO9-1A</v>
      </c>
      <c r="HV275" s="12" t="str">
        <f>CONCATENATE("DO",REPLACE($AH275,1,3,""),"-",AL275)</f>
        <v>DO9-1B</v>
      </c>
      <c r="HW275" s="12" t="str">
        <f>CONCATENATE("DO",REPLACE($AH275,1,3,""),"-",HE275)</f>
        <v>DO9-2A</v>
      </c>
      <c r="HX275" s="12" t="str">
        <f>CONCATENATE("DO",REPLACE($AH275,1,3,""),"-",HF275)</f>
        <v>DO9-2B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8" ht="15.75" thickBot="1" x14ac:dyDescent="0.3">
      <c r="A276" s="83" t="s">
        <v>1851</v>
      </c>
      <c r="B276" s="83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3047</v>
      </c>
      <c r="W276" s="22"/>
      <c r="X276" s="23"/>
      <c r="Y276" s="23"/>
      <c r="Z276" s="23"/>
      <c r="AA276" s="23"/>
      <c r="AB276" s="23"/>
      <c r="AC276" t="str">
        <f t="shared" si="276"/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SUM(IF(ISNUMBER(FIND("TmDi",$BE$1:$AAQ$1)),IF(IFERROR(ISNUMBER(VALUE(SUBSTITUTE($BE276:$AAQ276,"B",""))),FALSE),IF(ISNUMBER(VALUE(SUBSTITUTE($BE276:$AAQ276,"B",""))),1,0),0)))</f>
        <v>4</v>
      </c>
      <c r="AF276" t="str">
        <f t="shared" si="270"/>
        <v>C6</v>
      </c>
      <c r="AG276" t="str">
        <f t="shared" si="271"/>
        <v>B6</v>
      </c>
      <c r="AH276" t="str">
        <f t="shared" si="272"/>
        <v>A6.9</v>
      </c>
      <c r="AI276" s="62">
        <f t="array" ref="AI276">IF(COUNTIFS(AH$2:AH276,AH276)=1,"1",VALUE(SUBSTITUTE(INDEX(AI:AI,_xlfn.XMATCH(AH276,AH$1:AH275,0,-1)),"A",""))+INDEX(AJ:AJ,_xlfn.XMATCH(AH276,AH$1:AH275,0,-1))+1)</f>
        <v>3</v>
      </c>
      <c r="AJ276" s="62">
        <f t="array" ref="AJ276">SUM(IF(ISNUMBER(FIND("TmDo",$BE$1:$AAQ$1)),IF(IFERROR(ISNUMBER(VALUE(SUBSTITUTE($BE276:$AAQ276,"B",""))),FALSE),IF(ISNUMBER(VALUE(SUBSTITUTE($BE276:$AAQ276,"B",""))),1,0),0)))</f>
        <v>2</v>
      </c>
      <c r="AK276" s="11" t="str">
        <f t="shared" si="244"/>
        <v>3A</v>
      </c>
      <c r="AL276" s="11" t="str">
        <f t="shared" si="245"/>
        <v>3B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CONCATENATE(REPLACE(AK276,LEN(AK276),1,"")+1,"A")</f>
        <v>4A</v>
      </c>
      <c r="BQ276" s="23" t="str">
        <f>CONCATENATE(REPLACE(AL276,LEN(AL276),1,"")+1,"B")</f>
        <v>4B</v>
      </c>
      <c r="BR276" s="23" t="str">
        <f>CONCATENATE(REPLACE(BP276,LEN(BP276),1,"")+1,"A")</f>
        <v>5A</v>
      </c>
      <c r="BS276" s="23" t="str">
        <f>CONCATENATE(REPLACE(BQ276,LEN(BQ276),1,"")+1,"B")</f>
        <v>5B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81">CONCATENATE("DI",REPLACE($AC276,1,3,""),"-",BF276)</f>
        <v>DI16-C7</v>
      </c>
      <c r="BW276" s="23" t="str">
        <f t="shared" si="281"/>
        <v>DI16-B7</v>
      </c>
      <c r="BX276" s="23" t="str">
        <f t="shared" si="281"/>
        <v>DI16-C8</v>
      </c>
      <c r="BY276" s="23" t="str">
        <f t="shared" si="281"/>
        <v>DI16-B8</v>
      </c>
      <c r="BZ276" s="23" t="str">
        <f t="shared" si="281"/>
        <v>DI16-C9</v>
      </c>
      <c r="CA276" s="23" t="str">
        <f t="shared" si="281"/>
        <v>DI16-B9</v>
      </c>
      <c r="CB276" s="23" t="str">
        <f t="shared" si="281"/>
        <v>DI16-C10</v>
      </c>
      <c r="CC276" s="23" t="str">
        <f t="shared" si="281"/>
        <v>DI16-B10</v>
      </c>
      <c r="CD276" s="23" t="str">
        <f t="shared" si="281"/>
        <v>DI16-</v>
      </c>
      <c r="CE276" s="23" t="str">
        <f t="shared" si="281"/>
        <v>DI16-</v>
      </c>
      <c r="CF276" s="23" t="str">
        <f>CONCATENATE("DO",REPLACE($AH276,1,3,""),"-",AK276)</f>
        <v>DO9-3A</v>
      </c>
      <c r="CG276" s="23" t="str">
        <f>CONCATENATE("DO",REPLACE($AH276,1,3,""),"-",AL276)</f>
        <v>DO9-3B</v>
      </c>
      <c r="CH276" s="23" t="str">
        <f>CONCATENATE("DO",REPLACE($AH276,1,3,""),"-",BP276)</f>
        <v>DO9-4A</v>
      </c>
      <c r="CI276" s="23" t="str">
        <f>CONCATENATE("DO",REPLACE($AH276,1,3,""),"-",BQ276)</f>
        <v>DO9-4B</v>
      </c>
      <c r="CJ276" s="23" t="str">
        <f>CONCATENATE("DO",REPLACE($AH276,1,3,""),"-",BR276)</f>
        <v>DO9-5A</v>
      </c>
      <c r="CK276" s="23" t="str">
        <f>CONCATENATE("DO",REPLACE($AH276,1,3,""),"-",BS276)</f>
        <v>DO9-5B</v>
      </c>
      <c r="CL276" s="23" t="str">
        <f t="shared" si="248"/>
        <v>K96-10</v>
      </c>
      <c r="CM276" s="23" t="str">
        <f t="shared" si="249"/>
        <v>K96-03</v>
      </c>
      <c r="CN276" s="23" t="str">
        <f t="shared" si="250"/>
        <v>K96-04</v>
      </c>
      <c r="CO276" s="23" t="str">
        <f t="shared" si="251"/>
        <v>K96-01</v>
      </c>
      <c r="CP276" s="23" t="str">
        <f t="shared" si="252"/>
        <v>K96-08</v>
      </c>
      <c r="CQ276" s="23" t="str">
        <f t="shared" si="253"/>
        <v>K96-02</v>
      </c>
      <c r="CR276" s="23" t="str">
        <f t="shared" si="254"/>
        <v>K96-09</v>
      </c>
      <c r="CS276" s="23" t="str">
        <f t="shared" si="255"/>
        <v>K96-05</v>
      </c>
      <c r="CT276" s="23" t="str">
        <f t="shared" si="256"/>
        <v>K96-11</v>
      </c>
      <c r="CU276" s="23" t="str">
        <f t="shared" si="257"/>
        <v>F0-M96-A9</v>
      </c>
      <c r="CV276" s="23" t="str">
        <f t="shared" si="258"/>
        <v>F0-M96-A7</v>
      </c>
      <c r="CW276" s="23" t="str">
        <f t="shared" si="259"/>
        <v>F0-M96-A8</v>
      </c>
      <c r="CX276" s="23" t="str">
        <f t="shared" si="260"/>
        <v>F0-M96-A6</v>
      </c>
      <c r="CY276" s="23" t="str">
        <f t="shared" si="261"/>
        <v>F0-M96-A30</v>
      </c>
      <c r="CZ276" s="23" t="str">
        <f t="shared" si="262"/>
        <v>F0-M96-N</v>
      </c>
      <c r="DA276" s="23" t="str">
        <f>CONCATENATE($T276,"-A220-M",U276)</f>
        <v>F0-A220-M96</v>
      </c>
      <c r="DB276" s="23" t="str">
        <f t="shared" si="263"/>
        <v>F0-M96-XM01</v>
      </c>
      <c r="DC276" s="23" t="str">
        <f t="shared" si="264"/>
        <v>F0-M96-A1</v>
      </c>
      <c r="DD276" s="23" t="str">
        <f t="shared" si="265"/>
        <v>F0-M96-A5</v>
      </c>
      <c r="DE276" s="23" t="str">
        <f t="shared" si="266"/>
        <v>F0-M96-A11</v>
      </c>
      <c r="DF276" s="23" t="str">
        <f t="shared" si="267"/>
        <v>F0-M96-A12</v>
      </c>
      <c r="DG276" s="23" t="str">
        <f t="shared" si="268"/>
        <v>F0-M96-A19</v>
      </c>
      <c r="DH276" s="23" t="str">
        <f t="shared" si="269"/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8" ht="15.75" thickBot="1" x14ac:dyDescent="0.3">
      <c r="A277" s="83" t="s">
        <v>1852</v>
      </c>
      <c r="B277" s="83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3048</v>
      </c>
      <c r="W277" s="11" t="s">
        <v>3049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А3.37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SUM(IF(ISNUMBER(FIND("TmAi",$BE$1:$AAQ$1)),IF(IFERROR(ISODD(SUBSTITUTE($BE277:$AAQ277,"A","")),FALSE),IF(ISODD(SUBSTITUTE($BE277:$AAQ277,"A","")),1,0),0)))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 t="shared" si="276"/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SUM(IF(ISNUMBER(FIND("TmDi",$BE$1:$AAQ$1)),IF(IFERROR(ISNUMBER(VALUE(SUBSTITUTE($BE277:$AAQ277,"B",""))),FALSE),IF(ISNUMBER(VALUE(SUBSTITUTE($BE277:$AAQ277,"B",""))),1,0),0)))</f>
        <v>4</v>
      </c>
      <c r="AF277" t="str">
        <f t="shared" si="270"/>
        <v>C11</v>
      </c>
      <c r="AG277" t="str">
        <f t="shared" si="271"/>
        <v>B11</v>
      </c>
      <c r="AH277" t="str">
        <f t="shared" si="272"/>
        <v>A6.9</v>
      </c>
      <c r="AI277" s="62">
        <f t="array" ref="AI277">IF(COUNTIFS(AH$2:AH277,AH277)=1,"1",VALUE(SUBSTITUTE(INDEX(AI:AI,_xlfn.XMATCH(AH277,AH$1:AH276,0,-1)),"A",""))+INDEX(AJ:AJ,_xlfn.XMATCH(AH277,AH$1:AH276,0,-1))+1)</f>
        <v>6</v>
      </c>
      <c r="AJ277" s="62">
        <f t="array" ref="AJ277">SUM(IF(ISNUMBER(FIND("TmDo",$BE$1:$AAQ$1)),IF(IFERROR(ISNUMBER(VALUE(SUBSTITUTE($BE277:$AAQ277,"B",""))),FALSE),IF(ISNUMBER(VALUE(SUBSTITUTE($BE277:$AAQ277,"B",""))),1,0),0)))</f>
        <v>1</v>
      </c>
      <c r="AK277" s="11" t="str">
        <f t="shared" si="244"/>
        <v>6A</v>
      </c>
      <c r="AL277" s="11" t="str">
        <f t="shared" si="245"/>
        <v>6B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CONCATENATE(REPLACE(AK277,LEN(AK277),1,"")+1,"A")</f>
        <v>7A</v>
      </c>
      <c r="HF277" s="12" t="str">
        <f>CONCATENATE(REPLACE(AL277,LEN(AL277),1,"")+1,"B")</f>
        <v>7B</v>
      </c>
      <c r="HG277" s="12" t="str">
        <f>CONCATENATE("AI",REPLACE($X277,1,3,""),"-",AA277)</f>
        <v>AI37-11A</v>
      </c>
      <c r="HH277" s="12" t="str">
        <f>CONCATENATE("AI",REPLACE($X277,1,3,""),"-",AB277)</f>
        <v>AI37-11B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82">CONCATENATE("DI",REPLACE($AC277,1,3,""),"-",GU277)</f>
        <v>DI16-C12</v>
      </c>
      <c r="HL277" s="12" t="str">
        <f t="shared" si="282"/>
        <v>DI16-B12</v>
      </c>
      <c r="HM277" s="12" t="str">
        <f t="shared" si="282"/>
        <v>DI16-C13</v>
      </c>
      <c r="HN277" s="12" t="str">
        <f t="shared" si="282"/>
        <v>DI16-B13</v>
      </c>
      <c r="HO277" s="12" t="str">
        <f t="shared" si="282"/>
        <v>DI16-C14</v>
      </c>
      <c r="HP277" s="12" t="str">
        <f t="shared" si="282"/>
        <v>DI16-B14</v>
      </c>
      <c r="HQ277" s="12" t="str">
        <f t="shared" si="282"/>
        <v>DI16-C15</v>
      </c>
      <c r="HR277" s="12" t="str">
        <f t="shared" si="282"/>
        <v>DI16-B15</v>
      </c>
      <c r="HS277" s="12" t="str">
        <f t="shared" si="282"/>
        <v>DI16-</v>
      </c>
      <c r="HT277" s="12" t="str">
        <f t="shared" si="282"/>
        <v>DI16-</v>
      </c>
      <c r="HU277" s="12" t="str">
        <f>CONCATENATE("DO",REPLACE($AH277,1,3,""),"-",AK277)</f>
        <v>DO9-6A</v>
      </c>
      <c r="HV277" s="12" t="str">
        <f>CONCATENATE("DO",REPLACE($AH277,1,3,""),"-",AL277)</f>
        <v>DO9-6B</v>
      </c>
      <c r="HW277" s="12" t="str">
        <f>CONCATENATE("DO",REPLACE($AH277,1,3,""),"-",HE277)</f>
        <v>DO9-7A</v>
      </c>
      <c r="HX277" s="12" t="str">
        <f>CONCATENATE("DO",REPLACE($AH277,1,3,""),"-",HF277)</f>
        <v>DO9-7B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8" ht="15.75" thickBot="1" x14ac:dyDescent="0.3">
      <c r="A278" s="83" t="s">
        <v>1853</v>
      </c>
      <c r="B278" s="83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3050</v>
      </c>
      <c r="W278" s="22"/>
      <c r="X278" s="23"/>
      <c r="Y278" s="23"/>
      <c r="Z278" s="23"/>
      <c r="AA278" s="23"/>
      <c r="AB278" s="23"/>
      <c r="AC278" t="str">
        <f t="shared" si="276"/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SUM(IF(ISNUMBER(FIND("TmDi",$BE$1:$AAQ$1)),IF(IFERROR(ISNUMBER(VALUE(SUBSTITUTE($BE278:$AAQ278,"B",""))),FALSE),IF(ISNUMBER(VALUE(SUBSTITUTE($BE278:$AAQ278,"B",""))),1,0),0)))</f>
        <v>4</v>
      </c>
      <c r="AF278" t="str">
        <f t="shared" si="270"/>
        <v>C16</v>
      </c>
      <c r="AG278" t="str">
        <f t="shared" si="271"/>
        <v>B16</v>
      </c>
      <c r="AH278" t="str">
        <f t="shared" si="272"/>
        <v>A6.9</v>
      </c>
      <c r="AI278" s="62">
        <f t="array" ref="AI278">IF(COUNTIFS(AH$2:AH278,AH278)=1,"1",VALUE(SUBSTITUTE(INDEX(AI:AI,_xlfn.XMATCH(AH278,AH$1:AH277,0,-1)),"A",""))+INDEX(AJ:AJ,_xlfn.XMATCH(AH278,AH$1:AH277,0,-1))+1)</f>
        <v>8</v>
      </c>
      <c r="AJ278" s="62">
        <f t="array" ref="AJ278">SUM(IF(ISNUMBER(FIND("TmDo",$BE$1:$AAQ$1)),IF(IFERROR(ISNUMBER(VALUE(SUBSTITUTE($BE278:$AAQ278,"B",""))),FALSE),IF(ISNUMBER(VALUE(SUBSTITUTE($BE278:$AAQ278,"B",""))),1,0),0)))</f>
        <v>2</v>
      </c>
      <c r="AK278" s="11" t="str">
        <f t="shared" si="244"/>
        <v>8A</v>
      </c>
      <c r="AL278" s="11" t="str">
        <f t="shared" si="245"/>
        <v>8B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CONCATENATE(REPLACE(AK278,LEN(AK278),1,"")+1,"A")</f>
        <v>9A</v>
      </c>
      <c r="BQ278" s="23" t="str">
        <f>CONCATENATE(REPLACE(AL278,LEN(AL278),1,"")+1,"B")</f>
        <v>9B</v>
      </c>
      <c r="BR278" s="23" t="str">
        <f>CONCATENATE(REPLACE(BP278,LEN(BP278),1,"")+1,"A")</f>
        <v>10A</v>
      </c>
      <c r="BS278" s="23" t="str">
        <f>CONCATENATE(REPLACE(BQ278,LEN(BQ278),1,"")+1,"B")</f>
        <v>10B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83">CONCATENATE("DI",REPLACE($AC278,1,3,""),"-",BF278)</f>
        <v>DI16-C17</v>
      </c>
      <c r="BW278" s="23" t="str">
        <f t="shared" si="283"/>
        <v>DI16-B17</v>
      </c>
      <c r="BX278" s="23" t="str">
        <f t="shared" si="283"/>
        <v>DI16-C18</v>
      </c>
      <c r="BY278" s="23" t="str">
        <f t="shared" si="283"/>
        <v>DI16-B18</v>
      </c>
      <c r="BZ278" s="23" t="str">
        <f t="shared" si="283"/>
        <v>DI16-C19</v>
      </c>
      <c r="CA278" s="23" t="str">
        <f t="shared" si="283"/>
        <v>DI16-B19</v>
      </c>
      <c r="CB278" s="23" t="str">
        <f t="shared" si="283"/>
        <v>DI16-C20</v>
      </c>
      <c r="CC278" s="23" t="str">
        <f t="shared" si="283"/>
        <v>DI16-B20</v>
      </c>
      <c r="CD278" s="23" t="str">
        <f t="shared" si="283"/>
        <v>DI16-</v>
      </c>
      <c r="CE278" s="23" t="str">
        <f t="shared" si="283"/>
        <v>DI16-</v>
      </c>
      <c r="CF278" s="23" t="str">
        <f>CONCATENATE("DO",REPLACE($AH278,1,3,""),"-",AK278)</f>
        <v>DO9-8A</v>
      </c>
      <c r="CG278" s="23" t="str">
        <f>CONCATENATE("DO",REPLACE($AH278,1,3,""),"-",AL278)</f>
        <v>DO9-8B</v>
      </c>
      <c r="CH278" s="23" t="str">
        <f>CONCATENATE("DO",REPLACE($AH278,1,3,""),"-",BP278)</f>
        <v>DO9-9A</v>
      </c>
      <c r="CI278" s="23" t="str">
        <f>CONCATENATE("DO",REPLACE($AH278,1,3,""),"-",BQ278)</f>
        <v>DO9-9B</v>
      </c>
      <c r="CJ278" s="23" t="str">
        <f>CONCATENATE("DO",REPLACE($AH278,1,3,""),"-",BR278)</f>
        <v>DO9-10A</v>
      </c>
      <c r="CK278" s="23" t="str">
        <f>CONCATENATE("DO",REPLACE($AH278,1,3,""),"-",BS278)</f>
        <v>DO9-10B</v>
      </c>
      <c r="CL278" s="23" t="str">
        <f t="shared" si="248"/>
        <v>K98-10</v>
      </c>
      <c r="CM278" s="23" t="str">
        <f t="shared" si="249"/>
        <v>K98-03</v>
      </c>
      <c r="CN278" s="23" t="str">
        <f t="shared" si="250"/>
        <v>K98-04</v>
      </c>
      <c r="CO278" s="23" t="str">
        <f t="shared" si="251"/>
        <v>K98-01</v>
      </c>
      <c r="CP278" s="23" t="str">
        <f t="shared" si="252"/>
        <v>K98-08</v>
      </c>
      <c r="CQ278" s="23" t="str">
        <f t="shared" si="253"/>
        <v>K98-02</v>
      </c>
      <c r="CR278" s="23" t="str">
        <f t="shared" si="254"/>
        <v>K98-09</v>
      </c>
      <c r="CS278" s="23" t="str">
        <f t="shared" si="255"/>
        <v>K98-05</v>
      </c>
      <c r="CT278" s="23" t="str">
        <f t="shared" si="256"/>
        <v>K98-11</v>
      </c>
      <c r="CU278" s="23" t="str">
        <f t="shared" si="257"/>
        <v>F0-M98-A9</v>
      </c>
      <c r="CV278" s="23" t="str">
        <f t="shared" si="258"/>
        <v>F0-M98-A7</v>
      </c>
      <c r="CW278" s="23" t="str">
        <f t="shared" si="259"/>
        <v>F0-M98-A8</v>
      </c>
      <c r="CX278" s="23" t="str">
        <f t="shared" si="260"/>
        <v>F0-M98-A6</v>
      </c>
      <c r="CY278" s="23" t="str">
        <f t="shared" si="261"/>
        <v>F0-M98-A30</v>
      </c>
      <c r="CZ278" s="23" t="str">
        <f t="shared" si="262"/>
        <v>F0-M98-N</v>
      </c>
      <c r="DA278" s="23" t="str">
        <f>CONCATENATE($T278,"-A220-M",U278)</f>
        <v>F0-A220-M98</v>
      </c>
      <c r="DB278" s="23" t="str">
        <f t="shared" si="263"/>
        <v>F0-M98-XM01</v>
      </c>
      <c r="DC278" s="23" t="str">
        <f t="shared" si="264"/>
        <v>F0-M98-A1</v>
      </c>
      <c r="DD278" s="23" t="str">
        <f t="shared" si="265"/>
        <v>F0-M98-A5</v>
      </c>
      <c r="DE278" s="23" t="str">
        <f t="shared" si="266"/>
        <v>F0-M98-A11</v>
      </c>
      <c r="DF278" s="23" t="str">
        <f t="shared" si="267"/>
        <v>F0-M98-A12</v>
      </c>
      <c r="DG278" s="23" t="str">
        <f t="shared" si="268"/>
        <v>F0-M98-A19</v>
      </c>
      <c r="DH278" s="23" t="str">
        <f t="shared" si="269"/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8" ht="15.75" thickBot="1" x14ac:dyDescent="0.3">
      <c r="A279" s="83" t="s">
        <v>1854</v>
      </c>
      <c r="B279" s="83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3051</v>
      </c>
      <c r="W279" s="11" t="s">
        <v>3052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А3.37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SUM(IF(ISNUMBER(FIND("TmAi",$BE$1:$AAQ$1)),IF(IFERROR(ISODD(SUBSTITUTE($BE279:$AAQ279,"A","")),FALSE),IF(ISODD(SUBSTITUTE($BE279:$AAQ279,"A","")),1,0),0)))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SUM(IF(ISNUMBER(FIND("TmDi",$BE$1:$AAQ$1)),IF(IFERROR(ISNUMBER(VALUE(SUBSTITUTE($BE279:$AAQ279,"B",""))),FALSE),IF(ISNUMBER(VALUE(SUBSTITUTE($BE279:$AAQ279,"B",""))),1,0),0)))</f>
        <v>4</v>
      </c>
      <c r="AF279" t="str">
        <f t="shared" si="270"/>
        <v>C1</v>
      </c>
      <c r="AG279" t="str">
        <f t="shared" si="271"/>
        <v>B1</v>
      </c>
      <c r="AH279" t="str">
        <f t="shared" si="272"/>
        <v>A6.9</v>
      </c>
      <c r="AI279" s="62">
        <f t="array" ref="AI279">IF(COUNTIFS(AH$2:AH279,AH279)=1,"1",VALUE(SUBSTITUTE(INDEX(AI:AI,_xlfn.XMATCH(AH279,AH$1:AH278,0,-1)),"A",""))+INDEX(AJ:AJ,_xlfn.XMATCH(AH279,AH$1:AH278,0,-1))+1)</f>
        <v>11</v>
      </c>
      <c r="AJ279" s="62">
        <f t="array" ref="AJ279">SUM(IF(ISNUMBER(FIND("TmDo",$BE$1:$AAQ$1)),IF(IFERROR(ISNUMBER(VALUE(SUBSTITUTE($BE279:$AAQ279,"B",""))),FALSE),IF(ISNUMBER(VALUE(SUBSTITUTE($BE279:$AAQ279,"B",""))),1,0),0)))</f>
        <v>1</v>
      </c>
      <c r="AK279" s="11" t="str">
        <f t="shared" si="244"/>
        <v>11A</v>
      </c>
      <c r="AL279" s="11" t="str">
        <f t="shared" si="245"/>
        <v>11B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CONCATENATE(REPLACE(AK279,LEN(AK279),1,"")+1,"A")</f>
        <v>12A</v>
      </c>
      <c r="HF279" s="12" t="str">
        <f>CONCATENATE(REPLACE(AL279,LEN(AL279),1,"")+1,"B")</f>
        <v>12B</v>
      </c>
      <c r="HG279" s="12" t="str">
        <f>CONCATENATE("AI",REPLACE($X279,1,3,""),"-",AA279)</f>
        <v>AI37-13A</v>
      </c>
      <c r="HH279" s="12" t="str">
        <f>CONCATENATE("AI",REPLACE($X279,1,3,""),"-",AB279)</f>
        <v>AI37-13B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84">CONCATENATE("DI",REPLACE($AC279,1,3,""),"-",GU279)</f>
        <v>DI17-C2</v>
      </c>
      <c r="HL279" s="12" t="str">
        <f t="shared" si="284"/>
        <v>DI17-B2</v>
      </c>
      <c r="HM279" s="12" t="str">
        <f t="shared" si="284"/>
        <v>DI17-C3</v>
      </c>
      <c r="HN279" s="12" t="str">
        <f t="shared" si="284"/>
        <v>DI17-B3</v>
      </c>
      <c r="HO279" s="12" t="str">
        <f t="shared" si="284"/>
        <v>DI17-C4</v>
      </c>
      <c r="HP279" s="12" t="str">
        <f t="shared" si="284"/>
        <v>DI17-B4</v>
      </c>
      <c r="HQ279" s="12" t="str">
        <f t="shared" si="284"/>
        <v>DI17-C5</v>
      </c>
      <c r="HR279" s="12" t="str">
        <f t="shared" si="284"/>
        <v>DI17-B5</v>
      </c>
      <c r="HS279" s="12" t="str">
        <f t="shared" si="284"/>
        <v>DI17-</v>
      </c>
      <c r="HT279" s="12" t="str">
        <f t="shared" si="284"/>
        <v>DI17-</v>
      </c>
      <c r="HU279" s="12" t="str">
        <f>CONCATENATE("DO",REPLACE($AH279,1,3,""),"-",AK279)</f>
        <v>DO9-11A</v>
      </c>
      <c r="HV279" s="12" t="str">
        <f>CONCATENATE("DO",REPLACE($AH279,1,3,""),"-",AL279)</f>
        <v>DO9-11B</v>
      </c>
      <c r="HW279" s="12" t="str">
        <f>CONCATENATE("DO",REPLACE($AH279,1,3,""),"-",HE279)</f>
        <v>DO9-12A</v>
      </c>
      <c r="HX279" s="12" t="str">
        <f>CONCATENATE("DO",REPLACE($AH279,1,3,""),"-",HF279)</f>
        <v>DO9-12B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8" ht="15.75" thickBot="1" x14ac:dyDescent="0.3">
      <c r="A280" s="83" t="s">
        <v>1855</v>
      </c>
      <c r="B280" s="83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3053</v>
      </c>
      <c r="W280" s="22"/>
      <c r="X280" s="23"/>
      <c r="Y280" s="23"/>
      <c r="Z280" s="23"/>
      <c r="AA280" s="23"/>
      <c r="AB280" s="23"/>
      <c r="AC280" t="str">
        <f t="shared" si="276"/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SUM(IF(ISNUMBER(FIND("TmDi",$BE$1:$AAQ$1)),IF(IFERROR(ISNUMBER(VALUE(SUBSTITUTE($BE280:$AAQ280,"B",""))),FALSE),IF(ISNUMBER(VALUE(SUBSTITUTE($BE280:$AAQ280,"B",""))),1,0),0)))</f>
        <v>4</v>
      </c>
      <c r="AF280" t="str">
        <f t="shared" si="270"/>
        <v>C6</v>
      </c>
      <c r="AG280" t="str">
        <f t="shared" si="271"/>
        <v>B6</v>
      </c>
      <c r="AH280" t="str">
        <f t="shared" si="272"/>
        <v>A6.9</v>
      </c>
      <c r="AI280" s="62">
        <f t="array" ref="AI280">IF(COUNTIFS(AH$2:AH280,AH280)=1,"1",VALUE(SUBSTITUTE(INDEX(AI:AI,_xlfn.XMATCH(AH280,AH$1:AH279,0,-1)),"A",""))+INDEX(AJ:AJ,_xlfn.XMATCH(AH280,AH$1:AH279,0,-1))+1)</f>
        <v>13</v>
      </c>
      <c r="AJ280" s="62">
        <f t="array" ref="AJ280">SUM(IF(ISNUMBER(FIND("TmDo",$BE$1:$AAQ$1)),IF(IFERROR(ISNUMBER(VALUE(SUBSTITUTE($BE280:$AAQ280,"B",""))),FALSE),IF(ISNUMBER(VALUE(SUBSTITUTE($BE280:$AAQ280,"B",""))),1,0),0)))</f>
        <v>2</v>
      </c>
      <c r="AK280" s="11" t="str">
        <f t="shared" si="244"/>
        <v>13A</v>
      </c>
      <c r="AL280" s="11" t="str">
        <f t="shared" si="245"/>
        <v>13B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CONCATENATE(REPLACE(AK280,LEN(AK280),1,"")+1,"A")</f>
        <v>14A</v>
      </c>
      <c r="BQ280" s="23" t="str">
        <f>CONCATENATE(REPLACE(AL280,LEN(AL280),1,"")+1,"B")</f>
        <v>14B</v>
      </c>
      <c r="BR280" s="23" t="str">
        <f>CONCATENATE(REPLACE(BP280,LEN(BP280),1,"")+1,"A")</f>
        <v>15A</v>
      </c>
      <c r="BS280" s="23" t="str">
        <f>CONCATENATE(REPLACE(BQ280,LEN(BQ280),1,"")+1,"B")</f>
        <v>15B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85">CONCATENATE("DI",REPLACE($AC280,1,3,""),"-",BF280)</f>
        <v>DI17-C7</v>
      </c>
      <c r="BW280" s="23" t="str">
        <f t="shared" si="285"/>
        <v>DI17-B7</v>
      </c>
      <c r="BX280" s="23" t="str">
        <f t="shared" si="285"/>
        <v>DI17-C8</v>
      </c>
      <c r="BY280" s="23" t="str">
        <f t="shared" si="285"/>
        <v>DI17-B8</v>
      </c>
      <c r="BZ280" s="23" t="str">
        <f t="shared" si="285"/>
        <v>DI17-C9</v>
      </c>
      <c r="CA280" s="23" t="str">
        <f t="shared" si="285"/>
        <v>DI17-B9</v>
      </c>
      <c r="CB280" s="23" t="str">
        <f t="shared" si="285"/>
        <v>DI17-C10</v>
      </c>
      <c r="CC280" s="23" t="str">
        <f t="shared" si="285"/>
        <v>DI17-B10</v>
      </c>
      <c r="CD280" s="23" t="str">
        <f t="shared" si="285"/>
        <v>DI17-</v>
      </c>
      <c r="CE280" s="23" t="str">
        <f t="shared" si="285"/>
        <v>DI17-</v>
      </c>
      <c r="CF280" s="23" t="str">
        <f>CONCATENATE("DO",REPLACE($AH280,1,3,""),"-",AK280)</f>
        <v>DO9-13A</v>
      </c>
      <c r="CG280" s="23" t="str">
        <f>CONCATENATE("DO",REPLACE($AH280,1,3,""),"-",AL280)</f>
        <v>DO9-13B</v>
      </c>
      <c r="CH280" s="23" t="str">
        <f>CONCATENATE("DO",REPLACE($AH280,1,3,""),"-",BP280)</f>
        <v>DO9-14A</v>
      </c>
      <c r="CI280" s="23" t="str">
        <f>CONCATENATE("DO",REPLACE($AH280,1,3,""),"-",BQ280)</f>
        <v>DO9-14B</v>
      </c>
      <c r="CJ280" s="23" t="str">
        <f>CONCATENATE("DO",REPLACE($AH280,1,3,""),"-",BR280)</f>
        <v>DO9-15A</v>
      </c>
      <c r="CK280" s="23" t="str">
        <f>CONCATENATE("DO",REPLACE($AH280,1,3,""),"-",BS280)</f>
        <v>DO9-15B</v>
      </c>
      <c r="CL280" s="23" t="str">
        <f t="shared" si="248"/>
        <v>K100-10</v>
      </c>
      <c r="CM280" s="23" t="str">
        <f t="shared" si="249"/>
        <v>K100-03</v>
      </c>
      <c r="CN280" s="23" t="str">
        <f t="shared" si="250"/>
        <v>K100-04</v>
      </c>
      <c r="CO280" s="23" t="str">
        <f t="shared" si="251"/>
        <v>K100-01</v>
      </c>
      <c r="CP280" s="23" t="str">
        <f t="shared" si="252"/>
        <v>K100-08</v>
      </c>
      <c r="CQ280" s="23" t="str">
        <f t="shared" si="253"/>
        <v>K100-02</v>
      </c>
      <c r="CR280" s="23" t="str">
        <f t="shared" si="254"/>
        <v>K100-09</v>
      </c>
      <c r="CS280" s="23" t="str">
        <f t="shared" si="255"/>
        <v>K100-05</v>
      </c>
      <c r="CT280" s="23" t="str">
        <f t="shared" si="256"/>
        <v>K100-11</v>
      </c>
      <c r="CU280" s="23" t="str">
        <f t="shared" si="257"/>
        <v>F0-M100-A9</v>
      </c>
      <c r="CV280" s="23" t="str">
        <f t="shared" si="258"/>
        <v>F0-M100-A7</v>
      </c>
      <c r="CW280" s="23" t="str">
        <f t="shared" si="259"/>
        <v>F0-M100-A8</v>
      </c>
      <c r="CX280" s="23" t="str">
        <f t="shared" si="260"/>
        <v>F0-M100-A6</v>
      </c>
      <c r="CY280" s="23" t="str">
        <f t="shared" si="261"/>
        <v>F0-M100-A30</v>
      </c>
      <c r="CZ280" s="23" t="str">
        <f t="shared" si="262"/>
        <v>F0-M100-N</v>
      </c>
      <c r="DA280" s="23" t="str">
        <f>CONCATENATE($T280,"-A220-M",U280)</f>
        <v>F0-A220-M100</v>
      </c>
      <c r="DB280" s="23" t="str">
        <f t="shared" si="263"/>
        <v>F0-M100-XM01</v>
      </c>
      <c r="DC280" s="23" t="str">
        <f t="shared" si="264"/>
        <v>F0-M100-A1</v>
      </c>
      <c r="DD280" s="23" t="str">
        <f t="shared" si="265"/>
        <v>F0-M100-A5</v>
      </c>
      <c r="DE280" s="23" t="str">
        <f t="shared" si="266"/>
        <v>F0-M100-A11</v>
      </c>
      <c r="DF280" s="23" t="str">
        <f t="shared" si="267"/>
        <v>F0-M100-A12</v>
      </c>
      <c r="DG280" s="23" t="str">
        <f t="shared" si="268"/>
        <v>F0-M100-A19</v>
      </c>
      <c r="DH280" s="23" t="str">
        <f t="shared" si="269"/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8" ht="15.75" thickBot="1" x14ac:dyDescent="0.3">
      <c r="A281" s="83" t="s">
        <v>1856</v>
      </c>
      <c r="B281" s="83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3054</v>
      </c>
      <c r="W281" s="11" t="s">
        <v>3055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А3.37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SUM(IF(ISNUMBER(FIND("TmAi",$BE$1:$AAQ$1)),IF(IFERROR(ISODD(SUBSTITUTE($BE281:$AAQ281,"A","")),FALSE),IF(ISODD(SUBSTITUTE($BE281:$AAQ281,"A","")),1,0),0)))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 t="shared" si="276"/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SUM(IF(ISNUMBER(FIND("TmDi",$BE$1:$AAQ$1)),IF(IFERROR(ISNUMBER(VALUE(SUBSTITUTE($BE281:$AAQ281,"B",""))),FALSE),IF(ISNUMBER(VALUE(SUBSTITUTE($BE281:$AAQ281,"B",""))),1,0),0)))</f>
        <v>4</v>
      </c>
      <c r="AF281" t="str">
        <f t="shared" si="270"/>
        <v>C11</v>
      </c>
      <c r="AG281" t="str">
        <f t="shared" si="271"/>
        <v>B11</v>
      </c>
      <c r="AH281" t="str">
        <f t="shared" si="272"/>
        <v>A6.9</v>
      </c>
      <c r="AI281" s="62">
        <f t="array" ref="AI281">IF(COUNTIFS(AH$2:AH281,AH281)=1,"1",VALUE(SUBSTITUTE(INDEX(AI:AI,_xlfn.XMATCH(AH281,AH$1:AH280,0,-1)),"A",""))+INDEX(AJ:AJ,_xlfn.XMATCH(AH281,AH$1:AH280,0,-1))+1)</f>
        <v>16</v>
      </c>
      <c r="AJ281" s="62">
        <f t="array" ref="AJ281">SUM(IF(ISNUMBER(FIND("TmDo",$BE$1:$AAQ$1)),IF(IFERROR(ISNUMBER(VALUE(SUBSTITUTE($BE281:$AAQ281,"B",""))),FALSE),IF(ISNUMBER(VALUE(SUBSTITUTE($BE281:$AAQ281,"B",""))),1,0),0)))</f>
        <v>1</v>
      </c>
      <c r="AK281" s="11" t="str">
        <f t="shared" si="244"/>
        <v>16A</v>
      </c>
      <c r="AL281" s="11" t="str">
        <f t="shared" si="245"/>
        <v>16B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CONCATENATE(REPLACE(AK281,LEN(AK281),1,"")+1,"A")</f>
        <v>17A</v>
      </c>
      <c r="HF281" s="12" t="str">
        <f>CONCATENATE(REPLACE(AL281,LEN(AL281),1,"")+1,"B")</f>
        <v>17B</v>
      </c>
      <c r="HG281" s="12" t="str">
        <f>CONCATENATE("AI",REPLACE($X281,1,3,""),"-",AA281)</f>
        <v>AI37-15A</v>
      </c>
      <c r="HH281" s="12" t="str">
        <f>CONCATENATE("AI",REPLACE($X281,1,3,""),"-",AB281)</f>
        <v>AI37-15B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86">CONCATENATE("DI",REPLACE($AC281,1,3,""),"-",GU281)</f>
        <v>DI17-C12</v>
      </c>
      <c r="HL281" s="12" t="str">
        <f t="shared" si="286"/>
        <v>DI17-B12</v>
      </c>
      <c r="HM281" s="12" t="str">
        <f t="shared" si="286"/>
        <v>DI17-C13</v>
      </c>
      <c r="HN281" s="12" t="str">
        <f t="shared" si="286"/>
        <v>DI17-B13</v>
      </c>
      <c r="HO281" s="12" t="str">
        <f t="shared" si="286"/>
        <v>DI17-C14</v>
      </c>
      <c r="HP281" s="12" t="str">
        <f t="shared" si="286"/>
        <v>DI17-B14</v>
      </c>
      <c r="HQ281" s="12" t="str">
        <f t="shared" si="286"/>
        <v>DI17-C15</v>
      </c>
      <c r="HR281" s="12" t="str">
        <f t="shared" si="286"/>
        <v>DI17-B15</v>
      </c>
      <c r="HS281" s="12" t="str">
        <f t="shared" si="286"/>
        <v>DI17-</v>
      </c>
      <c r="HT281" s="12" t="str">
        <f t="shared" si="286"/>
        <v>DI17-</v>
      </c>
      <c r="HU281" s="12" t="str">
        <f>CONCATENATE("DO",REPLACE($AH281,1,3,""),"-",AK281)</f>
        <v>DO9-16A</v>
      </c>
      <c r="HV281" s="12" t="str">
        <f>CONCATENATE("DO",REPLACE($AH281,1,3,""),"-",AL281)</f>
        <v>DO9-16B</v>
      </c>
      <c r="HW281" s="12" t="str">
        <f>CONCATENATE("DO",REPLACE($AH281,1,3,""),"-",HE281)</f>
        <v>DO9-17A</v>
      </c>
      <c r="HX281" s="12" t="str">
        <f>CONCATENATE("DO",REPLACE($AH281,1,3,""),"-",HF281)</f>
        <v>DO9-17B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8" ht="15.75" thickBot="1" x14ac:dyDescent="0.3">
      <c r="A282" s="83" t="s">
        <v>1857</v>
      </c>
      <c r="B282" s="83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3056</v>
      </c>
      <c r="W282" s="22"/>
      <c r="X282" s="23"/>
      <c r="Y282" s="23"/>
      <c r="Z282" s="23"/>
      <c r="AA282" s="23"/>
      <c r="AB282" s="23"/>
      <c r="AC282" t="str">
        <f t="shared" si="276"/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SUM(IF(ISNUMBER(FIND("TmDi",$BE$1:$AAQ$1)),IF(IFERROR(ISNUMBER(VALUE(SUBSTITUTE($BE282:$AAQ282,"B",""))),FALSE),IF(ISNUMBER(VALUE(SUBSTITUTE($BE282:$AAQ282,"B",""))),1,0),0)))</f>
        <v>4</v>
      </c>
      <c r="AF282" t="str">
        <f t="shared" si="270"/>
        <v>C16</v>
      </c>
      <c r="AG282" t="str">
        <f t="shared" si="271"/>
        <v>B16</v>
      </c>
      <c r="AH282" t="str">
        <f t="shared" si="272"/>
        <v>A6.9</v>
      </c>
      <c r="AI282" s="62">
        <f t="array" ref="AI282">IF(COUNTIFS(AH$2:AH282,AH282)=1,"1",VALUE(SUBSTITUTE(INDEX(AI:AI,_xlfn.XMATCH(AH282,AH$1:AH281,0,-1)),"A",""))+INDEX(AJ:AJ,_xlfn.XMATCH(AH282,AH$1:AH281,0,-1))+1)</f>
        <v>18</v>
      </c>
      <c r="AJ282" s="62">
        <f t="array" ref="AJ282">SUM(IF(ISNUMBER(FIND("TmDo",$BE$1:$AAQ$1)),IF(IFERROR(ISNUMBER(VALUE(SUBSTITUTE($BE282:$AAQ282,"B",""))),FALSE),IF(ISNUMBER(VALUE(SUBSTITUTE($BE282:$AAQ282,"B",""))),1,0),0)))</f>
        <v>2</v>
      </c>
      <c r="AK282" s="11" t="str">
        <f t="shared" si="244"/>
        <v>18A</v>
      </c>
      <c r="AL282" s="11" t="str">
        <f t="shared" si="245"/>
        <v>18B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CONCATENATE(REPLACE(AK282,LEN(AK282),1,"")+1,"A")</f>
        <v>19A</v>
      </c>
      <c r="BQ282" s="23" t="str">
        <f>CONCATENATE(REPLACE(AL282,LEN(AL282),1,"")+1,"B")</f>
        <v>19B</v>
      </c>
      <c r="BR282" s="23" t="str">
        <f>CONCATENATE(REPLACE(BP282,LEN(BP282),1,"")+1,"A")</f>
        <v>20A</v>
      </c>
      <c r="BS282" s="23" t="str">
        <f>CONCATENATE(REPLACE(BQ282,LEN(BQ282),1,"")+1,"B")</f>
        <v>20B</v>
      </c>
      <c r="BT282" s="23" t="str">
        <f t="shared" ref="BT282:BU285" si="287">CONCATENATE("DI",REPLACE($AC282,1,3,""),"-",AF282)</f>
        <v>DI17-C16</v>
      </c>
      <c r="BU282" s="23" t="str">
        <f t="shared" si="287"/>
        <v>DI17-B16</v>
      </c>
      <c r="BV282" s="23" t="str">
        <f t="shared" ref="BV282:CE285" si="288">CONCATENATE("DI",REPLACE($AC282,1,3,""),"-",BF282)</f>
        <v>DI17-C17</v>
      </c>
      <c r="BW282" s="23" t="str">
        <f t="shared" si="288"/>
        <v>DI17-B17</v>
      </c>
      <c r="BX282" s="23" t="str">
        <f t="shared" si="288"/>
        <v>DI17-C18</v>
      </c>
      <c r="BY282" s="23" t="str">
        <f t="shared" si="288"/>
        <v>DI17-B18</v>
      </c>
      <c r="BZ282" s="23" t="str">
        <f t="shared" si="288"/>
        <v>DI17-C19</v>
      </c>
      <c r="CA282" s="23" t="str">
        <f t="shared" si="288"/>
        <v>DI17-B19</v>
      </c>
      <c r="CB282" s="23" t="str">
        <f t="shared" si="288"/>
        <v>DI17-C20</v>
      </c>
      <c r="CC282" s="23" t="str">
        <f t="shared" si="288"/>
        <v>DI17-B20</v>
      </c>
      <c r="CD282" s="23" t="str">
        <f t="shared" si="288"/>
        <v>DI17-</v>
      </c>
      <c r="CE282" s="23" t="str">
        <f t="shared" si="288"/>
        <v>DI17-</v>
      </c>
      <c r="CF282" s="23" t="str">
        <f t="shared" ref="CF282:CG285" si="289">CONCATENATE("DO",REPLACE($AH282,1,3,""),"-",AK282)</f>
        <v>DO9-18A</v>
      </c>
      <c r="CG282" s="23" t="str">
        <f t="shared" si="289"/>
        <v>DO9-18B</v>
      </c>
      <c r="CH282" s="23" t="str">
        <f t="shared" ref="CH282:CK285" si="290">CONCATENATE("DO",REPLACE($AH282,1,3,""),"-",BP282)</f>
        <v>DO9-19A</v>
      </c>
      <c r="CI282" s="23" t="str">
        <f t="shared" si="290"/>
        <v>DO9-19B</v>
      </c>
      <c r="CJ282" s="23" t="str">
        <f t="shared" si="290"/>
        <v>DO9-20A</v>
      </c>
      <c r="CK282" s="23" t="str">
        <f t="shared" si="290"/>
        <v>DO9-20B</v>
      </c>
      <c r="CL282" s="23" t="str">
        <f t="shared" si="248"/>
        <v>K102-10</v>
      </c>
      <c r="CM282" s="23" t="str">
        <f t="shared" si="249"/>
        <v>K102-03</v>
      </c>
      <c r="CN282" s="23" t="str">
        <f t="shared" si="250"/>
        <v>K102-04</v>
      </c>
      <c r="CO282" s="23" t="str">
        <f t="shared" si="251"/>
        <v>K102-01</v>
      </c>
      <c r="CP282" s="23" t="str">
        <f t="shared" si="252"/>
        <v>K102-08</v>
      </c>
      <c r="CQ282" s="23" t="str">
        <f t="shared" si="253"/>
        <v>K102-02</v>
      </c>
      <c r="CR282" s="23" t="str">
        <f t="shared" si="254"/>
        <v>K102-09</v>
      </c>
      <c r="CS282" s="23" t="str">
        <f t="shared" si="255"/>
        <v>K102-05</v>
      </c>
      <c r="CT282" s="23" t="str">
        <f t="shared" si="256"/>
        <v>K102-11</v>
      </c>
      <c r="CU282" s="23" t="str">
        <f t="shared" si="257"/>
        <v>F0-M102-A9</v>
      </c>
      <c r="CV282" s="23" t="str">
        <f t="shared" si="258"/>
        <v>F0-M102-A7</v>
      </c>
      <c r="CW282" s="23" t="str">
        <f t="shared" si="259"/>
        <v>F0-M102-A8</v>
      </c>
      <c r="CX282" s="23" t="str">
        <f t="shared" si="260"/>
        <v>F0-M102-A6</v>
      </c>
      <c r="CY282" s="23" t="str">
        <f t="shared" si="261"/>
        <v>F0-M102-A30</v>
      </c>
      <c r="CZ282" s="23" t="str">
        <f t="shared" si="262"/>
        <v>F0-M102-N</v>
      </c>
      <c r="DA282" s="23" t="str">
        <f>CONCATENATE($T282,"-A220-M",U282)</f>
        <v>F0-A220-M102</v>
      </c>
      <c r="DB282" s="23" t="str">
        <f t="shared" si="263"/>
        <v>F0-M102-XM01</v>
      </c>
      <c r="DC282" s="23" t="str">
        <f t="shared" si="264"/>
        <v>F0-M102-A1</v>
      </c>
      <c r="DD282" s="23" t="str">
        <f t="shared" si="265"/>
        <v>F0-M102-A5</v>
      </c>
      <c r="DE282" s="23" t="str">
        <f t="shared" si="266"/>
        <v>F0-M102-A11</v>
      </c>
      <c r="DF282" s="23" t="str">
        <f t="shared" si="267"/>
        <v>F0-M102-A12</v>
      </c>
      <c r="DG282" s="23" t="str">
        <f t="shared" si="268"/>
        <v>F0-M102-A19</v>
      </c>
      <c r="DH282" s="23" t="str">
        <f t="shared" si="269"/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8" ht="15.75" thickBot="1" x14ac:dyDescent="0.3">
      <c r="A283" s="83" t="s">
        <v>1859</v>
      </c>
      <c r="B283" s="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3057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SUM(IF(ISNUMBER(FIND("TmDi",$BE$1:$AAQ$1)),IF(IFERROR(ISNUMBER(VALUE(SUBSTITUTE($BE283:$AAQ283,"B",""))),FALSE),IF(ISNUMBER(VALUE(SUBSTITUTE($BE283:$AAQ283,"B",""))),1,0),0)))</f>
        <v>5</v>
      </c>
      <c r="AF283" t="str">
        <f t="shared" si="270"/>
        <v>C1</v>
      </c>
      <c r="AG283" t="str">
        <f t="shared" si="271"/>
        <v>B1</v>
      </c>
      <c r="AH283" s="19" t="s">
        <v>1862</v>
      </c>
      <c r="AI283" s="62" t="str">
        <f t="array" ref="AI283">IF(COUNTIFS(AH$2:AH283,AH283)=1,"1",VALUE(SUBSTITUTE(INDEX(AI:AI,_xlfn.XMATCH(AH283,AH$1:AH282,0,-1)),"A",""))+INDEX(AJ:AJ,_xlfn.XMATCH(AH283,AH$1:AH282,0,-1))+1)</f>
        <v>1</v>
      </c>
      <c r="AJ283" s="62">
        <f t="array" ref="AJ283">SUM(IF(ISNUMBER(FIND("TmDo",$BE$1:$AAQ$1)),IF(IFERROR(ISNUMBER(VALUE(SUBSTITUTE($BE283:$AAQ283,"B",""))),FALSE),IF(ISNUMBER(VALUE(SUBSTITUTE($BE283:$AAQ283,"B",""))),1,0),0)))</f>
        <v>2</v>
      </c>
      <c r="AK283" s="19" t="str">
        <f>CONCATENATE($AI283,"A")</f>
        <v>1A</v>
      </c>
      <c r="AL283" s="19" t="str">
        <f>CONCATENATE($AI283,"B")</f>
        <v>1B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CONCATENATE(REPLACE(AK283,LEN(AK283),1,"")+1,"A")</f>
        <v>2A</v>
      </c>
      <c r="BQ283" s="19" t="str">
        <f>CONCATENATE(REPLACE(AL283,LEN(AL283),1,"")+1,"B")</f>
        <v>2B</v>
      </c>
      <c r="BR283" s="19" t="str">
        <f>CONCATENATE(REPLACE(BP283,LEN(BP283),1,"")+1,"A")</f>
        <v>3A</v>
      </c>
      <c r="BS283" s="19" t="str">
        <f>CONCATENATE(REPLACE(BQ283,LEN(BQ283),1,"")+1,"B")</f>
        <v>3B</v>
      </c>
      <c r="BT283" s="19" t="str">
        <f t="shared" si="287"/>
        <v>DI18-C1</v>
      </c>
      <c r="BU283" s="19" t="str">
        <f t="shared" si="287"/>
        <v>DI18-B1</v>
      </c>
      <c r="BV283" s="19" t="str">
        <f t="shared" si="288"/>
        <v>DI18-C2</v>
      </c>
      <c r="BW283" s="19" t="str">
        <f t="shared" si="288"/>
        <v>DI18-B2</v>
      </c>
      <c r="BX283" s="19" t="str">
        <f t="shared" si="288"/>
        <v>DI18-C3</v>
      </c>
      <c r="BY283" s="19" t="str">
        <f t="shared" si="288"/>
        <v>DI18-B3</v>
      </c>
      <c r="BZ283" s="19" t="str">
        <f t="shared" si="288"/>
        <v>DI18-C4</v>
      </c>
      <c r="CA283" s="19" t="str">
        <f t="shared" si="288"/>
        <v>DI18-B4</v>
      </c>
      <c r="CB283" s="19" t="str">
        <f t="shared" si="288"/>
        <v>DI18-C5</v>
      </c>
      <c r="CC283" s="19" t="str">
        <f t="shared" si="288"/>
        <v>DI18-B5</v>
      </c>
      <c r="CD283" s="19" t="str">
        <f t="shared" si="288"/>
        <v>DI18-C6</v>
      </c>
      <c r="CE283" s="19" t="str">
        <f t="shared" si="288"/>
        <v>DI18-B6</v>
      </c>
      <c r="CF283" s="19" t="str">
        <f t="shared" si="289"/>
        <v>DO10-1A</v>
      </c>
      <c r="CG283" s="19" t="str">
        <f t="shared" si="289"/>
        <v>DO10-1B</v>
      </c>
      <c r="CH283" s="19" t="str">
        <f t="shared" si="290"/>
        <v>DO10-2A</v>
      </c>
      <c r="CI283" s="19" t="str">
        <f t="shared" si="290"/>
        <v>DO10-2B</v>
      </c>
      <c r="CJ283" s="19" t="str">
        <f t="shared" si="290"/>
        <v>DO10-3A</v>
      </c>
      <c r="CK283" s="19" t="str">
        <f t="shared" si="290"/>
        <v>DO10-3B</v>
      </c>
      <c r="CL283" s="19" t="str">
        <f t="shared" si="248"/>
        <v>K103-10</v>
      </c>
      <c r="CM283" s="19" t="str">
        <f t="shared" si="249"/>
        <v>K103-03</v>
      </c>
      <c r="CN283" s="19" t="str">
        <f t="shared" si="250"/>
        <v>K103-04</v>
      </c>
      <c r="CO283" s="19" t="str">
        <f t="shared" si="251"/>
        <v>K103-01</v>
      </c>
      <c r="CP283" s="19" t="str">
        <f t="shared" si="252"/>
        <v>K103-08</v>
      </c>
      <c r="CQ283" s="19" t="str">
        <f t="shared" si="253"/>
        <v>K103-02</v>
      </c>
      <c r="CR283" s="19" t="str">
        <f t="shared" si="254"/>
        <v>K103-09</v>
      </c>
      <c r="CS283" s="19" t="str">
        <f t="shared" si="255"/>
        <v>K103-05</v>
      </c>
      <c r="CT283" s="19" t="str">
        <f t="shared" si="256"/>
        <v>K103-11</v>
      </c>
      <c r="CU283" s="19" t="str">
        <f t="shared" si="257"/>
        <v>F0-M103-A9</v>
      </c>
      <c r="CV283" s="19" t="str">
        <f t="shared" si="258"/>
        <v>F0-M103-A7</v>
      </c>
      <c r="CW283" s="19" t="str">
        <f t="shared" si="259"/>
        <v>F0-M103-A8</v>
      </c>
      <c r="CX283" s="19" t="str">
        <f t="shared" si="260"/>
        <v>F0-M103-A6</v>
      </c>
      <c r="CY283" s="19" t="str">
        <f t="shared" si="261"/>
        <v>F0-M103-A30</v>
      </c>
      <c r="CZ283" s="19" t="str">
        <f t="shared" si="262"/>
        <v>F0-M103-N</v>
      </c>
      <c r="DA283" s="19" t="str">
        <f>CONCATENATE($T283,"-A220-M",U283)</f>
        <v>F0-A220-M103</v>
      </c>
      <c r="DB283" s="19" t="str">
        <f t="shared" si="263"/>
        <v>F0-M103-XM01</v>
      </c>
      <c r="DC283" s="19" t="str">
        <f t="shared" si="264"/>
        <v>F0-M103-A1</v>
      </c>
      <c r="DD283" s="19" t="str">
        <f t="shared" si="265"/>
        <v>F0-M103-A5</v>
      </c>
      <c r="DE283" s="19" t="str">
        <f t="shared" si="266"/>
        <v>F0-M103-A11</v>
      </c>
      <c r="DF283" s="19" t="str">
        <f t="shared" si="267"/>
        <v>F0-M103-A12</v>
      </c>
      <c r="DG283" s="19" t="str">
        <f t="shared" si="268"/>
        <v>F0-M103-A19</v>
      </c>
      <c r="DH283" s="19" t="str">
        <f t="shared" si="269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8" ht="15.75" thickBot="1" x14ac:dyDescent="0.3">
      <c r="A284" s="83" t="s">
        <v>1863</v>
      </c>
      <c r="B284" s="83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3058</v>
      </c>
      <c r="W284" s="18"/>
      <c r="X284" s="19"/>
      <c r="Y284" s="19"/>
      <c r="Z284" s="19"/>
      <c r="AA284" s="19"/>
      <c r="AB284" s="19"/>
      <c r="AC284" t="str">
        <f t="shared" si="276"/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SUM(IF(ISNUMBER(FIND("TmDi",$BE$1:$AAQ$1)),IF(IFERROR(ISNUMBER(VALUE(SUBSTITUTE($BE284:$AAQ284,"B",""))),FALSE),IF(ISNUMBER(VALUE(SUBSTITUTE($BE284:$AAQ284,"B",""))),1,0),0)))</f>
        <v>5</v>
      </c>
      <c r="AF284" t="str">
        <f t="shared" si="270"/>
        <v>C7</v>
      </c>
      <c r="AG284" t="str">
        <f t="shared" si="271"/>
        <v>B7</v>
      </c>
      <c r="AH284" t="str">
        <f t="shared" si="272"/>
        <v>A6.10</v>
      </c>
      <c r="AI284" s="62">
        <f t="array" ref="AI284">IF(COUNTIFS(AH$2:AH284,AH284)=1,"1",VALUE(SUBSTITUTE(INDEX(AI:AI,_xlfn.XMATCH(AH284,AH$1:AH283,0,-1)),"A",""))+INDEX(AJ:AJ,_xlfn.XMATCH(AH284,AH$1:AH283,0,-1))+1)</f>
        <v>4</v>
      </c>
      <c r="AJ284" s="62">
        <f t="array" ref="AJ284">SUM(IF(ISNUMBER(FIND("TmDo",$BE$1:$AAQ$1)),IF(IFERROR(ISNUMBER(VALUE(SUBSTITUTE($BE284:$AAQ284,"B",""))),FALSE),IF(ISNUMBER(VALUE(SUBSTITUTE($BE284:$AAQ284,"B",""))),1,0),0)))</f>
        <v>2</v>
      </c>
      <c r="AK284" s="19" t="str">
        <f>CONCATENATE($AI284,"A")</f>
        <v>4A</v>
      </c>
      <c r="AL284" s="19" t="str">
        <f>CONCATENATE($AI284,"B")</f>
        <v>4B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CONCATENATE(REPLACE(AK284,LEN(AK284),1,"")+1,"A")</f>
        <v>5A</v>
      </c>
      <c r="BQ284" s="19" t="str">
        <f>CONCATENATE(REPLACE(AL284,LEN(AL284),1,"")+1,"B")</f>
        <v>5B</v>
      </c>
      <c r="BR284" s="19" t="str">
        <f>CONCATENATE(REPLACE(BP284,LEN(BP284),1,"")+1,"A")</f>
        <v>6A</v>
      </c>
      <c r="BS284" s="19" t="str">
        <f>CONCATENATE(REPLACE(BQ284,LEN(BQ284),1,"")+1,"B")</f>
        <v>6B</v>
      </c>
      <c r="BT284" s="19" t="str">
        <f t="shared" si="287"/>
        <v>DI18-C7</v>
      </c>
      <c r="BU284" s="19" t="str">
        <f t="shared" si="287"/>
        <v>DI18-B7</v>
      </c>
      <c r="BV284" s="19" t="str">
        <f t="shared" si="288"/>
        <v>DI18-C8</v>
      </c>
      <c r="BW284" s="19" t="str">
        <f t="shared" si="288"/>
        <v>DI18-B8</v>
      </c>
      <c r="BX284" s="19" t="str">
        <f t="shared" si="288"/>
        <v>DI18-C9</v>
      </c>
      <c r="BY284" s="19" t="str">
        <f t="shared" si="288"/>
        <v>DI18-B9</v>
      </c>
      <c r="BZ284" s="19" t="str">
        <f t="shared" si="288"/>
        <v>DI18-C10</v>
      </c>
      <c r="CA284" s="19" t="str">
        <f t="shared" si="288"/>
        <v>DI18-B10</v>
      </c>
      <c r="CB284" s="19" t="str">
        <f t="shared" si="288"/>
        <v>DI18-C11</v>
      </c>
      <c r="CC284" s="19" t="str">
        <f t="shared" si="288"/>
        <v>DI18-B11</v>
      </c>
      <c r="CD284" s="19" t="str">
        <f t="shared" si="288"/>
        <v>DI18-C12</v>
      </c>
      <c r="CE284" s="19" t="str">
        <f t="shared" si="288"/>
        <v>DI18-B12</v>
      </c>
      <c r="CF284" s="19" t="str">
        <f t="shared" si="289"/>
        <v>DO10-4A</v>
      </c>
      <c r="CG284" s="19" t="str">
        <f t="shared" si="289"/>
        <v>DO10-4B</v>
      </c>
      <c r="CH284" s="19" t="str">
        <f t="shared" si="290"/>
        <v>DO10-5A</v>
      </c>
      <c r="CI284" s="19" t="str">
        <f t="shared" si="290"/>
        <v>DO10-5B</v>
      </c>
      <c r="CJ284" s="19" t="str">
        <f t="shared" si="290"/>
        <v>DO10-6A</v>
      </c>
      <c r="CK284" s="19" t="str">
        <f t="shared" si="290"/>
        <v>DO10-6B</v>
      </c>
      <c r="CL284" s="19" t="str">
        <f t="shared" si="248"/>
        <v>K104-10</v>
      </c>
      <c r="CM284" s="19" t="str">
        <f t="shared" si="249"/>
        <v>K104-03</v>
      </c>
      <c r="CN284" s="19" t="str">
        <f t="shared" si="250"/>
        <v>K104-04</v>
      </c>
      <c r="CO284" s="19" t="str">
        <f t="shared" si="251"/>
        <v>K104-01</v>
      </c>
      <c r="CP284" s="19" t="str">
        <f t="shared" si="252"/>
        <v>K104-08</v>
      </c>
      <c r="CQ284" s="19" t="str">
        <f t="shared" si="253"/>
        <v>K104-02</v>
      </c>
      <c r="CR284" s="19" t="str">
        <f t="shared" si="254"/>
        <v>K104-09</v>
      </c>
      <c r="CS284" s="19" t="str">
        <f t="shared" si="255"/>
        <v>K104-05</v>
      </c>
      <c r="CT284" s="19" t="str">
        <f t="shared" si="256"/>
        <v>K104-11</v>
      </c>
      <c r="CU284" s="19" t="str">
        <f t="shared" si="257"/>
        <v>F0-M104-A9</v>
      </c>
      <c r="CV284" s="19" t="str">
        <f t="shared" si="258"/>
        <v>F0-M104-A7</v>
      </c>
      <c r="CW284" s="19" t="str">
        <f t="shared" si="259"/>
        <v>F0-M104-A8</v>
      </c>
      <c r="CX284" s="19" t="str">
        <f t="shared" si="260"/>
        <v>F0-M104-A6</v>
      </c>
      <c r="CY284" s="19" t="str">
        <f t="shared" si="261"/>
        <v>F0-M104-A30</v>
      </c>
      <c r="CZ284" s="19" t="str">
        <f t="shared" si="262"/>
        <v>F0-M104-N</v>
      </c>
      <c r="DA284" s="19" t="str">
        <f>CONCATENATE($T284,"-A220-M",U284)</f>
        <v>F0-A220-M104</v>
      </c>
      <c r="DB284" s="19" t="str">
        <f t="shared" si="263"/>
        <v>F0-M104-XM01</v>
      </c>
      <c r="DC284" s="19" t="str">
        <f t="shared" si="264"/>
        <v>F0-M104-A1</v>
      </c>
      <c r="DD284" s="19" t="str">
        <f t="shared" si="265"/>
        <v>F0-M104-A5</v>
      </c>
      <c r="DE284" s="19" t="str">
        <f t="shared" si="266"/>
        <v>F0-M104-A11</v>
      </c>
      <c r="DF284" s="19" t="str">
        <f t="shared" si="267"/>
        <v>F0-M104-A12</v>
      </c>
      <c r="DG284" s="19" t="str">
        <f t="shared" si="268"/>
        <v>F0-M104-A19</v>
      </c>
      <c r="DH284" s="19" t="str">
        <f t="shared" si="269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8" ht="15.75" thickBot="1" x14ac:dyDescent="0.3">
      <c r="A285" s="83" t="s">
        <v>1867</v>
      </c>
      <c r="B285" s="83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3059</v>
      </c>
      <c r="W285" s="18"/>
      <c r="X285" s="19"/>
      <c r="Y285" s="19"/>
      <c r="Z285" s="19"/>
      <c r="AA285" s="19"/>
      <c r="AB285" s="19"/>
      <c r="AC285" t="str">
        <f t="shared" ref="AC285:AC294" si="291"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SUM(IF(ISNUMBER(FIND("TmDi",$BE$1:$AAQ$1)),IF(IFERROR(ISNUMBER(VALUE(SUBSTITUTE($BE285:$AAQ285,"B",""))),FALSE),IF(ISNUMBER(VALUE(SUBSTITUTE($BE285:$AAQ285,"B",""))),1,0),0)))</f>
        <v>5</v>
      </c>
      <c r="AF285" t="str">
        <f t="shared" si="270"/>
        <v>C13</v>
      </c>
      <c r="AG285" t="str">
        <f t="shared" si="271"/>
        <v>B13</v>
      </c>
      <c r="AH285" t="str">
        <f>IF(AI284+AJ284&gt;31,REPLACE(AH284,LEN(AH284),1,VALUE(RIGHT(AH284,1))+1),AH284)</f>
        <v>A6.10</v>
      </c>
      <c r="AI285" s="62">
        <f t="array" ref="AI285">IF(COUNTIFS(AH$2:AH285,AH285)=1,"1",VALUE(SUBSTITUTE(INDEX(AI:AI,_xlfn.XMATCH(AH285,AH$1:AH284,0,-1)),"A",""))+INDEX(AJ:AJ,_xlfn.XMATCH(AH285,AH$1:AH284,0,-1))+1)</f>
        <v>7</v>
      </c>
      <c r="AJ285" s="62">
        <f t="array" ref="AJ285">SUM(IF(ISNUMBER(FIND("TmDo",$BE$1:$AAQ$1)),IF(IFERROR(ISNUMBER(VALUE(SUBSTITUTE($BE285:$AAQ285,"B",""))),FALSE),IF(ISNUMBER(VALUE(SUBSTITUTE($BE285:$AAQ285,"B",""))),1,0),0)))</f>
        <v>2</v>
      </c>
      <c r="AK285" s="19" t="str">
        <f>CONCATENATE($AI285,"A")</f>
        <v>7A</v>
      </c>
      <c r="AL285" s="19" t="str">
        <f>CONCATENATE($AI285,"B")</f>
        <v>7B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CONCATENATE(REPLACE(AK285,LEN(AK285),1,"")+1,"A")</f>
        <v>8A</v>
      </c>
      <c r="BQ285" s="19" t="str">
        <f>CONCATENATE(REPLACE(AL285,LEN(AL285),1,"")+1,"B")</f>
        <v>8B</v>
      </c>
      <c r="BR285" s="19" t="str">
        <f>CONCATENATE(REPLACE(BP285,LEN(BP285),1,"")+1,"A")</f>
        <v>9A</v>
      </c>
      <c r="BS285" s="19" t="str">
        <f>CONCATENATE(REPLACE(BQ285,LEN(BQ285),1,"")+1,"B")</f>
        <v>9B</v>
      </c>
      <c r="BT285" s="19" t="str">
        <f t="shared" si="287"/>
        <v>DI18-C13</v>
      </c>
      <c r="BU285" s="19" t="str">
        <f t="shared" si="287"/>
        <v>DI18-B13</v>
      </c>
      <c r="BV285" s="19" t="str">
        <f t="shared" si="288"/>
        <v>DI18-C14</v>
      </c>
      <c r="BW285" s="19" t="str">
        <f t="shared" si="288"/>
        <v>DI18-B14</v>
      </c>
      <c r="BX285" s="19" t="str">
        <f t="shared" si="288"/>
        <v>DI18-C15</v>
      </c>
      <c r="BY285" s="19" t="str">
        <f t="shared" si="288"/>
        <v>DI18-B15</v>
      </c>
      <c r="BZ285" s="19" t="str">
        <f t="shared" si="288"/>
        <v>DI18-C16</v>
      </c>
      <c r="CA285" s="19" t="str">
        <f t="shared" si="288"/>
        <v>DI18-B16</v>
      </c>
      <c r="CB285" s="19" t="str">
        <f t="shared" si="288"/>
        <v>DI18-C17</v>
      </c>
      <c r="CC285" s="19" t="str">
        <f t="shared" si="288"/>
        <v>DI18-B17</v>
      </c>
      <c r="CD285" s="19" t="str">
        <f t="shared" si="288"/>
        <v>DI18-C18</v>
      </c>
      <c r="CE285" s="19" t="str">
        <f t="shared" si="288"/>
        <v>DI18-B18</v>
      </c>
      <c r="CF285" s="19" t="str">
        <f t="shared" si="289"/>
        <v>DO10-7A</v>
      </c>
      <c r="CG285" s="19" t="str">
        <f t="shared" si="289"/>
        <v>DO10-7B</v>
      </c>
      <c r="CH285" s="19" t="str">
        <f t="shared" si="290"/>
        <v>DO10-8A</v>
      </c>
      <c r="CI285" s="19" t="str">
        <f t="shared" si="290"/>
        <v>DO10-8B</v>
      </c>
      <c r="CJ285" s="19" t="str">
        <f t="shared" si="290"/>
        <v>DO10-9A</v>
      </c>
      <c r="CK285" s="19" t="str">
        <f t="shared" si="290"/>
        <v>DO10-9B</v>
      </c>
      <c r="CL285" s="19" t="str">
        <f t="shared" si="248"/>
        <v>K105-10</v>
      </c>
      <c r="CM285" s="19" t="str">
        <f t="shared" si="249"/>
        <v>K105-03</v>
      </c>
      <c r="CN285" s="19" t="str">
        <f t="shared" si="250"/>
        <v>K105-04</v>
      </c>
      <c r="CO285" s="19" t="str">
        <f t="shared" si="251"/>
        <v>K105-01</v>
      </c>
      <c r="CP285" s="19" t="str">
        <f t="shared" si="252"/>
        <v>K105-08</v>
      </c>
      <c r="CQ285" s="19" t="str">
        <f t="shared" si="253"/>
        <v>K105-02</v>
      </c>
      <c r="CR285" s="19" t="str">
        <f t="shared" si="254"/>
        <v>K105-09</v>
      </c>
      <c r="CS285" s="19" t="str">
        <f t="shared" si="255"/>
        <v>K105-05</v>
      </c>
      <c r="CT285" s="19" t="str">
        <f t="shared" si="256"/>
        <v>K105-11</v>
      </c>
      <c r="CU285" s="19" t="str">
        <f t="shared" si="257"/>
        <v>F0-M105-A9</v>
      </c>
      <c r="CV285" s="19" t="str">
        <f t="shared" si="258"/>
        <v>F0-M105-A7</v>
      </c>
      <c r="CW285" s="19" t="str">
        <f t="shared" si="259"/>
        <v>F0-M105-A8</v>
      </c>
      <c r="CX285" s="19" t="str">
        <f t="shared" si="260"/>
        <v>F0-M105-A6</v>
      </c>
      <c r="CY285" s="19" t="str">
        <f t="shared" si="261"/>
        <v>F0-M105-A30</v>
      </c>
      <c r="CZ285" s="19" t="str">
        <f t="shared" si="262"/>
        <v>F0-M105-N</v>
      </c>
      <c r="DA285" s="19" t="str">
        <f>CONCATENATE($T285,"-A220-M",U285)</f>
        <v>F0-A220-M105</v>
      </c>
      <c r="DB285" s="19" t="str">
        <f t="shared" si="263"/>
        <v>F0-M105-XM01</v>
      </c>
      <c r="DC285" s="19" t="str">
        <f t="shared" si="264"/>
        <v>F0-M105-A1</v>
      </c>
      <c r="DD285" s="19" t="str">
        <f t="shared" si="265"/>
        <v>F0-M105-A5</v>
      </c>
      <c r="DE285" s="19" t="str">
        <f t="shared" si="266"/>
        <v>F0-M105-A11</v>
      </c>
      <c r="DF285" s="19" t="str">
        <f t="shared" si="267"/>
        <v>F0-M105-A12</v>
      </c>
      <c r="DG285" s="19" t="str">
        <f t="shared" si="268"/>
        <v>F0-M105-A19</v>
      </c>
      <c r="DH285" s="19" t="str">
        <f t="shared" si="269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8" x14ac:dyDescent="0.25">
      <c r="A286" s="83" t="s">
        <v>2701</v>
      </c>
      <c r="B286" s="83" t="s">
        <v>3073</v>
      </c>
      <c r="P286" t="s">
        <v>1873</v>
      </c>
      <c r="T286" s="25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SUM(IF(ISNUMBER(FIND("TmDi",$BE$1:$AAQ$1)),IF(IFERROR(ISNUMBER(VALUE(SUBSTITUTE($BE286:$AAQ286,"B",""))),FALSE),IF(ISNUMBER(VALUE(SUBSTITUTE($BE286:$AAQ286,"B",""))),1,0),0)))</f>
        <v>0</v>
      </c>
      <c r="AF286" t="str">
        <f t="shared" si="270"/>
        <v>C1</v>
      </c>
      <c r="AG286" t="str">
        <f t="shared" si="271"/>
        <v>B1</v>
      </c>
      <c r="AP286" t="s">
        <v>137</v>
      </c>
      <c r="AT286" t="s">
        <v>854</v>
      </c>
      <c r="AU286" t="s">
        <v>1399</v>
      </c>
      <c r="LZ286" s="25" t="str">
        <f>CONCATENATE("DI",REPLACE($AC286,1,3,""),"-",$AF286)</f>
        <v>DI19-C1</v>
      </c>
      <c r="MA286" s="12" t="str">
        <f>CONCATENATE("DI",REPLACE($AC286,1,3,""),"-",$AG286)</f>
        <v>DI19-B1</v>
      </c>
      <c r="MB286" s="12" t="s">
        <v>1884</v>
      </c>
      <c r="MC286" s="12" t="s">
        <v>1883</v>
      </c>
      <c r="MD286" s="12">
        <v>11</v>
      </c>
      <c r="ME286" s="12">
        <v>14</v>
      </c>
      <c r="MF286" s="12" t="s">
        <v>142</v>
      </c>
      <c r="MG286" s="12" t="s">
        <v>143</v>
      </c>
      <c r="MH286" s="12" t="s">
        <v>488</v>
      </c>
      <c r="MI286" s="12" t="s">
        <v>487</v>
      </c>
      <c r="MJ286" s="12" t="s">
        <v>414</v>
      </c>
      <c r="MK286" s="12" t="s">
        <v>413</v>
      </c>
      <c r="ML286" s="12"/>
      <c r="MM286" s="12"/>
      <c r="MN286" s="12"/>
      <c r="MO286" s="12"/>
      <c r="MP286" s="12"/>
      <c r="MQ286" s="12"/>
      <c r="MR286" s="12">
        <v>1</v>
      </c>
      <c r="MS286" s="13">
        <v>2</v>
      </c>
      <c r="MT286" s="27"/>
    </row>
    <row r="287" spans="1:358" x14ac:dyDescent="0.25">
      <c r="A287" s="83" t="s">
        <v>2702</v>
      </c>
      <c r="B287" s="83" t="s">
        <v>3074</v>
      </c>
      <c r="P287" t="s">
        <v>1873</v>
      </c>
      <c r="T287" s="27" t="s">
        <v>554</v>
      </c>
      <c r="AC287" t="str">
        <f t="shared" si="291"/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SUM(IF(ISNUMBER(FIND("TmDi",$BE$1:$AAQ$1)),IF(IFERROR(ISNUMBER(VALUE(SUBSTITUTE($BE287:$AAQ287,"B",""))),FALSE),IF(ISNUMBER(VALUE(SUBSTITUTE($BE287:$AAQ287,"B",""))),1,0),0)))</f>
        <v>0</v>
      </c>
      <c r="AF287" t="str">
        <f t="shared" si="270"/>
        <v>C2</v>
      </c>
      <c r="AG287" t="str">
        <f t="shared" si="271"/>
        <v>B2</v>
      </c>
      <c r="AP287" t="s">
        <v>137</v>
      </c>
      <c r="AT287" t="s">
        <v>854</v>
      </c>
      <c r="AU287" t="s">
        <v>1399</v>
      </c>
      <c r="LZ287" s="27" t="str">
        <f>CONCATENATE("DI",REPLACE($AC287,1,3,""),"-",$AF287)</f>
        <v>DI19-C2</v>
      </c>
      <c r="MA287" t="str">
        <f t="shared" ref="MA287:MA350" si="292">CONCATENATE("DI",REPLACE($AC287,1,3,""),"-",$AG287)</f>
        <v>DI19-B2</v>
      </c>
      <c r="MB287" t="s">
        <v>1885</v>
      </c>
      <c r="MC287" t="s">
        <v>1886</v>
      </c>
      <c r="MD287">
        <f t="shared" ref="MD287:MK287" si="293">MD286</f>
        <v>11</v>
      </c>
      <c r="ME287">
        <f t="shared" si="293"/>
        <v>14</v>
      </c>
      <c r="MF287" t="str">
        <f t="shared" si="293"/>
        <v>A1</v>
      </c>
      <c r="MG287" t="str">
        <f t="shared" si="293"/>
        <v>A2</v>
      </c>
      <c r="MH287" t="str">
        <f t="shared" si="293"/>
        <v>0v3</v>
      </c>
      <c r="MI287" t="str">
        <f t="shared" si="293"/>
        <v>24v3</v>
      </c>
      <c r="MJ287" t="str">
        <f t="shared" si="293"/>
        <v>0v6</v>
      </c>
      <c r="MK287" t="str">
        <f t="shared" si="293"/>
        <v>24v6</v>
      </c>
      <c r="MR287">
        <f>MR286</f>
        <v>1</v>
      </c>
      <c r="MS287" s="16">
        <f>MS286</f>
        <v>2</v>
      </c>
    </row>
    <row r="288" spans="1:358" x14ac:dyDescent="0.25">
      <c r="A288" s="83" t="s">
        <v>2703</v>
      </c>
      <c r="B288" s="83" t="s">
        <v>3075</v>
      </c>
      <c r="P288" t="s">
        <v>1873</v>
      </c>
      <c r="T288" s="27" t="s">
        <v>554</v>
      </c>
      <c r="AC288" t="str">
        <f t="shared" si="291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SUM(IF(ISNUMBER(FIND("TmDi",$BE$1:$AAQ$1)),IF(IFERROR(ISNUMBER(VALUE(SUBSTITUTE($BE288:$AAQ288,"B",""))),FALSE),IF(ISNUMBER(VALUE(SUBSTITUTE($BE288:$AAQ288,"B",""))),1,0),0)))</f>
        <v>0</v>
      </c>
      <c r="AF288" t="str">
        <f t="shared" si="270"/>
        <v>C3</v>
      </c>
      <c r="AG288" t="str">
        <f t="shared" si="271"/>
        <v>B3</v>
      </c>
      <c r="AP288" t="s">
        <v>137</v>
      </c>
      <c r="AT288" t="s">
        <v>854</v>
      </c>
      <c r="AU288" t="s">
        <v>1399</v>
      </c>
      <c r="LZ288" s="27" t="str">
        <f t="shared" ref="LZ288:LZ294" si="294">CONCATENATE("DI",REPLACE($AC288,1,3,""),"-",$AF288)</f>
        <v>DI19-C3</v>
      </c>
      <c r="MA288" t="str">
        <f t="shared" si="292"/>
        <v>DI19-B3</v>
      </c>
      <c r="MB288" t="s">
        <v>1887</v>
      </c>
      <c r="MC288" t="s">
        <v>1888</v>
      </c>
      <c r="MD288">
        <f t="shared" ref="MD288:MD294" si="295">MD287</f>
        <v>11</v>
      </c>
      <c r="ME288">
        <f t="shared" ref="ME288:ME294" si="296">ME287</f>
        <v>14</v>
      </c>
      <c r="MF288" t="str">
        <f t="shared" ref="MF288:MF294" si="297">MF287</f>
        <v>A1</v>
      </c>
      <c r="MG288" t="str">
        <f t="shared" ref="MG288:MG294" si="298">MG287</f>
        <v>A2</v>
      </c>
      <c r="MH288" t="str">
        <f t="shared" ref="MH288:MH294" si="299">MH287</f>
        <v>0v3</v>
      </c>
      <c r="MI288" t="str">
        <f t="shared" ref="MI288:MI294" si="300">MI287</f>
        <v>24v3</v>
      </c>
      <c r="MJ288" t="str">
        <f t="shared" ref="MJ288:MJ294" si="301">MJ287</f>
        <v>0v6</v>
      </c>
      <c r="MK288" t="str">
        <f t="shared" ref="MK288:MK294" si="302">MK287</f>
        <v>24v6</v>
      </c>
      <c r="MR288">
        <f t="shared" ref="MR288:MR294" si="303">MR287</f>
        <v>1</v>
      </c>
      <c r="MS288" s="16">
        <f t="shared" ref="MS288:MS294" si="304">MS287</f>
        <v>2</v>
      </c>
    </row>
    <row r="289" spans="1:358" x14ac:dyDescent="0.25">
      <c r="A289" s="83" t="s">
        <v>2704</v>
      </c>
      <c r="B289" s="83" t="s">
        <v>3076</v>
      </c>
      <c r="P289" t="s">
        <v>1873</v>
      </c>
      <c r="T289" s="27" t="s">
        <v>554</v>
      </c>
      <c r="AC289" t="str">
        <f t="shared" si="291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SUM(IF(ISNUMBER(FIND("TmDi",$BE$1:$AAQ$1)),IF(IFERROR(ISNUMBER(VALUE(SUBSTITUTE($BE289:$AAQ289,"B",""))),FALSE),IF(ISNUMBER(VALUE(SUBSTITUTE($BE289:$AAQ289,"B",""))),1,0),0)))</f>
        <v>0</v>
      </c>
      <c r="AF289" t="str">
        <f t="shared" si="270"/>
        <v>C4</v>
      </c>
      <c r="AG289" t="str">
        <f t="shared" si="271"/>
        <v>B4</v>
      </c>
      <c r="AP289" t="s">
        <v>137</v>
      </c>
      <c r="AT289" t="s">
        <v>854</v>
      </c>
      <c r="AU289" t="s">
        <v>1399</v>
      </c>
      <c r="LZ289" s="27" t="str">
        <f t="shared" si="294"/>
        <v>DI19-C4</v>
      </c>
      <c r="MA289" t="str">
        <f t="shared" si="292"/>
        <v>DI19-B4</v>
      </c>
      <c r="MB289" t="s">
        <v>1889</v>
      </c>
      <c r="MC289" t="s">
        <v>1890</v>
      </c>
      <c r="MD289">
        <f t="shared" si="295"/>
        <v>11</v>
      </c>
      <c r="ME289">
        <f t="shared" si="296"/>
        <v>14</v>
      </c>
      <c r="MF289" t="str">
        <f t="shared" si="297"/>
        <v>A1</v>
      </c>
      <c r="MG289" t="str">
        <f t="shared" si="298"/>
        <v>A2</v>
      </c>
      <c r="MH289" t="str">
        <f t="shared" si="299"/>
        <v>0v3</v>
      </c>
      <c r="MI289" t="str">
        <f t="shared" si="300"/>
        <v>24v3</v>
      </c>
      <c r="MJ289" t="str">
        <f t="shared" si="301"/>
        <v>0v6</v>
      </c>
      <c r="MK289" t="str">
        <f t="shared" si="302"/>
        <v>24v6</v>
      </c>
      <c r="MR289">
        <f t="shared" si="303"/>
        <v>1</v>
      </c>
      <c r="MS289" s="16">
        <f t="shared" si="304"/>
        <v>2</v>
      </c>
    </row>
    <row r="290" spans="1:358" x14ac:dyDescent="0.25">
      <c r="A290" s="83" t="s">
        <v>2705</v>
      </c>
      <c r="B290" s="83" t="s">
        <v>3077</v>
      </c>
      <c r="P290" t="s">
        <v>1873</v>
      </c>
      <c r="T290" s="27" t="s">
        <v>554</v>
      </c>
      <c r="AC290" t="str">
        <f t="shared" si="291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SUM(IF(ISNUMBER(FIND("TmDi",$BE$1:$AAQ$1)),IF(IFERROR(ISNUMBER(VALUE(SUBSTITUTE($BE290:$AAQ290,"B",""))),FALSE),IF(ISNUMBER(VALUE(SUBSTITUTE($BE290:$AAQ290,"B",""))),1,0),0)))</f>
        <v>0</v>
      </c>
      <c r="AF290" t="str">
        <f t="shared" si="270"/>
        <v>C5</v>
      </c>
      <c r="AG290" t="str">
        <f t="shared" si="271"/>
        <v>B5</v>
      </c>
      <c r="AP290" t="s">
        <v>137</v>
      </c>
      <c r="AT290" t="s">
        <v>854</v>
      </c>
      <c r="AU290" t="s">
        <v>1399</v>
      </c>
      <c r="LZ290" s="27" t="str">
        <f t="shared" si="294"/>
        <v>DI19-C5</v>
      </c>
      <c r="MA290" t="str">
        <f t="shared" si="292"/>
        <v>DI19-B5</v>
      </c>
      <c r="MB290" t="s">
        <v>1891</v>
      </c>
      <c r="MC290" t="s">
        <v>1892</v>
      </c>
      <c r="MD290">
        <f t="shared" si="295"/>
        <v>11</v>
      </c>
      <c r="ME290">
        <f t="shared" si="296"/>
        <v>14</v>
      </c>
      <c r="MF290" t="str">
        <f t="shared" si="297"/>
        <v>A1</v>
      </c>
      <c r="MG290" t="str">
        <f t="shared" si="298"/>
        <v>A2</v>
      </c>
      <c r="MH290" t="str">
        <f t="shared" si="299"/>
        <v>0v3</v>
      </c>
      <c r="MI290" t="str">
        <f t="shared" si="300"/>
        <v>24v3</v>
      </c>
      <c r="MJ290" t="str">
        <f t="shared" si="301"/>
        <v>0v6</v>
      </c>
      <c r="MK290" t="str">
        <f t="shared" si="302"/>
        <v>24v6</v>
      </c>
      <c r="MR290">
        <f t="shared" si="303"/>
        <v>1</v>
      </c>
      <c r="MS290" s="16">
        <f t="shared" si="304"/>
        <v>2</v>
      </c>
    </row>
    <row r="291" spans="1:358" x14ac:dyDescent="0.25">
      <c r="A291" s="83" t="s">
        <v>2706</v>
      </c>
      <c r="B291" s="83" t="s">
        <v>3393</v>
      </c>
      <c r="P291" t="s">
        <v>1873</v>
      </c>
      <c r="T291" s="27" t="s">
        <v>554</v>
      </c>
      <c r="AC291" t="str">
        <f t="shared" si="291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SUM(IF(ISNUMBER(FIND("TmDi",$BE$1:$AAQ$1)),IF(IFERROR(ISNUMBER(VALUE(SUBSTITUTE($BE291:$AAQ291,"B",""))),FALSE),IF(ISNUMBER(VALUE(SUBSTITUTE($BE291:$AAQ291,"B",""))),1,0),0)))</f>
        <v>0</v>
      </c>
      <c r="AF291" t="str">
        <f t="shared" si="270"/>
        <v>C6</v>
      </c>
      <c r="AG291" t="str">
        <f t="shared" si="271"/>
        <v>B6</v>
      </c>
      <c r="AP291" t="s">
        <v>137</v>
      </c>
      <c r="AT291" t="s">
        <v>854</v>
      </c>
      <c r="AU291" t="s">
        <v>1399</v>
      </c>
      <c r="LZ291" s="27" t="str">
        <f t="shared" si="294"/>
        <v>DI19-C6</v>
      </c>
      <c r="MA291" t="str">
        <f t="shared" si="292"/>
        <v>DI19-B6</v>
      </c>
      <c r="MB291" t="s">
        <v>1893</v>
      </c>
      <c r="MC291" t="s">
        <v>1894</v>
      </c>
      <c r="MD291">
        <f t="shared" si="295"/>
        <v>11</v>
      </c>
      <c r="ME291">
        <f t="shared" si="296"/>
        <v>14</v>
      </c>
      <c r="MF291" t="str">
        <f t="shared" si="297"/>
        <v>A1</v>
      </c>
      <c r="MG291" t="str">
        <f t="shared" si="298"/>
        <v>A2</v>
      </c>
      <c r="MH291" t="str">
        <f t="shared" si="299"/>
        <v>0v3</v>
      </c>
      <c r="MI291" t="str">
        <f t="shared" si="300"/>
        <v>24v3</v>
      </c>
      <c r="MJ291" t="str">
        <f t="shared" si="301"/>
        <v>0v6</v>
      </c>
      <c r="MK291" t="str">
        <f t="shared" si="302"/>
        <v>24v6</v>
      </c>
      <c r="MR291">
        <f t="shared" si="303"/>
        <v>1</v>
      </c>
      <c r="MS291" s="16">
        <f t="shared" si="304"/>
        <v>2</v>
      </c>
    </row>
    <row r="292" spans="1:358" x14ac:dyDescent="0.25">
      <c r="A292" s="83" t="s">
        <v>2707</v>
      </c>
      <c r="B292" s="83" t="s">
        <v>3394</v>
      </c>
      <c r="P292" t="s">
        <v>1873</v>
      </c>
      <c r="T292" s="27" t="s">
        <v>554</v>
      </c>
      <c r="AC292" t="str">
        <f t="shared" si="291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SUM(IF(ISNUMBER(FIND("TmDi",$BE$1:$AAQ$1)),IF(IFERROR(ISNUMBER(VALUE(SUBSTITUTE($BE292:$AAQ292,"B",""))),FALSE),IF(ISNUMBER(VALUE(SUBSTITUTE($BE292:$AAQ292,"B",""))),1,0),0)))</f>
        <v>0</v>
      </c>
      <c r="AF292" t="str">
        <f t="shared" si="270"/>
        <v>C7</v>
      </c>
      <c r="AG292" t="str">
        <f t="shared" si="271"/>
        <v>B7</v>
      </c>
      <c r="AP292" t="s">
        <v>137</v>
      </c>
      <c r="AT292" t="s">
        <v>854</v>
      </c>
      <c r="AU292" t="s">
        <v>1399</v>
      </c>
      <c r="LZ292" s="27" t="str">
        <f t="shared" si="294"/>
        <v>DI19-C7</v>
      </c>
      <c r="MA292" t="str">
        <f t="shared" si="292"/>
        <v>DI19-B7</v>
      </c>
      <c r="MB292" t="s">
        <v>1895</v>
      </c>
      <c r="MC292" t="s">
        <v>1896</v>
      </c>
      <c r="MD292">
        <f t="shared" si="295"/>
        <v>11</v>
      </c>
      <c r="ME292">
        <f t="shared" si="296"/>
        <v>14</v>
      </c>
      <c r="MF292" t="str">
        <f t="shared" si="297"/>
        <v>A1</v>
      </c>
      <c r="MG292" t="str">
        <f t="shared" si="298"/>
        <v>A2</v>
      </c>
      <c r="MH292" t="str">
        <f t="shared" si="299"/>
        <v>0v3</v>
      </c>
      <c r="MI292" t="str">
        <f t="shared" si="300"/>
        <v>24v3</v>
      </c>
      <c r="MJ292" t="str">
        <f t="shared" si="301"/>
        <v>0v6</v>
      </c>
      <c r="MK292" t="str">
        <f t="shared" si="302"/>
        <v>24v6</v>
      </c>
      <c r="MR292">
        <f t="shared" si="303"/>
        <v>1</v>
      </c>
      <c r="MS292" s="16">
        <f t="shared" si="304"/>
        <v>2</v>
      </c>
    </row>
    <row r="293" spans="1:358" x14ac:dyDescent="0.25">
      <c r="A293" s="83" t="s">
        <v>2708</v>
      </c>
      <c r="B293" s="83" t="s">
        <v>3078</v>
      </c>
      <c r="P293" t="s">
        <v>1873</v>
      </c>
      <c r="T293" s="27" t="s">
        <v>554</v>
      </c>
      <c r="AC293" t="str">
        <f t="shared" si="291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SUM(IF(ISNUMBER(FIND("TmDi",$BE$1:$AAQ$1)),IF(IFERROR(ISNUMBER(VALUE(SUBSTITUTE($BE293:$AAQ293,"B",""))),FALSE),IF(ISNUMBER(VALUE(SUBSTITUTE($BE293:$AAQ293,"B",""))),1,0),0)))</f>
        <v>0</v>
      </c>
      <c r="AF293" t="str">
        <f t="shared" si="270"/>
        <v>C8</v>
      </c>
      <c r="AG293" t="str">
        <f t="shared" si="271"/>
        <v>B8</v>
      </c>
      <c r="AP293" t="s">
        <v>137</v>
      </c>
      <c r="AT293" t="s">
        <v>854</v>
      </c>
      <c r="AU293" t="s">
        <v>1399</v>
      </c>
      <c r="LZ293" s="27" t="str">
        <f t="shared" si="294"/>
        <v>DI19-C8</v>
      </c>
      <c r="MA293" t="str">
        <f t="shared" si="292"/>
        <v>DI19-B8</v>
      </c>
      <c r="MB293" t="s">
        <v>1897</v>
      </c>
      <c r="MC293" t="s">
        <v>1898</v>
      </c>
      <c r="MD293">
        <f t="shared" si="295"/>
        <v>11</v>
      </c>
      <c r="ME293">
        <f t="shared" si="296"/>
        <v>14</v>
      </c>
      <c r="MF293" t="str">
        <f t="shared" si="297"/>
        <v>A1</v>
      </c>
      <c r="MG293" t="str">
        <f t="shared" si="298"/>
        <v>A2</v>
      </c>
      <c r="MH293" t="str">
        <f t="shared" si="299"/>
        <v>0v3</v>
      </c>
      <c r="MI293" t="str">
        <f t="shared" si="300"/>
        <v>24v3</v>
      </c>
      <c r="MJ293" t="str">
        <f t="shared" si="301"/>
        <v>0v6</v>
      </c>
      <c r="MK293" t="str">
        <f t="shared" si="302"/>
        <v>24v6</v>
      </c>
      <c r="MR293">
        <f t="shared" si="303"/>
        <v>1</v>
      </c>
      <c r="MS293" s="16">
        <f t="shared" si="304"/>
        <v>2</v>
      </c>
    </row>
    <row r="294" spans="1:358" ht="15.75" thickBot="1" x14ac:dyDescent="0.3">
      <c r="A294" s="85" t="s">
        <v>2709</v>
      </c>
      <c r="B294" s="85" t="s">
        <v>3079</v>
      </c>
      <c r="P294" t="s">
        <v>1873</v>
      </c>
      <c r="T294" s="27" t="s">
        <v>554</v>
      </c>
      <c r="AC294" t="str">
        <f t="shared" si="291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SUM(IF(ISNUMBER(FIND("TmDi",$BE$1:$AAQ$1)),IF(IFERROR(ISNUMBER(VALUE(SUBSTITUTE($BE294:$AAQ294,"B",""))),FALSE),IF(ISNUMBER(VALUE(SUBSTITUTE($BE294:$AAQ294,"B",""))),1,0),0)))</f>
        <v>0</v>
      </c>
      <c r="AF294" t="str">
        <f t="shared" si="270"/>
        <v>C9</v>
      </c>
      <c r="AG294" t="str">
        <f t="shared" si="271"/>
        <v>B9</v>
      </c>
      <c r="AP294" t="s">
        <v>137</v>
      </c>
      <c r="AT294" t="s">
        <v>854</v>
      </c>
      <c r="AU294" t="s">
        <v>1399</v>
      </c>
      <c r="LZ294" s="27" t="str">
        <f t="shared" si="294"/>
        <v>DI19-C9</v>
      </c>
      <c r="MA294" t="str">
        <f t="shared" si="292"/>
        <v>DI19-B9</v>
      </c>
      <c r="MB294" t="s">
        <v>1899</v>
      </c>
      <c r="MC294" t="s">
        <v>1900</v>
      </c>
      <c r="MD294">
        <f t="shared" si="295"/>
        <v>11</v>
      </c>
      <c r="ME294">
        <f t="shared" si="296"/>
        <v>14</v>
      </c>
      <c r="MF294" t="str">
        <f t="shared" si="297"/>
        <v>A1</v>
      </c>
      <c r="MG294" t="str">
        <f t="shared" si="298"/>
        <v>A2</v>
      </c>
      <c r="MH294" t="str">
        <f t="shared" si="299"/>
        <v>0v3</v>
      </c>
      <c r="MI294" t="str">
        <f t="shared" si="300"/>
        <v>24v3</v>
      </c>
      <c r="MJ294" t="str">
        <f t="shared" si="301"/>
        <v>0v6</v>
      </c>
      <c r="MK294" t="str">
        <f t="shared" si="302"/>
        <v>24v6</v>
      </c>
      <c r="MR294">
        <f t="shared" si="303"/>
        <v>1</v>
      </c>
      <c r="MS294" s="16">
        <f t="shared" si="304"/>
        <v>2</v>
      </c>
    </row>
    <row r="295" spans="1:358" x14ac:dyDescent="0.25">
      <c r="A295" s="83" t="s">
        <v>3066</v>
      </c>
      <c r="B295" s="83" t="s">
        <v>3080</v>
      </c>
      <c r="P295" t="s">
        <v>1873</v>
      </c>
      <c r="T295" s="27" t="s">
        <v>3072</v>
      </c>
      <c r="AC295" t="s">
        <v>1865</v>
      </c>
      <c r="AD295" s="43">
        <f t="array" ref="AD295">IF(COUNTIFS(AC$2:AC295,AC295)=1,"1",VALUE(SUBSTITUTE(INDEX(AD:AD,_xlfn.XMATCH(AC295,AC$1:AC294,0,-1)),"A",""))+INDEX(AE:AE,_xlfn.XMATCH(AC295,AC$1:AC294,0,-1))+1)</f>
        <v>10</v>
      </c>
      <c r="AE295" s="43">
        <f t="array" ref="AE295">SUM(IF(ISNUMBER(FIND("TmDi",$BE$1:$AAQ$1)),IF(IFERROR(ISNUMBER(VALUE(SUBSTITUTE($BE295:$AAQ295,"B",""))),FALSE),IF(ISNUMBER(VALUE(SUBSTITUTE($BE295:$AAQ295,"B",""))),1,0),0)))</f>
        <v>0</v>
      </c>
      <c r="AF295" t="str">
        <f t="shared" si="270"/>
        <v>C10</v>
      </c>
      <c r="AG295" t="str">
        <f t="shared" si="271"/>
        <v>B10</v>
      </c>
      <c r="AP295" t="s">
        <v>137</v>
      </c>
      <c r="AT295" t="s">
        <v>854</v>
      </c>
      <c r="AU295" t="s">
        <v>1399</v>
      </c>
      <c r="LZ295" s="25" t="str">
        <f t="shared" ref="LZ295:LZ306" si="305">CONCATENATE("DI",REPLACE($AC295,1,3,""),"-",$AF295)</f>
        <v>DI19-C10</v>
      </c>
      <c r="MA295" s="12" t="str">
        <f t="shared" si="292"/>
        <v>DI19-B10</v>
      </c>
      <c r="MB295" s="12" t="s">
        <v>1884</v>
      </c>
      <c r="MC295" s="12" t="s">
        <v>1883</v>
      </c>
      <c r="MD295" s="12">
        <v>11</v>
      </c>
      <c r="ME295" s="12">
        <v>14</v>
      </c>
      <c r="MF295" s="12" t="s">
        <v>142</v>
      </c>
      <c r="MG295" s="12" t="s">
        <v>143</v>
      </c>
      <c r="MH295" s="12" t="s">
        <v>488</v>
      </c>
      <c r="MI295" s="12" t="s">
        <v>487</v>
      </c>
      <c r="MJ295" s="12" t="s">
        <v>414</v>
      </c>
      <c r="MK295" s="12" t="s">
        <v>413</v>
      </c>
      <c r="ML295" s="12"/>
      <c r="MM295" s="12"/>
      <c r="MN295" s="12"/>
      <c r="MO295" s="12"/>
      <c r="MP295" s="12"/>
      <c r="MQ295" s="12"/>
      <c r="MR295" s="12">
        <v>1</v>
      </c>
      <c r="MS295" s="13">
        <v>2</v>
      </c>
      <c r="MT295" s="27"/>
    </row>
    <row r="296" spans="1:358" x14ac:dyDescent="0.25">
      <c r="A296" s="83" t="s">
        <v>3067</v>
      </c>
      <c r="B296" s="83" t="s">
        <v>3081</v>
      </c>
      <c r="P296" t="s">
        <v>1873</v>
      </c>
      <c r="T296" s="27" t="s">
        <v>3072</v>
      </c>
      <c r="AC296" t="str">
        <f>IF(AD295+AE295&gt;31,REPLACE(AC295,LEN(AC295),1,VALUE(RIGHT(AC295,1))+1),AC295)</f>
        <v>A5.19</v>
      </c>
      <c r="AD296" s="43">
        <f t="array" ref="AD296">IF(COUNTIFS(AC$2:AC296,AC296)=1,"1",VALUE(SUBSTITUTE(INDEX(AD:AD,_xlfn.XMATCH(AC296,AC$1:AC295,0,-1)),"A",""))+INDEX(AE:AE,_xlfn.XMATCH(AC296,AC$1:AC295,0,-1))+1)</f>
        <v>11</v>
      </c>
      <c r="AE296" s="43">
        <f t="array" ref="AE296">SUM(IF(ISNUMBER(FIND("TmDi",$BE$1:$AAQ$1)),IF(IFERROR(ISNUMBER(VALUE(SUBSTITUTE($BE296:$AAQ296,"B",""))),FALSE),IF(ISNUMBER(VALUE(SUBSTITUTE($BE296:$AAQ296,"B",""))),1,0),0)))</f>
        <v>0</v>
      </c>
      <c r="AF296" t="str">
        <f t="shared" si="270"/>
        <v>C11</v>
      </c>
      <c r="AG296" t="str">
        <f t="shared" si="271"/>
        <v>B11</v>
      </c>
      <c r="AP296" t="s">
        <v>137</v>
      </c>
      <c r="AT296" t="s">
        <v>854</v>
      </c>
      <c r="AU296" t="s">
        <v>1399</v>
      </c>
      <c r="LZ296" s="27" t="str">
        <f t="shared" si="305"/>
        <v>DI19-C11</v>
      </c>
      <c r="MA296" t="str">
        <f t="shared" si="292"/>
        <v>DI19-B11</v>
      </c>
      <c r="MB296" t="s">
        <v>1885</v>
      </c>
      <c r="MC296" t="s">
        <v>1886</v>
      </c>
      <c r="MD296">
        <f t="shared" ref="MD296:MK300" si="306">MD295</f>
        <v>11</v>
      </c>
      <c r="ME296">
        <f t="shared" si="306"/>
        <v>14</v>
      </c>
      <c r="MF296" t="str">
        <f t="shared" si="306"/>
        <v>A1</v>
      </c>
      <c r="MG296" t="str">
        <f t="shared" si="306"/>
        <v>A2</v>
      </c>
      <c r="MH296" t="str">
        <f t="shared" si="306"/>
        <v>0v3</v>
      </c>
      <c r="MI296" t="str">
        <f t="shared" si="306"/>
        <v>24v3</v>
      </c>
      <c r="MJ296" t="str">
        <f t="shared" si="306"/>
        <v>0v6</v>
      </c>
      <c r="MK296" t="str">
        <f t="shared" si="306"/>
        <v>24v6</v>
      </c>
      <c r="MR296">
        <f>MR295</f>
        <v>1</v>
      </c>
      <c r="MS296" s="16">
        <f>MS295</f>
        <v>2</v>
      </c>
    </row>
    <row r="297" spans="1:358" x14ac:dyDescent="0.25">
      <c r="A297" s="83" t="s">
        <v>3068</v>
      </c>
      <c r="B297" s="83" t="s">
        <v>3082</v>
      </c>
      <c r="P297" t="s">
        <v>1873</v>
      </c>
      <c r="T297" s="27" t="s">
        <v>3072</v>
      </c>
      <c r="AC297" t="str">
        <f>IF(AD296+AE296&gt;31,REPLACE(AC296,LEN(AC296),1,VALUE(RIGHT(AC296,1))+1),AC296)</f>
        <v>A5.19</v>
      </c>
      <c r="AD297" s="43">
        <f t="array" ref="AD297">IF(COUNTIFS(AC$2:AC297,AC297)=1,"1",VALUE(SUBSTITUTE(INDEX(AD:AD,_xlfn.XMATCH(AC297,AC$1:AC296,0,-1)),"A",""))+INDEX(AE:AE,_xlfn.XMATCH(AC297,AC$1:AC296,0,-1))+1)</f>
        <v>12</v>
      </c>
      <c r="AE297" s="43">
        <f t="array" ref="AE297">SUM(IF(ISNUMBER(FIND("TmDi",$BE$1:$AAQ$1)),IF(IFERROR(ISNUMBER(VALUE(SUBSTITUTE($BE297:$AAQ297,"B",""))),FALSE),IF(ISNUMBER(VALUE(SUBSTITUTE($BE297:$AAQ297,"B",""))),1,0),0)))</f>
        <v>0</v>
      </c>
      <c r="AF297" t="str">
        <f t="shared" si="270"/>
        <v>C12</v>
      </c>
      <c r="AG297" t="str">
        <f t="shared" si="271"/>
        <v>B12</v>
      </c>
      <c r="AP297" t="s">
        <v>137</v>
      </c>
      <c r="AT297" t="s">
        <v>854</v>
      </c>
      <c r="AU297" t="s">
        <v>1399</v>
      </c>
      <c r="LZ297" s="27" t="str">
        <f t="shared" si="305"/>
        <v>DI19-C12</v>
      </c>
      <c r="MA297" t="str">
        <f t="shared" si="292"/>
        <v>DI19-B12</v>
      </c>
      <c r="MB297" t="s">
        <v>1887</v>
      </c>
      <c r="MC297" t="s">
        <v>1888</v>
      </c>
      <c r="MD297">
        <f t="shared" si="306"/>
        <v>11</v>
      </c>
      <c r="ME297">
        <f t="shared" si="306"/>
        <v>14</v>
      </c>
      <c r="MF297" t="str">
        <f t="shared" si="306"/>
        <v>A1</v>
      </c>
      <c r="MG297" t="str">
        <f t="shared" si="306"/>
        <v>A2</v>
      </c>
      <c r="MH297" t="str">
        <f t="shared" si="306"/>
        <v>0v3</v>
      </c>
      <c r="MI297" t="str">
        <f t="shared" si="306"/>
        <v>24v3</v>
      </c>
      <c r="MJ297" t="str">
        <f t="shared" si="306"/>
        <v>0v6</v>
      </c>
      <c r="MK297" t="str">
        <f t="shared" si="306"/>
        <v>24v6</v>
      </c>
      <c r="MR297">
        <f t="shared" ref="MR297:MS300" si="307">MR296</f>
        <v>1</v>
      </c>
      <c r="MS297" s="16">
        <f t="shared" si="307"/>
        <v>2</v>
      </c>
    </row>
    <row r="298" spans="1:358" x14ac:dyDescent="0.25">
      <c r="A298" s="83" t="s">
        <v>3069</v>
      </c>
      <c r="B298" s="83" t="s">
        <v>3083</v>
      </c>
      <c r="P298" t="s">
        <v>1873</v>
      </c>
      <c r="T298" s="27" t="s">
        <v>3072</v>
      </c>
      <c r="AC298" t="str">
        <f>IF(AD297+AE297&gt;31,REPLACE(AC297,LEN(AC297),1,VALUE(RIGHT(AC297,1))+1),AC297)</f>
        <v>A5.19</v>
      </c>
      <c r="AD298" s="43">
        <f t="array" ref="AD298">IF(COUNTIFS(AC$2:AC298,AC298)=1,"1",VALUE(SUBSTITUTE(INDEX(AD:AD,_xlfn.XMATCH(AC298,AC$1:AC297,0,-1)),"A",""))+INDEX(AE:AE,_xlfn.XMATCH(AC298,AC$1:AC297,0,-1))+1)</f>
        <v>13</v>
      </c>
      <c r="AE298" s="43">
        <f t="array" ref="AE298">SUM(IF(ISNUMBER(FIND("TmDi",$BE$1:$AAQ$1)),IF(IFERROR(ISNUMBER(VALUE(SUBSTITUTE($BE298:$AAQ298,"B",""))),FALSE),IF(ISNUMBER(VALUE(SUBSTITUTE($BE298:$AAQ298,"B",""))),1,0),0)))</f>
        <v>0</v>
      </c>
      <c r="AF298" t="str">
        <f t="shared" si="270"/>
        <v>C13</v>
      </c>
      <c r="AG298" t="str">
        <f t="shared" si="271"/>
        <v>B13</v>
      </c>
      <c r="AP298" t="s">
        <v>137</v>
      </c>
      <c r="AT298" t="s">
        <v>854</v>
      </c>
      <c r="AU298" t="s">
        <v>1399</v>
      </c>
      <c r="LZ298" s="27" t="str">
        <f t="shared" si="305"/>
        <v>DI19-C13</v>
      </c>
      <c r="MA298" t="str">
        <f t="shared" si="292"/>
        <v>DI19-B13</v>
      </c>
      <c r="MB298" t="s">
        <v>1889</v>
      </c>
      <c r="MC298" t="s">
        <v>1890</v>
      </c>
      <c r="MD298">
        <f t="shared" si="306"/>
        <v>11</v>
      </c>
      <c r="ME298">
        <f t="shared" si="306"/>
        <v>14</v>
      </c>
      <c r="MF298" t="str">
        <f t="shared" si="306"/>
        <v>A1</v>
      </c>
      <c r="MG298" t="str">
        <f t="shared" si="306"/>
        <v>A2</v>
      </c>
      <c r="MH298" t="str">
        <f t="shared" si="306"/>
        <v>0v3</v>
      </c>
      <c r="MI298" t="str">
        <f t="shared" si="306"/>
        <v>24v3</v>
      </c>
      <c r="MJ298" t="str">
        <f t="shared" si="306"/>
        <v>0v6</v>
      </c>
      <c r="MK298" t="str">
        <f t="shared" si="306"/>
        <v>24v6</v>
      </c>
      <c r="MR298">
        <f t="shared" si="307"/>
        <v>1</v>
      </c>
      <c r="MS298" s="16">
        <f t="shared" si="307"/>
        <v>2</v>
      </c>
    </row>
    <row r="299" spans="1:358" x14ac:dyDescent="0.25">
      <c r="A299" s="83" t="s">
        <v>3070</v>
      </c>
      <c r="B299" s="83" t="s">
        <v>3084</v>
      </c>
      <c r="P299" t="s">
        <v>1873</v>
      </c>
      <c r="T299" s="27" t="s">
        <v>3072</v>
      </c>
      <c r="AC299" t="str">
        <f>IF(AD298+AE298&gt;31,REPLACE(AC298,LEN(AC298),1,VALUE(RIGHT(AC298,1))+1),AC298)</f>
        <v>A5.19</v>
      </c>
      <c r="AD299" s="43">
        <f t="array" ref="AD299">IF(COUNTIFS(AC$2:AC299,AC299)=1,"1",VALUE(SUBSTITUTE(INDEX(AD:AD,_xlfn.XMATCH(AC299,AC$1:AC298,0,-1)),"A",""))+INDEX(AE:AE,_xlfn.XMATCH(AC299,AC$1:AC298,0,-1))+1)</f>
        <v>14</v>
      </c>
      <c r="AE299" s="43">
        <f t="array" ref="AE299">SUM(IF(ISNUMBER(FIND("TmDi",$BE$1:$AAQ$1)),IF(IFERROR(ISNUMBER(VALUE(SUBSTITUTE($BE299:$AAQ299,"B",""))),FALSE),IF(ISNUMBER(VALUE(SUBSTITUTE($BE299:$AAQ299,"B",""))),1,0),0)))</f>
        <v>0</v>
      </c>
      <c r="AF299" t="str">
        <f t="shared" si="270"/>
        <v>C14</v>
      </c>
      <c r="AG299" t="str">
        <f t="shared" si="271"/>
        <v>B14</v>
      </c>
      <c r="AP299" t="s">
        <v>137</v>
      </c>
      <c r="AT299" t="s">
        <v>854</v>
      </c>
      <c r="AU299" t="s">
        <v>1399</v>
      </c>
      <c r="LZ299" s="27" t="str">
        <f t="shared" si="305"/>
        <v>DI19-C14</v>
      </c>
      <c r="MA299" t="str">
        <f t="shared" si="292"/>
        <v>DI19-B14</v>
      </c>
      <c r="MB299" t="s">
        <v>1891</v>
      </c>
      <c r="MC299" t="s">
        <v>1892</v>
      </c>
      <c r="MD299">
        <f t="shared" si="306"/>
        <v>11</v>
      </c>
      <c r="ME299">
        <f t="shared" si="306"/>
        <v>14</v>
      </c>
      <c r="MF299" t="str">
        <f t="shared" si="306"/>
        <v>A1</v>
      </c>
      <c r="MG299" t="str">
        <f t="shared" si="306"/>
        <v>A2</v>
      </c>
      <c r="MH299" t="str">
        <f t="shared" si="306"/>
        <v>0v3</v>
      </c>
      <c r="MI299" t="str">
        <f t="shared" si="306"/>
        <v>24v3</v>
      </c>
      <c r="MJ299" t="str">
        <f t="shared" si="306"/>
        <v>0v6</v>
      </c>
      <c r="MK299" t="str">
        <f t="shared" si="306"/>
        <v>24v6</v>
      </c>
      <c r="MR299">
        <f t="shared" si="307"/>
        <v>1</v>
      </c>
      <c r="MS299" s="16">
        <f t="shared" si="307"/>
        <v>2</v>
      </c>
    </row>
    <row r="300" spans="1:358" ht="15.75" thickBot="1" x14ac:dyDescent="0.3">
      <c r="A300" s="85" t="s">
        <v>3071</v>
      </c>
      <c r="B300" s="85" t="s">
        <v>3085</v>
      </c>
      <c r="P300" t="s">
        <v>1873</v>
      </c>
      <c r="T300" s="27" t="s">
        <v>3072</v>
      </c>
      <c r="AC300" t="str">
        <f>IF(AD299+AE299&gt;31,REPLACE(AC299,LEN(AC299),1,VALUE(RIGHT(AC299,1))+1),AC299)</f>
        <v>A5.19</v>
      </c>
      <c r="AD300" s="43">
        <f t="array" ref="AD300">IF(COUNTIFS(AC$2:AC300,AC300)=1,"1",VALUE(SUBSTITUTE(INDEX(AD:AD,_xlfn.XMATCH(AC300,AC$1:AC299,0,-1)),"A",""))+INDEX(AE:AE,_xlfn.XMATCH(AC300,AC$1:AC299,0,-1))+1)</f>
        <v>15</v>
      </c>
      <c r="AE300" s="43">
        <f t="array" ref="AE300">SUM(IF(ISNUMBER(FIND("TmDi",$BE$1:$AAQ$1)),IF(IFERROR(ISNUMBER(VALUE(SUBSTITUTE($BE300:$AAQ300,"B",""))),FALSE),IF(ISNUMBER(VALUE(SUBSTITUTE($BE300:$AAQ300,"B",""))),1,0),0)))</f>
        <v>0</v>
      </c>
      <c r="AF300" t="str">
        <f t="shared" si="270"/>
        <v>C15</v>
      </c>
      <c r="AG300" t="str">
        <f t="shared" si="271"/>
        <v>B15</v>
      </c>
      <c r="AP300" t="s">
        <v>137</v>
      </c>
      <c r="AT300" t="s">
        <v>854</v>
      </c>
      <c r="AU300" t="s">
        <v>1399</v>
      </c>
      <c r="LZ300" s="27" t="str">
        <f t="shared" si="305"/>
        <v>DI19-C15</v>
      </c>
      <c r="MA300" t="str">
        <f t="shared" si="292"/>
        <v>DI19-B15</v>
      </c>
      <c r="MB300" t="s">
        <v>1891</v>
      </c>
      <c r="MC300" t="s">
        <v>1892</v>
      </c>
      <c r="MD300">
        <f t="shared" si="306"/>
        <v>11</v>
      </c>
      <c r="ME300">
        <f t="shared" si="306"/>
        <v>14</v>
      </c>
      <c r="MF300" t="str">
        <f t="shared" si="306"/>
        <v>A1</v>
      </c>
      <c r="MG300" t="str">
        <f t="shared" si="306"/>
        <v>A2</v>
      </c>
      <c r="MH300" t="str">
        <f t="shared" si="306"/>
        <v>0v3</v>
      </c>
      <c r="MI300" t="str">
        <f t="shared" si="306"/>
        <v>24v3</v>
      </c>
      <c r="MJ300" t="str">
        <f t="shared" si="306"/>
        <v>0v6</v>
      </c>
      <c r="MK300" t="str">
        <f t="shared" si="306"/>
        <v>24v6</v>
      </c>
      <c r="MR300">
        <f t="shared" si="307"/>
        <v>1</v>
      </c>
      <c r="MS300" s="16">
        <f t="shared" si="307"/>
        <v>2</v>
      </c>
    </row>
    <row r="301" spans="1:358" x14ac:dyDescent="0.25">
      <c r="A301" s="83" t="s">
        <v>3092</v>
      </c>
      <c r="B301" s="83" t="s">
        <v>3086</v>
      </c>
      <c r="P301" t="s">
        <v>1873</v>
      </c>
      <c r="T301" s="27" t="s">
        <v>3072</v>
      </c>
      <c r="AC301" t="s">
        <v>1865</v>
      </c>
      <c r="AD301" s="43">
        <f t="array" ref="AD301">IF(COUNTIFS(AC$2:AC301,AC301)=1,"1",VALUE(SUBSTITUTE(INDEX(AD:AD,_xlfn.XMATCH(AC301,AC$1:AC300,0,-1)),"A",""))+INDEX(AE:AE,_xlfn.XMATCH(AC301,AC$1:AC300,0,-1))+1)</f>
        <v>16</v>
      </c>
      <c r="AE301" s="43">
        <f t="array" ref="AE301">SUM(IF(ISNUMBER(FIND("TmDi",$BE$1:$AAQ$1)),IF(IFERROR(ISNUMBER(VALUE(SUBSTITUTE($BE301:$AAQ301,"B",""))),FALSE),IF(ISNUMBER(VALUE(SUBSTITUTE($BE301:$AAQ301,"B",""))),1,0),0)))</f>
        <v>0</v>
      </c>
      <c r="AF301" t="str">
        <f t="shared" si="270"/>
        <v>C16</v>
      </c>
      <c r="AG301" t="str">
        <f t="shared" si="271"/>
        <v>B16</v>
      </c>
      <c r="AP301" t="s">
        <v>137</v>
      </c>
      <c r="AT301" t="s">
        <v>854</v>
      </c>
      <c r="AU301" t="s">
        <v>1399</v>
      </c>
      <c r="LZ301" s="25" t="str">
        <f t="shared" si="305"/>
        <v>DI19-C16</v>
      </c>
      <c r="MA301" s="12" t="str">
        <f t="shared" si="292"/>
        <v>DI19-B16</v>
      </c>
      <c r="MB301" s="12" t="s">
        <v>1884</v>
      </c>
      <c r="MC301" s="12" t="s">
        <v>1883</v>
      </c>
      <c r="MD301" s="12">
        <v>11</v>
      </c>
      <c r="ME301" s="12">
        <v>14</v>
      </c>
      <c r="MF301" s="12" t="s">
        <v>142</v>
      </c>
      <c r="MG301" s="12" t="s">
        <v>143</v>
      </c>
      <c r="MH301" s="12" t="s">
        <v>488</v>
      </c>
      <c r="MI301" s="12" t="s">
        <v>487</v>
      </c>
      <c r="MJ301" s="12" t="s">
        <v>414</v>
      </c>
      <c r="MK301" s="12" t="s">
        <v>413</v>
      </c>
      <c r="ML301" s="12"/>
      <c r="MM301" s="12"/>
      <c r="MN301" s="12"/>
      <c r="MO301" s="12"/>
      <c r="MP301" s="12"/>
      <c r="MQ301" s="12"/>
      <c r="MR301" s="12">
        <v>1</v>
      </c>
      <c r="MS301" s="13">
        <v>2</v>
      </c>
      <c r="MT301" s="27"/>
    </row>
    <row r="302" spans="1:358" x14ac:dyDescent="0.25">
      <c r="A302" s="83" t="s">
        <v>3093</v>
      </c>
      <c r="B302" s="83" t="s">
        <v>3087</v>
      </c>
      <c r="P302" t="s">
        <v>1873</v>
      </c>
      <c r="T302" s="27" t="s">
        <v>3072</v>
      </c>
      <c r="AC302" t="str">
        <f>IF(AD301+AE301&gt;31,REPLACE(AC301,LEN(AC301),1,VALUE(RIGHT(AC301,1))+1),AC301)</f>
        <v>A5.19</v>
      </c>
      <c r="AD302" s="43">
        <f t="array" ref="AD302">IF(COUNTIFS(AC$2:AC302,AC302)=1,"1",VALUE(SUBSTITUTE(INDEX(AD:AD,_xlfn.XMATCH(AC302,AC$1:AC301,0,-1)),"A",""))+INDEX(AE:AE,_xlfn.XMATCH(AC302,AC$1:AC301,0,-1))+1)</f>
        <v>17</v>
      </c>
      <c r="AE302" s="43">
        <f t="array" ref="AE302">SUM(IF(ISNUMBER(FIND("TmDi",$BE$1:$AAQ$1)),IF(IFERROR(ISNUMBER(VALUE(SUBSTITUTE($BE302:$AAQ302,"B",""))),FALSE),IF(ISNUMBER(VALUE(SUBSTITUTE($BE302:$AAQ302,"B",""))),1,0),0)))</f>
        <v>0</v>
      </c>
      <c r="AF302" t="str">
        <f t="shared" si="270"/>
        <v>C17</v>
      </c>
      <c r="AG302" t="str">
        <f t="shared" si="271"/>
        <v>B17</v>
      </c>
      <c r="AP302" t="s">
        <v>137</v>
      </c>
      <c r="AT302" t="s">
        <v>854</v>
      </c>
      <c r="AU302" t="s">
        <v>1399</v>
      </c>
      <c r="LZ302" s="27" t="str">
        <f t="shared" si="305"/>
        <v>DI19-C17</v>
      </c>
      <c r="MA302" t="str">
        <f t="shared" si="292"/>
        <v>DI19-B17</v>
      </c>
      <c r="MB302" t="s">
        <v>1885</v>
      </c>
      <c r="MC302" t="s">
        <v>1886</v>
      </c>
      <c r="MD302">
        <f t="shared" ref="MD302:MK302" si="308">MD301</f>
        <v>11</v>
      </c>
      <c r="ME302">
        <f t="shared" si="308"/>
        <v>14</v>
      </c>
      <c r="MF302" t="str">
        <f t="shared" si="308"/>
        <v>A1</v>
      </c>
      <c r="MG302" t="str">
        <f t="shared" si="308"/>
        <v>A2</v>
      </c>
      <c r="MH302" t="str">
        <f t="shared" si="308"/>
        <v>0v3</v>
      </c>
      <c r="MI302" t="str">
        <f t="shared" si="308"/>
        <v>24v3</v>
      </c>
      <c r="MJ302" t="str">
        <f t="shared" si="308"/>
        <v>0v6</v>
      </c>
      <c r="MK302" t="str">
        <f t="shared" si="308"/>
        <v>24v6</v>
      </c>
      <c r="MR302">
        <f t="shared" ref="MR302:MS306" si="309">MR301</f>
        <v>1</v>
      </c>
      <c r="MS302" s="16">
        <f t="shared" si="309"/>
        <v>2</v>
      </c>
    </row>
    <row r="303" spans="1:358" x14ac:dyDescent="0.25">
      <c r="A303" s="83" t="s">
        <v>3094</v>
      </c>
      <c r="B303" s="83" t="s">
        <v>3088</v>
      </c>
      <c r="P303" t="s">
        <v>1873</v>
      </c>
      <c r="T303" s="27" t="s">
        <v>3072</v>
      </c>
      <c r="AC303" t="str">
        <f>IF(AD302+AE302&gt;31,REPLACE(AC302,LEN(AC302),1,VALUE(RIGHT(AC302,1))+1),AC302)</f>
        <v>A5.19</v>
      </c>
      <c r="AD303" s="43">
        <f t="array" ref="AD303">IF(COUNTIFS(AC$2:AC303,AC303)=1,"1",VALUE(SUBSTITUTE(INDEX(AD:AD,_xlfn.XMATCH(AC303,AC$1:AC302,0,-1)),"A",""))+INDEX(AE:AE,_xlfn.XMATCH(AC303,AC$1:AC302,0,-1))+1)</f>
        <v>18</v>
      </c>
      <c r="AE303" s="43">
        <f t="array" ref="AE303">SUM(IF(ISNUMBER(FIND("TmDi",$BE$1:$AAQ$1)),IF(IFERROR(ISNUMBER(VALUE(SUBSTITUTE($BE303:$AAQ303,"B",""))),FALSE),IF(ISNUMBER(VALUE(SUBSTITUTE($BE303:$AAQ303,"B",""))),1,0),0)))</f>
        <v>0</v>
      </c>
      <c r="AF303" t="str">
        <f t="shared" si="270"/>
        <v>C18</v>
      </c>
      <c r="AG303" t="str">
        <f t="shared" si="271"/>
        <v>B18</v>
      </c>
      <c r="AP303" t="s">
        <v>137</v>
      </c>
      <c r="AT303" t="s">
        <v>854</v>
      </c>
      <c r="AU303" t="s">
        <v>1399</v>
      </c>
      <c r="LZ303" s="27" t="str">
        <f t="shared" si="305"/>
        <v>DI19-C18</v>
      </c>
      <c r="MA303" t="str">
        <f t="shared" si="292"/>
        <v>DI19-B18</v>
      </c>
      <c r="MB303" t="s">
        <v>1887</v>
      </c>
      <c r="MC303" t="s">
        <v>1888</v>
      </c>
      <c r="MD303">
        <f t="shared" ref="MD303:MK303" si="310">MD302</f>
        <v>11</v>
      </c>
      <c r="ME303">
        <f t="shared" si="310"/>
        <v>14</v>
      </c>
      <c r="MF303" t="str">
        <f t="shared" si="310"/>
        <v>A1</v>
      </c>
      <c r="MG303" t="str">
        <f t="shared" si="310"/>
        <v>A2</v>
      </c>
      <c r="MH303" t="str">
        <f t="shared" si="310"/>
        <v>0v3</v>
      </c>
      <c r="MI303" t="str">
        <f t="shared" si="310"/>
        <v>24v3</v>
      </c>
      <c r="MJ303" t="str">
        <f t="shared" si="310"/>
        <v>0v6</v>
      </c>
      <c r="MK303" t="str">
        <f t="shared" si="310"/>
        <v>24v6</v>
      </c>
      <c r="MR303">
        <f t="shared" si="309"/>
        <v>1</v>
      </c>
      <c r="MS303" s="16">
        <f t="shared" si="309"/>
        <v>2</v>
      </c>
    </row>
    <row r="304" spans="1:358" x14ac:dyDescent="0.25">
      <c r="A304" s="83" t="s">
        <v>3095</v>
      </c>
      <c r="B304" s="83" t="s">
        <v>3089</v>
      </c>
      <c r="P304" t="s">
        <v>1873</v>
      </c>
      <c r="T304" s="27" t="s">
        <v>3072</v>
      </c>
      <c r="AC304" t="str">
        <f>IF(AD303+AE303&gt;31,REPLACE(AC303,LEN(AC303),1,VALUE(RIGHT(AC303,1))+1),AC303)</f>
        <v>A5.19</v>
      </c>
      <c r="AD304" s="43">
        <f t="array" ref="AD304">IF(COUNTIFS(AC$2:AC304,AC304)=1,"1",VALUE(SUBSTITUTE(INDEX(AD:AD,_xlfn.XMATCH(AC304,AC$1:AC303,0,-1)),"A",""))+INDEX(AE:AE,_xlfn.XMATCH(AC304,AC$1:AC303,0,-1))+1)</f>
        <v>19</v>
      </c>
      <c r="AE304" s="43">
        <f t="array" ref="AE304">SUM(IF(ISNUMBER(FIND("TmDi",$BE$1:$AAQ$1)),IF(IFERROR(ISNUMBER(VALUE(SUBSTITUTE($BE304:$AAQ304,"B",""))),FALSE),IF(ISNUMBER(VALUE(SUBSTITUTE($BE304:$AAQ304,"B",""))),1,0),0)))</f>
        <v>0</v>
      </c>
      <c r="AF304" t="str">
        <f t="shared" si="270"/>
        <v>C19</v>
      </c>
      <c r="AG304" t="str">
        <f t="shared" si="271"/>
        <v>B19</v>
      </c>
      <c r="AP304" t="s">
        <v>137</v>
      </c>
      <c r="AT304" t="s">
        <v>854</v>
      </c>
      <c r="AU304" t="s">
        <v>1399</v>
      </c>
      <c r="LZ304" s="27" t="str">
        <f t="shared" si="305"/>
        <v>DI19-C19</v>
      </c>
      <c r="MA304" t="str">
        <f t="shared" si="292"/>
        <v>DI19-B19</v>
      </c>
      <c r="MB304" t="s">
        <v>1889</v>
      </c>
      <c r="MC304" t="s">
        <v>1890</v>
      </c>
      <c r="MD304">
        <f t="shared" ref="MD304:MK304" si="311">MD303</f>
        <v>11</v>
      </c>
      <c r="ME304">
        <f t="shared" si="311"/>
        <v>14</v>
      </c>
      <c r="MF304" t="str">
        <f t="shared" si="311"/>
        <v>A1</v>
      </c>
      <c r="MG304" t="str">
        <f t="shared" si="311"/>
        <v>A2</v>
      </c>
      <c r="MH304" t="str">
        <f t="shared" si="311"/>
        <v>0v3</v>
      </c>
      <c r="MI304" t="str">
        <f t="shared" si="311"/>
        <v>24v3</v>
      </c>
      <c r="MJ304" t="str">
        <f t="shared" si="311"/>
        <v>0v6</v>
      </c>
      <c r="MK304" t="str">
        <f t="shared" si="311"/>
        <v>24v6</v>
      </c>
      <c r="MR304">
        <f t="shared" si="309"/>
        <v>1</v>
      </c>
      <c r="MS304" s="16">
        <f t="shared" si="309"/>
        <v>2</v>
      </c>
    </row>
    <row r="305" spans="1:585" x14ac:dyDescent="0.25">
      <c r="A305" s="83" t="s">
        <v>3096</v>
      </c>
      <c r="B305" s="83" t="s">
        <v>3090</v>
      </c>
      <c r="P305" t="s">
        <v>1873</v>
      </c>
      <c r="T305" s="27" t="s">
        <v>3072</v>
      </c>
      <c r="AC305" t="str">
        <f>IF(AD304+AE304&gt;31,REPLACE(AC304,LEN(AC304),1,VALUE(RIGHT(AC304,1))+1),AC304)</f>
        <v>A5.19</v>
      </c>
      <c r="AD305" s="43">
        <f t="array" ref="AD305">IF(COUNTIFS(AC$2:AC305,AC305)=1,"1",VALUE(SUBSTITUTE(INDEX(AD:AD,_xlfn.XMATCH(AC305,AC$1:AC304,0,-1)),"A",""))+INDEX(AE:AE,_xlfn.XMATCH(AC305,AC$1:AC304,0,-1))+1)</f>
        <v>20</v>
      </c>
      <c r="AE305" s="43">
        <f t="array" ref="AE305">SUM(IF(ISNUMBER(FIND("TmDi",$BE$1:$AAQ$1)),IF(IFERROR(ISNUMBER(VALUE(SUBSTITUTE($BE305:$AAQ305,"B",""))),FALSE),IF(ISNUMBER(VALUE(SUBSTITUTE($BE305:$AAQ305,"B",""))),1,0),0)))</f>
        <v>0</v>
      </c>
      <c r="AF305" t="str">
        <f t="shared" si="270"/>
        <v>C20</v>
      </c>
      <c r="AG305" t="str">
        <f t="shared" si="271"/>
        <v>B20</v>
      </c>
      <c r="AP305" t="s">
        <v>137</v>
      </c>
      <c r="AT305" t="s">
        <v>854</v>
      </c>
      <c r="AU305" t="s">
        <v>1399</v>
      </c>
      <c r="LZ305" s="27" t="str">
        <f t="shared" si="305"/>
        <v>DI19-C20</v>
      </c>
      <c r="MA305" t="str">
        <f t="shared" si="292"/>
        <v>DI19-B20</v>
      </c>
      <c r="MB305" t="s">
        <v>1891</v>
      </c>
      <c r="MC305" t="s">
        <v>1892</v>
      </c>
      <c r="MD305">
        <f t="shared" ref="MD305:MK305" si="312">MD304</f>
        <v>11</v>
      </c>
      <c r="ME305">
        <f t="shared" si="312"/>
        <v>14</v>
      </c>
      <c r="MF305" t="str">
        <f t="shared" si="312"/>
        <v>A1</v>
      </c>
      <c r="MG305" t="str">
        <f t="shared" si="312"/>
        <v>A2</v>
      </c>
      <c r="MH305" t="str">
        <f t="shared" si="312"/>
        <v>0v3</v>
      </c>
      <c r="MI305" t="str">
        <f t="shared" si="312"/>
        <v>24v3</v>
      </c>
      <c r="MJ305" t="str">
        <f t="shared" si="312"/>
        <v>0v6</v>
      </c>
      <c r="MK305" t="str">
        <f t="shared" si="312"/>
        <v>24v6</v>
      </c>
      <c r="MR305">
        <f t="shared" si="309"/>
        <v>1</v>
      </c>
      <c r="MS305" s="16">
        <f t="shared" si="309"/>
        <v>2</v>
      </c>
    </row>
    <row r="306" spans="1:585" x14ac:dyDescent="0.25">
      <c r="A306" s="85" t="s">
        <v>3097</v>
      </c>
      <c r="B306" s="85" t="s">
        <v>3091</v>
      </c>
      <c r="P306" t="s">
        <v>1873</v>
      </c>
      <c r="T306" s="27" t="s">
        <v>3072</v>
      </c>
      <c r="AC306" t="str">
        <f>IF(AD305+AE305&gt;31,REPLACE(AC305,LEN(AC305),1,VALUE(RIGHT(AC305,1))+1),AC305)</f>
        <v>A5.19</v>
      </c>
      <c r="AD306" s="43">
        <f t="array" ref="AD306">IF(COUNTIFS(AC$2:AC306,AC306)=1,"1",VALUE(SUBSTITUTE(INDEX(AD:AD,_xlfn.XMATCH(AC306,AC$1:AC305,0,-1)),"A",""))+INDEX(AE:AE,_xlfn.XMATCH(AC306,AC$1:AC305,0,-1))+1)</f>
        <v>21</v>
      </c>
      <c r="AE306" s="43">
        <f t="array" ref="AE306">SUM(IF(ISNUMBER(FIND("TmDi",$BE$1:$AAQ$1)),IF(IFERROR(ISNUMBER(VALUE(SUBSTITUTE($BE306:$AAQ306,"B",""))),FALSE),IF(ISNUMBER(VALUE(SUBSTITUTE($BE306:$AAQ306,"B",""))),1,0),0)))</f>
        <v>0</v>
      </c>
      <c r="AF306" t="str">
        <f t="shared" si="270"/>
        <v>C21</v>
      </c>
      <c r="AG306" t="str">
        <f t="shared" si="271"/>
        <v>B21</v>
      </c>
      <c r="AP306" t="s">
        <v>137</v>
      </c>
      <c r="AT306" t="s">
        <v>854</v>
      </c>
      <c r="AU306" t="s">
        <v>1399</v>
      </c>
      <c r="LZ306" s="27" t="str">
        <f t="shared" si="305"/>
        <v>DI19-C21</v>
      </c>
      <c r="MA306" t="str">
        <f t="shared" si="292"/>
        <v>DI19-B21</v>
      </c>
      <c r="MB306" t="s">
        <v>1891</v>
      </c>
      <c r="MC306" t="s">
        <v>1892</v>
      </c>
      <c r="MD306">
        <f t="shared" ref="MD306:MK306" si="313">MD305</f>
        <v>11</v>
      </c>
      <c r="ME306">
        <f t="shared" si="313"/>
        <v>14</v>
      </c>
      <c r="MF306" t="str">
        <f t="shared" si="313"/>
        <v>A1</v>
      </c>
      <c r="MG306" t="str">
        <f t="shared" si="313"/>
        <v>A2</v>
      </c>
      <c r="MH306" t="str">
        <f t="shared" si="313"/>
        <v>0v3</v>
      </c>
      <c r="MI306" t="str">
        <f t="shared" si="313"/>
        <v>24v3</v>
      </c>
      <c r="MJ306" t="str">
        <f t="shared" si="313"/>
        <v>0v6</v>
      </c>
      <c r="MK306" t="str">
        <f t="shared" si="313"/>
        <v>24v6</v>
      </c>
      <c r="MR306">
        <f t="shared" si="309"/>
        <v>1</v>
      </c>
      <c r="MS306" s="16">
        <f t="shared" si="309"/>
        <v>2</v>
      </c>
    </row>
    <row r="307" spans="1:585" ht="30" x14ac:dyDescent="0.25">
      <c r="A307" s="83" t="s">
        <v>1922</v>
      </c>
      <c r="B307" s="83" t="s">
        <v>1930</v>
      </c>
      <c r="P307" t="s">
        <v>1939</v>
      </c>
      <c r="T307" s="27" t="s">
        <v>554</v>
      </c>
      <c r="U307">
        <v>107</v>
      </c>
      <c r="V307" t="s">
        <v>2983</v>
      </c>
      <c r="AP307" t="s">
        <v>137</v>
      </c>
      <c r="AQ307" t="s">
        <v>1005</v>
      </c>
      <c r="MA307" t="str">
        <f t="shared" si="292"/>
        <v>DI-</v>
      </c>
      <c r="TX307" s="29" t="s">
        <v>3375</v>
      </c>
      <c r="TY307" t="s">
        <v>1948</v>
      </c>
      <c r="TZ307" t="s">
        <v>1949</v>
      </c>
      <c r="UA307" t="s">
        <v>1950</v>
      </c>
      <c r="UB307" t="s">
        <v>1951</v>
      </c>
      <c r="UC307" t="s">
        <v>1952</v>
      </c>
      <c r="UD307" t="s">
        <v>1953</v>
      </c>
      <c r="UE307" t="s">
        <v>1954</v>
      </c>
      <c r="UF307" t="str">
        <f>CONCATENATE("XT",$U307)</f>
        <v>XT107</v>
      </c>
      <c r="UG307">
        <v>1</v>
      </c>
      <c r="UH307">
        <f t="shared" ref="UH307:UI315" si="314">UG307+1</f>
        <v>2</v>
      </c>
      <c r="UI307">
        <f t="shared" si="314"/>
        <v>3</v>
      </c>
    </row>
    <row r="308" spans="1:585" ht="30" x14ac:dyDescent="0.25">
      <c r="A308" s="83" t="s">
        <v>1924</v>
      </c>
      <c r="B308" s="83" t="s">
        <v>1931</v>
      </c>
      <c r="P308" t="s">
        <v>1939</v>
      </c>
      <c r="T308" s="27" t="s">
        <v>554</v>
      </c>
      <c r="U308">
        <v>107</v>
      </c>
      <c r="V308" t="s">
        <v>2977</v>
      </c>
      <c r="AQ308" t="s">
        <v>1248</v>
      </c>
      <c r="MA308" t="str">
        <f t="shared" si="292"/>
        <v>DI-</v>
      </c>
      <c r="TX308" s="29" t="s">
        <v>3376</v>
      </c>
      <c r="TY308" t="s">
        <v>1948</v>
      </c>
      <c r="TZ308" t="s">
        <v>1949</v>
      </c>
      <c r="UA308" t="s">
        <v>1950</v>
      </c>
      <c r="UB308" t="s">
        <v>1951</v>
      </c>
      <c r="UC308" t="s">
        <v>1955</v>
      </c>
      <c r="UD308" t="s">
        <v>1956</v>
      </c>
      <c r="UE308" t="s">
        <v>1957</v>
      </c>
      <c r="UF308" t="str">
        <f t="shared" ref="UF308:UF315" si="315">CONCATENATE("XT",$U308)</f>
        <v>XT107</v>
      </c>
      <c r="UG308">
        <f t="shared" ref="UG308:UG315" si="316">UG307+3</f>
        <v>4</v>
      </c>
      <c r="UH308">
        <f t="shared" si="314"/>
        <v>5</v>
      </c>
      <c r="UI308">
        <f t="shared" si="314"/>
        <v>6</v>
      </c>
    </row>
    <row r="309" spans="1:585" ht="30" x14ac:dyDescent="0.25">
      <c r="A309" s="83" t="s">
        <v>1925</v>
      </c>
      <c r="B309" s="83" t="s">
        <v>1932</v>
      </c>
      <c r="P309" t="s">
        <v>1939</v>
      </c>
      <c r="T309" s="27" t="s">
        <v>554</v>
      </c>
      <c r="U309">
        <v>107</v>
      </c>
      <c r="V309" t="s">
        <v>2978</v>
      </c>
      <c r="AQ309" t="s">
        <v>1258</v>
      </c>
      <c r="MA309" t="str">
        <f t="shared" si="292"/>
        <v>DI-</v>
      </c>
      <c r="TX309" s="29" t="s">
        <v>3377</v>
      </c>
      <c r="TY309" t="s">
        <v>1948</v>
      </c>
      <c r="TZ309" t="s">
        <v>1949</v>
      </c>
      <c r="UA309" t="s">
        <v>1950</v>
      </c>
      <c r="UB309" t="s">
        <v>1951</v>
      </c>
      <c r="UC309" t="s">
        <v>1961</v>
      </c>
      <c r="UD309" t="s">
        <v>1963</v>
      </c>
      <c r="UE309" t="s">
        <v>1965</v>
      </c>
      <c r="UF309" t="str">
        <f t="shared" si="315"/>
        <v>XT107</v>
      </c>
      <c r="UG309">
        <f t="shared" si="316"/>
        <v>7</v>
      </c>
      <c r="UH309">
        <f t="shared" si="314"/>
        <v>8</v>
      </c>
      <c r="UI309">
        <f t="shared" si="314"/>
        <v>9</v>
      </c>
    </row>
    <row r="310" spans="1:585" ht="30" x14ac:dyDescent="0.25">
      <c r="A310" s="83" t="s">
        <v>1926</v>
      </c>
      <c r="B310" s="83" t="s">
        <v>1933</v>
      </c>
      <c r="P310" t="s">
        <v>1939</v>
      </c>
      <c r="T310" s="27" t="s">
        <v>554</v>
      </c>
      <c r="U310">
        <v>107</v>
      </c>
      <c r="V310" t="s">
        <v>2979</v>
      </c>
      <c r="AQ310" t="s">
        <v>1269</v>
      </c>
      <c r="MA310" t="str">
        <f t="shared" si="292"/>
        <v>DI-</v>
      </c>
      <c r="TX310" s="29" t="s">
        <v>3378</v>
      </c>
      <c r="TY310" t="s">
        <v>1948</v>
      </c>
      <c r="TZ310" t="s">
        <v>1949</v>
      </c>
      <c r="UA310" t="s">
        <v>1950</v>
      </c>
      <c r="UB310" t="s">
        <v>1951</v>
      </c>
      <c r="UC310" t="s">
        <v>1962</v>
      </c>
      <c r="UD310" t="s">
        <v>1964</v>
      </c>
      <c r="UE310" t="s">
        <v>1966</v>
      </c>
      <c r="UF310" t="str">
        <f t="shared" si="315"/>
        <v>XT107</v>
      </c>
      <c r="UG310">
        <f t="shared" si="316"/>
        <v>10</v>
      </c>
      <c r="UH310">
        <f t="shared" si="314"/>
        <v>11</v>
      </c>
      <c r="UI310">
        <f t="shared" si="314"/>
        <v>12</v>
      </c>
    </row>
    <row r="311" spans="1:585" ht="30" x14ac:dyDescent="0.25">
      <c r="A311" s="83" t="s">
        <v>1927</v>
      </c>
      <c r="B311" s="83" t="s">
        <v>1934</v>
      </c>
      <c r="P311" t="s">
        <v>1939</v>
      </c>
      <c r="T311" s="27" t="s">
        <v>554</v>
      </c>
      <c r="U311">
        <v>107</v>
      </c>
      <c r="V311" t="s">
        <v>2980</v>
      </c>
      <c r="AQ311" t="s">
        <v>1289</v>
      </c>
      <c r="MA311" t="str">
        <f t="shared" si="292"/>
        <v>DI-</v>
      </c>
      <c r="TX311" s="29" t="s">
        <v>3379</v>
      </c>
      <c r="TY311" t="s">
        <v>1948</v>
      </c>
      <c r="TZ311" t="s">
        <v>1949</v>
      </c>
      <c r="UA311" t="s">
        <v>1950</v>
      </c>
      <c r="UB311" t="s">
        <v>1951</v>
      </c>
      <c r="UC311" t="s">
        <v>1952</v>
      </c>
      <c r="UD311" t="s">
        <v>1953</v>
      </c>
      <c r="UE311" t="s">
        <v>1954</v>
      </c>
      <c r="UF311" t="str">
        <f>CONCATENATE("XT",$U311)</f>
        <v>XT107</v>
      </c>
      <c r="UG311">
        <f t="shared" si="316"/>
        <v>13</v>
      </c>
      <c r="UH311">
        <f t="shared" si="314"/>
        <v>14</v>
      </c>
      <c r="UI311">
        <f t="shared" si="314"/>
        <v>15</v>
      </c>
    </row>
    <row r="312" spans="1:585" ht="30" x14ac:dyDescent="0.25">
      <c r="A312" s="83" t="s">
        <v>1928</v>
      </c>
      <c r="B312" s="83" t="s">
        <v>1935</v>
      </c>
      <c r="P312" t="s">
        <v>1939</v>
      </c>
      <c r="T312" s="27" t="s">
        <v>554</v>
      </c>
      <c r="U312">
        <v>107</v>
      </c>
      <c r="V312" t="s">
        <v>2981</v>
      </c>
      <c r="AQ312" t="s">
        <v>1300</v>
      </c>
      <c r="MA312" t="str">
        <f t="shared" si="292"/>
        <v>DI-</v>
      </c>
      <c r="TX312" s="29" t="s">
        <v>3380</v>
      </c>
      <c r="TY312" t="s">
        <v>1948</v>
      </c>
      <c r="TZ312" t="s">
        <v>1949</v>
      </c>
      <c r="UA312" t="s">
        <v>1950</v>
      </c>
      <c r="UB312" t="s">
        <v>1951</v>
      </c>
      <c r="UC312" t="s">
        <v>1955</v>
      </c>
      <c r="UD312" t="s">
        <v>1956</v>
      </c>
      <c r="UE312" t="s">
        <v>1957</v>
      </c>
      <c r="UF312" t="str">
        <f t="shared" si="315"/>
        <v>XT107</v>
      </c>
      <c r="UG312">
        <f t="shared" si="316"/>
        <v>16</v>
      </c>
      <c r="UH312">
        <f t="shared" si="314"/>
        <v>17</v>
      </c>
      <c r="UI312">
        <f t="shared" si="314"/>
        <v>18</v>
      </c>
    </row>
    <row r="313" spans="1:585" ht="30" x14ac:dyDescent="0.25">
      <c r="A313" s="83" t="s">
        <v>1929</v>
      </c>
      <c r="B313" s="83" t="s">
        <v>1936</v>
      </c>
      <c r="P313" t="s">
        <v>1939</v>
      </c>
      <c r="T313" s="27" t="s">
        <v>554</v>
      </c>
      <c r="U313">
        <v>107</v>
      </c>
      <c r="V313" t="s">
        <v>2982</v>
      </c>
      <c r="AQ313" t="s">
        <v>1302</v>
      </c>
      <c r="MA313" t="str">
        <f t="shared" si="292"/>
        <v>DI-</v>
      </c>
      <c r="TX313" s="29" t="s">
        <v>3381</v>
      </c>
      <c r="TY313" t="s">
        <v>1948</v>
      </c>
      <c r="TZ313" t="s">
        <v>1949</v>
      </c>
      <c r="UA313" t="s">
        <v>1950</v>
      </c>
      <c r="UB313" t="s">
        <v>1951</v>
      </c>
      <c r="UC313" t="s">
        <v>1961</v>
      </c>
      <c r="UD313" t="s">
        <v>1963</v>
      </c>
      <c r="UE313" t="s">
        <v>1965</v>
      </c>
      <c r="UF313" t="str">
        <f t="shared" si="315"/>
        <v>XT107</v>
      </c>
      <c r="UG313">
        <f t="shared" si="316"/>
        <v>19</v>
      </c>
      <c r="UH313">
        <f t="shared" si="314"/>
        <v>20</v>
      </c>
      <c r="UI313">
        <f t="shared" si="314"/>
        <v>21</v>
      </c>
    </row>
    <row r="314" spans="1:585" ht="30" x14ac:dyDescent="0.25">
      <c r="A314" s="83" t="s">
        <v>1923</v>
      </c>
      <c r="B314" s="83" t="s">
        <v>1937</v>
      </c>
      <c r="P314" t="s">
        <v>1939</v>
      </c>
      <c r="T314" s="27" t="s">
        <v>554</v>
      </c>
      <c r="U314">
        <v>107</v>
      </c>
      <c r="V314" t="s">
        <v>3060</v>
      </c>
      <c r="AQ314" t="s">
        <v>1400</v>
      </c>
      <c r="MA314" t="str">
        <f t="shared" si="292"/>
        <v>DI-</v>
      </c>
      <c r="TX314" s="29" t="s">
        <v>3382</v>
      </c>
      <c r="TY314" t="s">
        <v>1948</v>
      </c>
      <c r="TZ314" t="s">
        <v>1949</v>
      </c>
      <c r="UA314" t="s">
        <v>1950</v>
      </c>
      <c r="UB314" t="s">
        <v>1951</v>
      </c>
      <c r="UC314" t="s">
        <v>1962</v>
      </c>
      <c r="UD314" t="s">
        <v>1964</v>
      </c>
      <c r="UE314" t="s">
        <v>1966</v>
      </c>
      <c r="UF314" t="str">
        <f t="shared" si="315"/>
        <v>XT107</v>
      </c>
      <c r="UG314">
        <f t="shared" si="316"/>
        <v>22</v>
      </c>
      <c r="UH314">
        <f t="shared" si="314"/>
        <v>23</v>
      </c>
      <c r="UI314">
        <f t="shared" si="314"/>
        <v>24</v>
      </c>
    </row>
    <row r="315" spans="1:585" s="19" customFormat="1" ht="30.75" thickBot="1" x14ac:dyDescent="0.3">
      <c r="A315" s="88" t="s">
        <v>1921</v>
      </c>
      <c r="B315" s="88" t="s">
        <v>1938</v>
      </c>
      <c r="P315" s="19" t="s">
        <v>1939</v>
      </c>
      <c r="T315" s="28" t="s">
        <v>554</v>
      </c>
      <c r="U315" s="19">
        <v>107</v>
      </c>
      <c r="V315" s="19" t="s">
        <v>3061</v>
      </c>
      <c r="AI315" s="70"/>
      <c r="AJ315" s="70"/>
      <c r="AQ315" s="19" t="s">
        <v>1778</v>
      </c>
      <c r="MA315" s="19" t="str">
        <f t="shared" si="292"/>
        <v>DI-</v>
      </c>
      <c r="TX315" s="56" t="s">
        <v>3383</v>
      </c>
      <c r="TY315" s="19" t="s">
        <v>1948</v>
      </c>
      <c r="TZ315" s="19" t="s">
        <v>1949</v>
      </c>
      <c r="UA315" s="19" t="s">
        <v>1950</v>
      </c>
      <c r="UB315" s="19" t="s">
        <v>1951</v>
      </c>
      <c r="UC315" s="19" t="s">
        <v>1972</v>
      </c>
      <c r="UD315" s="19" t="s">
        <v>1973</v>
      </c>
      <c r="UE315" s="19" t="s">
        <v>1974</v>
      </c>
      <c r="UF315" s="19" t="str">
        <f t="shared" si="315"/>
        <v>XT107</v>
      </c>
      <c r="UG315" s="19">
        <f t="shared" si="316"/>
        <v>25</v>
      </c>
      <c r="UH315" s="19">
        <f t="shared" si="314"/>
        <v>26</v>
      </c>
      <c r="UI315" s="19">
        <f t="shared" si="314"/>
        <v>27</v>
      </c>
    </row>
    <row r="316" spans="1:585" x14ac:dyDescent="0.25">
      <c r="A316" s="83" t="s">
        <v>1982</v>
      </c>
      <c r="B316" s="83" t="s">
        <v>1980</v>
      </c>
      <c r="C316" t="s">
        <v>498</v>
      </c>
      <c r="P316" t="s">
        <v>482</v>
      </c>
      <c r="T316" s="10" t="s">
        <v>1984</v>
      </c>
      <c r="U316">
        <v>1</v>
      </c>
      <c r="V316" t="s">
        <v>1994</v>
      </c>
      <c r="X316" t="s">
        <v>400</v>
      </c>
      <c r="Y316" s="43" t="str">
        <f t="array" ref="Y316">IF(COUNTIFS($X$315:$X316,$X316)=1,"1",VALUE(SUBSTITUTE(INDEX(Y:Y,_xlfn.XMATCH($X316,$X$1:$X315,0,-1)),"A",""))+INDEX(Z:Z,_xlfn.XMATCH($X316,$X$1:$X315,0,-1))+1)</f>
        <v>1</v>
      </c>
      <c r="Z316" s="43">
        <f t="array" ref="Z316">SUM(IF(ISNUMBER(FIND("TmAi",$BE$1:$AAQ$1)),IF(IFERROR(ISODD(SUBSTITUTE($BE316:$AAQ316,"A","")),FALSE),IF(ISODD(SUBSTITUTE($BE316:$AAQ316,"A","")),1,0),0)))</f>
        <v>0</v>
      </c>
      <c r="AA316" t="str">
        <f>CONCATENATE($Y316*2-1,"B")</f>
        <v>1B</v>
      </c>
      <c r="AB316" t="str">
        <f>CONCATENATE($Y316*2,"B")</f>
        <v>2B</v>
      </c>
      <c r="AP316" t="s">
        <v>1987</v>
      </c>
      <c r="AS316" t="s">
        <v>396</v>
      </c>
      <c r="JZ316" s="27" t="str">
        <f>CONCATENATE("XT",U316)</f>
        <v>XT1</v>
      </c>
      <c r="KC316" t="str">
        <f>CONCATENATE(T316,"-AI",REPLACE($X316,1,3,""),"-",AA316)</f>
        <v>E1-AI1-1B</v>
      </c>
      <c r="KD316" t="str">
        <f>CONCATENATE(T316,"-AI",REPLACE($X316,1,3,""),"-",AB316)</f>
        <v>E1-AI1-2B</v>
      </c>
      <c r="KI316">
        <v>1</v>
      </c>
      <c r="KJ316">
        <f>KI316+1</f>
        <v>2</v>
      </c>
      <c r="KK316">
        <f>KJ316+1</f>
        <v>3</v>
      </c>
      <c r="KN316">
        <v>1</v>
      </c>
      <c r="KO316" s="16">
        <v>2</v>
      </c>
      <c r="KS316" s="16"/>
      <c r="MA316" t="str">
        <f t="shared" si="292"/>
        <v>DI-</v>
      </c>
    </row>
    <row r="317" spans="1:585" ht="15.75" thickBot="1" x14ac:dyDescent="0.3">
      <c r="A317" s="83" t="s">
        <v>1983</v>
      </c>
      <c r="B317" s="83" t="s">
        <v>1981</v>
      </c>
      <c r="C317" t="s">
        <v>498</v>
      </c>
      <c r="P317" t="s">
        <v>482</v>
      </c>
      <c r="T317" s="14" t="s">
        <v>1984</v>
      </c>
      <c r="U317">
        <v>1</v>
      </c>
      <c r="V317" t="s">
        <v>1993</v>
      </c>
      <c r="X317" t="str">
        <f>IF(COUNTIF(X$316:X316,X316)&gt;7,REPLACE(X316,LEN(X316),1,VALUE(RIGHT(X316,1))+1),X316)</f>
        <v>A3.1</v>
      </c>
      <c r="Y317" s="43">
        <f t="array" ref="Y317">IF(COUNTIFS($X$315:$X317,$X317)=1,"1",VALUE(SUBSTITUTE(INDEX(Y:Y,_xlfn.XMATCH($X317,$X$1:$X316,0,-1)),"A",""))+INDEX(Z:Z,_xlfn.XMATCH($X317,$X$1:$X316,0,-1))+1)</f>
        <v>2</v>
      </c>
      <c r="Z317" s="43">
        <f t="array" ref="Z317">SUM(IF(ISNUMBER(FIND("TmAi",$BE$1:$AAQ$1)),IF(IFERROR(ISODD(SUBSTITUTE($BE317:$AAQ317,"A","")),FALSE),IF(ISODD(SUBSTITUTE($BE317:$AAQ317,"A","")),1,0),0)))</f>
        <v>0</v>
      </c>
      <c r="AA317" t="str">
        <f>CONCATENATE($Y317*2-1,"B")</f>
        <v>3B</v>
      </c>
      <c r="AB317" t="str">
        <f>CONCATENATE($Y317*2,"B")</f>
        <v>4B</v>
      </c>
      <c r="AP317" t="s">
        <v>1987</v>
      </c>
      <c r="AS317" t="s">
        <v>396</v>
      </c>
      <c r="JZ317" s="27" t="str">
        <f>CONCATENATE("XT",U317)</f>
        <v>XT1</v>
      </c>
      <c r="KC317" t="str">
        <f>CONCATENATE(T317,"-AI",REPLACE($X317,1,3,""),"-",AA317)</f>
        <v>E1-AI1-3B</v>
      </c>
      <c r="KD317" t="str">
        <f>CONCATENATE(T317,"-AI",REPLACE($X317,1,3,""),"-",AB317)</f>
        <v>E1-AI1-4B</v>
      </c>
      <c r="KI317">
        <f t="array" ref="KI317">IF(COUNTIFS($U$2:$U317,$U317)=1,1,INDEX(KI:KI,_xlfn.XMATCH(U317,U$1:U316,0,-1))+COUNT(KI316:KM316))</f>
        <v>4</v>
      </c>
      <c r="KJ317">
        <f>KI317+1</f>
        <v>5</v>
      </c>
      <c r="KK317">
        <f>KJ317+1</f>
        <v>6</v>
      </c>
      <c r="KN317">
        <v>1</v>
      </c>
      <c r="KO317" s="16">
        <v>2</v>
      </c>
      <c r="KS317" s="16"/>
      <c r="MA317" t="str">
        <f t="shared" si="292"/>
        <v>DI-</v>
      </c>
    </row>
    <row r="318" spans="1:585" ht="15.75" thickBot="1" x14ac:dyDescent="0.3">
      <c r="A318" s="83" t="s">
        <v>1989</v>
      </c>
      <c r="B318" s="83" t="s">
        <v>1988</v>
      </c>
      <c r="C318" t="s">
        <v>1990</v>
      </c>
      <c r="P318" t="s">
        <v>1991</v>
      </c>
      <c r="T318" s="27" t="s">
        <v>1984</v>
      </c>
      <c r="U318">
        <v>2</v>
      </c>
      <c r="V318" t="s">
        <v>1992</v>
      </c>
      <c r="Y318" s="43"/>
      <c r="Z318" s="43"/>
      <c r="AC318" t="s">
        <v>131</v>
      </c>
      <c r="AD318" s="43">
        <v>1</v>
      </c>
      <c r="AE318" s="43">
        <f t="array" ref="AE318">SUM(IF(ISNUMBER(FIND("TmDi",$BE$1:$AAQ$1)),IF(IFERROR(ISNUMBER(VALUE(SUBSTITUTE($BE318:$AAQ318,"B",""))),FALSE),IF(ISNUMBER(VALUE(SUBSTITUTE($BE318:$AAQ318,"B",""))),1,0),0)))</f>
        <v>1</v>
      </c>
      <c r="AF318" t="str">
        <f>CONCATENATE("C",$AD318)</f>
        <v>C1</v>
      </c>
      <c r="AG318" t="str">
        <f>CONCATENATE("B",$AD318)</f>
        <v>B1</v>
      </c>
      <c r="AP318" t="s">
        <v>1987</v>
      </c>
      <c r="AQ318" t="s">
        <v>2008</v>
      </c>
      <c r="AT318" t="s">
        <v>854</v>
      </c>
      <c r="MA318" t="str">
        <f t="shared" si="292"/>
        <v>DI1-B1</v>
      </c>
      <c r="UN318" s="25" t="str">
        <f>CONCATENATE("XT",$U318)</f>
        <v>XT2</v>
      </c>
      <c r="UO318" s="57" t="s">
        <v>1995</v>
      </c>
      <c r="UP318" s="12" t="s">
        <v>1996</v>
      </c>
      <c r="UQ318" s="12" t="str">
        <f>CONCATENATE("B",REPLACE($AF318,1,1,"")+1)</f>
        <v>B2</v>
      </c>
      <c r="UR318" s="12" t="str">
        <f>CONCATENATE("C",REPLACE($AG318,1,1,"")+1)</f>
        <v>C2</v>
      </c>
      <c r="US318" s="12" t="str">
        <f>CONCATENATE("DI",REPLACE($AC318,1,3,""),"-",$AG318)</f>
        <v>DI1-B1</v>
      </c>
      <c r="UT318" s="12" t="str">
        <f>CONCATENATE("DI",REPLACE($AC318,1,3,""),"-",$AF318)</f>
        <v>DI1-C1</v>
      </c>
      <c r="UU318" s="12" t="str">
        <f>CONCATENATE("DI",REPLACE($AC318,1,3,""),"-",UQ318)</f>
        <v>DI1-B2</v>
      </c>
      <c r="UV318" s="12" t="str">
        <f>CONCATENATE("DI",REPLACE($AC318,1,3,""),"-",UR318)</f>
        <v>DI1-C2</v>
      </c>
      <c r="UW318" s="12" t="str">
        <f>CONCATENATE("K",$U318,"-01")</f>
        <v>K2-01</v>
      </c>
      <c r="UX318" s="12" t="str">
        <f>CONCATENATE("K",$U318,"-02")</f>
        <v>K2-02</v>
      </c>
      <c r="UY318" s="12">
        <v>11</v>
      </c>
      <c r="UZ318" s="12">
        <v>14</v>
      </c>
      <c r="VA318" s="12" t="s">
        <v>142</v>
      </c>
      <c r="VB318" s="12" t="s">
        <v>143</v>
      </c>
      <c r="VC318" s="12">
        <v>1</v>
      </c>
      <c r="VD318" s="12">
        <f>VC318+1</f>
        <v>2</v>
      </c>
      <c r="VE318" s="12">
        <f>VD318+1</f>
        <v>3</v>
      </c>
      <c r="VF318" s="12">
        <f>VE318+1</f>
        <v>4</v>
      </c>
      <c r="VG318" s="12" t="s">
        <v>2000</v>
      </c>
      <c r="VH318" s="12" t="s">
        <v>2002</v>
      </c>
      <c r="VI318" s="12" t="s">
        <v>2006</v>
      </c>
      <c r="VJ318" s="12" t="s">
        <v>2007</v>
      </c>
      <c r="VK318" s="12" t="s">
        <v>2003</v>
      </c>
      <c r="VL318" s="12" t="s">
        <v>2004</v>
      </c>
      <c r="VM318" s="13" t="s">
        <v>2005</v>
      </c>
    </row>
    <row r="319" spans="1:585" x14ac:dyDescent="0.25">
      <c r="A319" s="83" t="s">
        <v>2011</v>
      </c>
      <c r="B319" s="89" t="s">
        <v>2009</v>
      </c>
      <c r="C319" t="s">
        <v>537</v>
      </c>
      <c r="P319" t="s">
        <v>542</v>
      </c>
      <c r="T319" s="27" t="s">
        <v>1984</v>
      </c>
      <c r="U319">
        <v>1</v>
      </c>
      <c r="V319" t="s">
        <v>2013</v>
      </c>
      <c r="X319" t="s">
        <v>2015</v>
      </c>
      <c r="Y319" s="43" t="str">
        <f t="array" ref="Y319">IF(COUNTIFS($X$315:$X319,$X319)=1,"1",VALUE(SUBSTITUTE(INDEX(Y:Y,_xlfn.XMATCH($X319,$X$1:$X318,0,-1)),"A",""))+INDEX(Z:Z,_xlfn.XMATCH($X319,$X$1:$X318,0,-1))+1)</f>
        <v>1</v>
      </c>
      <c r="Z319" s="43">
        <f t="array" ref="Z319">SUM(IF(ISNUMBER(FIND("TmAi",$BE$1:$AAQ$1)),IF(IFERROR(ISODD(SUBSTITUTE($BE319:$AAQ319,"A","")),FALSE),IF(ISODD(SUBSTITUTE($BE319:$AAQ319,"A","")),1,0),0)))</f>
        <v>0</v>
      </c>
      <c r="AA319" t="str">
        <f>CONCATENATE($Y319*2-1,"B")</f>
        <v>1B</v>
      </c>
      <c r="AB319" t="str">
        <f>CONCATENATE($Y319*2,"B")</f>
        <v>2B</v>
      </c>
      <c r="AD319" s="43"/>
      <c r="AE319" s="43"/>
      <c r="AP319" t="s">
        <v>1987</v>
      </c>
      <c r="AQ319" t="s">
        <v>2008</v>
      </c>
      <c r="AS319" t="s">
        <v>396</v>
      </c>
      <c r="JZ319" s="27" t="str">
        <f>CONCATENATE("XT",U319)</f>
        <v>XT1</v>
      </c>
      <c r="KA319" t="str">
        <f>REPLACE($AA319,1,1,LEFT($AA319,1)+1)</f>
        <v>2B</v>
      </c>
      <c r="KB319" t="str">
        <f>REPLACE(AB319,1,1,LEFT(AB319,1)+1)</f>
        <v>3B</v>
      </c>
      <c r="KC319" t="str">
        <f>CONCATENATE(T319,"-AI",REPLACE($X319,1,3,""),"-",AA319)</f>
        <v>E1-AI2-1B</v>
      </c>
      <c r="KD319" t="str">
        <f>CONCATENATE(T319,"-AI",REPLACE($X319,1,3,""),"-",AB319)</f>
        <v>E1-AI2-2B</v>
      </c>
      <c r="KE319" t="str">
        <f>CONCATENATE($T319,"-AI",REPLACE($X319,1,3,""),"-",KA319)</f>
        <v>E1-AI2-2B</v>
      </c>
      <c r="KF319" t="str">
        <f>CONCATENATE($T319,"-AI",REPLACE($X319,1,3,""),"-",KB319)</f>
        <v>E1-AI2-3B</v>
      </c>
      <c r="KI319">
        <v>7</v>
      </c>
      <c r="KJ319">
        <f t="shared" ref="KJ319:KL320" si="317">KI319+1</f>
        <v>8</v>
      </c>
      <c r="KK319">
        <f t="shared" si="317"/>
        <v>9</v>
      </c>
      <c r="KL319">
        <f t="shared" si="317"/>
        <v>10</v>
      </c>
      <c r="KN319">
        <v>1</v>
      </c>
      <c r="KO319" s="16">
        <v>2</v>
      </c>
      <c r="KP319">
        <v>3</v>
      </c>
      <c r="KQ319">
        <v>4</v>
      </c>
      <c r="KS319" s="16"/>
      <c r="LO319" s="25"/>
      <c r="LP319" s="12"/>
      <c r="LQ319" s="12"/>
      <c r="LR319" s="12"/>
      <c r="LS319" s="12"/>
      <c r="LT319" s="12"/>
      <c r="LU319" s="12"/>
      <c r="LV319" s="12"/>
      <c r="LW319" s="12"/>
      <c r="LX319" s="13"/>
      <c r="MA319" t="str">
        <f t="shared" si="292"/>
        <v>DI-</v>
      </c>
    </row>
    <row r="320" spans="1:585" ht="15.75" thickBot="1" x14ac:dyDescent="0.3">
      <c r="A320" s="83" t="s">
        <v>2012</v>
      </c>
      <c r="B320" s="89" t="s">
        <v>2010</v>
      </c>
      <c r="C320" t="s">
        <v>537</v>
      </c>
      <c r="P320" t="s">
        <v>542</v>
      </c>
      <c r="T320" s="27" t="s">
        <v>1984</v>
      </c>
      <c r="U320">
        <v>1</v>
      </c>
      <c r="V320" t="s">
        <v>2014</v>
      </c>
      <c r="X320" t="str">
        <f>IF(COUNTIF(X$316:X319,X319)&gt;7,REPLACE(X319,LEN(X319),1,VALUE(RIGHT(X319,1))+1),X319)</f>
        <v>A3.2</v>
      </c>
      <c r="Y320" s="43">
        <f t="array" ref="Y320">IF(COUNTIFS($X$315:$X320,$X320)=1,"1",VALUE(SUBSTITUTE(INDEX(Y:Y,_xlfn.XMATCH($X320,$X$1:$X319,0,-1)),"A",""))+INDEX(Z:Z,_xlfn.XMATCH($X320,$X$1:$X319,0,-1))+1)</f>
        <v>2</v>
      </c>
      <c r="Z320" s="43">
        <f t="array" ref="Z320">SUM(IF(ISNUMBER(FIND("TmAi",$BE$1:$AAQ$1)),IF(IFERROR(ISODD(SUBSTITUTE($BE320:$AAQ320,"A","")),FALSE),IF(ISODD(SUBSTITUTE($BE320:$AAQ320,"A","")),1,0),0)))</f>
        <v>0</v>
      </c>
      <c r="AA320" t="str">
        <f>CONCATENATE($Y320*2-1,"B")</f>
        <v>3B</v>
      </c>
      <c r="AB320" t="str">
        <f>CONCATENATE($Y320*2,"B")</f>
        <v>4B</v>
      </c>
      <c r="AP320" t="s">
        <v>1987</v>
      </c>
      <c r="AQ320" t="s">
        <v>2008</v>
      </c>
      <c r="AS320" t="s">
        <v>396</v>
      </c>
      <c r="JZ320" s="27" t="str">
        <f>CONCATENATE("XT",U320)</f>
        <v>XT1</v>
      </c>
      <c r="KA320" t="str">
        <f>REPLACE($AA320,1,1,LEFT($AA320,1)+1)</f>
        <v>4B</v>
      </c>
      <c r="KB320" t="str">
        <f>REPLACE(AB320,1,1,LEFT(AB320,1)+1)</f>
        <v>5B</v>
      </c>
      <c r="KC320" t="str">
        <f>CONCATENATE(T320,"-AI",REPLACE($X320,1,3,""),"-",AA320)</f>
        <v>E1-AI2-3B</v>
      </c>
      <c r="KD320" t="str">
        <f>CONCATENATE(T320,"-AI",REPLACE($X320,1,3,""),"-",AB320)</f>
        <v>E1-AI2-4B</v>
      </c>
      <c r="KE320" t="str">
        <f>CONCATENATE($T320,"-AI",REPLACE($X320,1,3,""),"-",KA320)</f>
        <v>E1-AI2-4B</v>
      </c>
      <c r="KF320" t="str">
        <f>CONCATENATE($T320,"-AI",REPLACE($X320,1,3,""),"-",KB320)</f>
        <v>E1-AI2-5B</v>
      </c>
      <c r="KI320">
        <f t="array" ref="KI320">IF(COUNTIFS($U$2:$U320,$U320)=1,1,INDEX(KI:KI,_xlfn.XMATCH(U320,U$1:U319,0,-1))+COUNT(KI319:KM319))</f>
        <v>11</v>
      </c>
      <c r="KJ320">
        <f t="shared" si="317"/>
        <v>12</v>
      </c>
      <c r="KK320">
        <f t="shared" si="317"/>
        <v>13</v>
      </c>
      <c r="KL320">
        <f t="shared" si="317"/>
        <v>14</v>
      </c>
      <c r="KN320">
        <v>1</v>
      </c>
      <c r="KO320" s="16">
        <v>2</v>
      </c>
      <c r="KP320">
        <v>3</v>
      </c>
      <c r="KQ320">
        <v>4</v>
      </c>
      <c r="KS320" s="16"/>
      <c r="LO320" s="27"/>
      <c r="LX320" s="16"/>
      <c r="MA320" t="str">
        <f t="shared" si="292"/>
        <v>DI-</v>
      </c>
    </row>
    <row r="321" spans="1:588" x14ac:dyDescent="0.25">
      <c r="A321" s="83" t="s">
        <v>2018</v>
      </c>
      <c r="B321" s="89" t="s">
        <v>2016</v>
      </c>
      <c r="P321" t="s">
        <v>869</v>
      </c>
      <c r="T321" s="27" t="s">
        <v>1984</v>
      </c>
      <c r="U321">
        <v>1</v>
      </c>
      <c r="V321" t="s">
        <v>2024</v>
      </c>
      <c r="X321" t="s">
        <v>400</v>
      </c>
      <c r="Y321" s="43">
        <f t="array" ref="Y321">IF(COUNTIFS($X$315:$X321,$X321)=1,"1",VALUE(SUBSTITUTE(INDEX(Y:Y,_xlfn.XMATCH($X321,$X$1:$X320,0,-1)),"A",""))+INDEX(Z:Z,_xlfn.XMATCH($X321,$X$1:$X320,0,-1))+1)</f>
        <v>3</v>
      </c>
      <c r="Z321" s="43">
        <f t="array" ref="Z321">SUM(IF(ISNUMBER(FIND("TmAi",$BE$1:$AAQ$1)),IF(IFERROR(ISODD(SUBSTITUTE($BE321:$AAQ321,"A","")),FALSE),IF(ISODD(SUBSTITUTE($BE321:$AAQ321,"A","")),1,0),0)))</f>
        <v>0</v>
      </c>
      <c r="AA321" t="str">
        <f>CONCATENATE($Y321*2-1,"A")</f>
        <v>5A</v>
      </c>
      <c r="AB321" t="str">
        <f>CONCATENATE($Y321*2-1,"B")</f>
        <v>5B</v>
      </c>
      <c r="AP321" t="s">
        <v>1987</v>
      </c>
      <c r="AQ321" t="s">
        <v>2008</v>
      </c>
      <c r="AS321" t="s">
        <v>396</v>
      </c>
      <c r="LO321" s="25" t="str">
        <f>CONCATENATE("XT",U321)</f>
        <v>XT1</v>
      </c>
      <c r="LP321" s="12" t="str">
        <f>CONCATENATE(T321,"-AI",REPLACE($X321,1,3,""),"-",AA321)</f>
        <v>E1-AI1-5A</v>
      </c>
      <c r="LQ321" s="12" t="str">
        <f>CONCATENATE(T321,"-AI",REPLACE($X321,1,3,""),"-",AB321)</f>
        <v>E1-AI1-5B</v>
      </c>
      <c r="LR321" s="12">
        <v>15</v>
      </c>
      <c r="LS321" s="12">
        <f t="shared" ref="LS321:LT324" si="318">LR321+1</f>
        <v>16</v>
      </c>
      <c r="LT321" s="12">
        <f t="shared" si="318"/>
        <v>17</v>
      </c>
      <c r="LU321" s="12"/>
      <c r="LV321" s="12" t="s">
        <v>2028</v>
      </c>
      <c r="LW321" s="12" t="s">
        <v>2029</v>
      </c>
      <c r="LX321" s="13" t="s">
        <v>3062</v>
      </c>
      <c r="MA321" t="str">
        <f t="shared" si="292"/>
        <v>DI-</v>
      </c>
    </row>
    <row r="322" spans="1:588" x14ac:dyDescent="0.25">
      <c r="A322" s="83" t="s">
        <v>2019</v>
      </c>
      <c r="B322" s="89" t="s">
        <v>2017</v>
      </c>
      <c r="P322" t="s">
        <v>869</v>
      </c>
      <c r="T322" s="27" t="s">
        <v>1984</v>
      </c>
      <c r="U322">
        <v>1</v>
      </c>
      <c r="V322" t="s">
        <v>2025</v>
      </c>
      <c r="X322" t="str">
        <f>IF(COUNTIF(X$316:X321,X321)&gt;7,REPLACE(X321,LEN(X321),1,VALUE(RIGHT(X321,1))+1),X321)</f>
        <v>A3.1</v>
      </c>
      <c r="Y322" s="43">
        <f t="array" ref="Y322">IF(COUNTIFS($X$315:$X322,$X322)=1,"1",VALUE(SUBSTITUTE(INDEX(Y:Y,_xlfn.XMATCH($X322,$X$1:$X321,0,-1)),"A",""))+INDEX(Z:Z,_xlfn.XMATCH($X322,$X$1:$X321,0,-1))+1)</f>
        <v>4</v>
      </c>
      <c r="Z322" s="43">
        <f t="array" ref="Z322">SUM(IF(ISNUMBER(FIND("TmAi",$BE$1:$AAQ$1)),IF(IFERROR(ISODD(SUBSTITUTE($BE322:$AAQ322,"A","")),FALSE),IF(ISODD(SUBSTITUTE($BE322:$AAQ322,"A","")),1,0),0)))</f>
        <v>0</v>
      </c>
      <c r="AA322" t="str">
        <f>CONCATENATE($Y322*2-1,"A")</f>
        <v>7A</v>
      </c>
      <c r="AB322" t="str">
        <f>CONCATENATE($Y322*2-1,"B")</f>
        <v>7B</v>
      </c>
      <c r="AP322" t="s">
        <v>1987</v>
      </c>
      <c r="AQ322" t="s">
        <v>2008</v>
      </c>
      <c r="AS322" t="s">
        <v>396</v>
      </c>
      <c r="LO322" s="27" t="str">
        <f>CONCATENATE("XT",U322)</f>
        <v>XT1</v>
      </c>
      <c r="LP322" t="str">
        <f>CONCATENATE(T322,"-AI",REPLACE($X322,1,3,""),"-",AA322)</f>
        <v>E1-AI1-7A</v>
      </c>
      <c r="LQ322" t="str">
        <f>CONCATENATE(T322,"-AI",REPLACE($X322,1,3,""),"-",AB322)</f>
        <v>E1-AI1-7B</v>
      </c>
      <c r="LR322">
        <f>LR321+3</f>
        <v>18</v>
      </c>
      <c r="LS322">
        <f t="shared" si="318"/>
        <v>19</v>
      </c>
      <c r="LT322">
        <f t="shared" si="318"/>
        <v>20</v>
      </c>
      <c r="LV322" t="s">
        <v>2030</v>
      </c>
      <c r="LW322" t="s">
        <v>2031</v>
      </c>
      <c r="LX322" s="16" t="s">
        <v>3062</v>
      </c>
      <c r="MA322" t="str">
        <f t="shared" si="292"/>
        <v>DI-</v>
      </c>
    </row>
    <row r="323" spans="1:588" x14ac:dyDescent="0.25">
      <c r="A323" s="83" t="s">
        <v>2022</v>
      </c>
      <c r="B323" s="89" t="s">
        <v>2020</v>
      </c>
      <c r="P323" t="s">
        <v>869</v>
      </c>
      <c r="T323" s="27" t="s">
        <v>1984</v>
      </c>
      <c r="U323">
        <v>1</v>
      </c>
      <c r="V323" t="s">
        <v>2026</v>
      </c>
      <c r="X323" t="str">
        <f>IF(COUNTIF(X$316:X322,X322)&gt;7,REPLACE(X322,LEN(X322),1,VALUE(RIGHT(X322,1))+1),X322)</f>
        <v>A3.1</v>
      </c>
      <c r="Y323" s="43">
        <f t="array" ref="Y323">IF(COUNTIFS($X$315:$X323,$X323)=1,"1",VALUE(SUBSTITUTE(INDEX(Y:Y,_xlfn.XMATCH($X323,$X$1:$X322,0,-1)),"A",""))+INDEX(Z:Z,_xlfn.XMATCH($X323,$X$1:$X322,0,-1))+1)</f>
        <v>5</v>
      </c>
      <c r="Z323" s="43">
        <f t="array" ref="Z323">SUM(IF(ISNUMBER(FIND("TmAi",$BE$1:$AAQ$1)),IF(IFERROR(ISODD(SUBSTITUTE($BE323:$AAQ323,"A","")),FALSE),IF(ISODD(SUBSTITUTE($BE323:$AAQ323,"A","")),1,0),0)))</f>
        <v>0</v>
      </c>
      <c r="AA323" t="str">
        <f>CONCATENATE($Y323*2-1,"A")</f>
        <v>9A</v>
      </c>
      <c r="AB323" t="str">
        <f>CONCATENATE($Y323*2-1,"B")</f>
        <v>9B</v>
      </c>
      <c r="AP323" t="s">
        <v>1987</v>
      </c>
      <c r="AQ323" t="s">
        <v>2008</v>
      </c>
      <c r="AS323" t="s">
        <v>396</v>
      </c>
      <c r="LO323" s="27" t="str">
        <f>CONCATENATE("XT",U323)</f>
        <v>XT1</v>
      </c>
      <c r="LP323" t="str">
        <f>CONCATENATE(T323,"-AI",REPLACE($X323,1,3,""),"-",AA323)</f>
        <v>E1-AI1-9A</v>
      </c>
      <c r="LQ323" t="str">
        <f>CONCATENATE(T323,"-AI",REPLACE($X323,1,3,""),"-",AB323)</f>
        <v>E1-AI1-9B</v>
      </c>
      <c r="LR323">
        <f>LR322+3</f>
        <v>21</v>
      </c>
      <c r="LS323">
        <f t="shared" si="318"/>
        <v>22</v>
      </c>
      <c r="LT323">
        <f t="shared" si="318"/>
        <v>23</v>
      </c>
      <c r="LV323" t="s">
        <v>2032</v>
      </c>
      <c r="LW323" t="s">
        <v>2033</v>
      </c>
      <c r="LX323" s="16" t="s">
        <v>3063</v>
      </c>
      <c r="MA323" t="str">
        <f t="shared" si="292"/>
        <v>DI-</v>
      </c>
    </row>
    <row r="324" spans="1:588" ht="15.75" thickBot="1" x14ac:dyDescent="0.3">
      <c r="A324" s="83" t="s">
        <v>2023</v>
      </c>
      <c r="B324" s="89" t="s">
        <v>2021</v>
      </c>
      <c r="P324" t="s">
        <v>869</v>
      </c>
      <c r="T324" s="27" t="s">
        <v>1984</v>
      </c>
      <c r="U324">
        <v>1</v>
      </c>
      <c r="V324" t="s">
        <v>2027</v>
      </c>
      <c r="X324" t="str">
        <f>IF(COUNTIF(X$316:X323,X323)&gt;7,REPLACE(X323,LEN(X323),1,VALUE(RIGHT(X323,1))+1),X323)</f>
        <v>A3.1</v>
      </c>
      <c r="Y324" s="43">
        <f t="array" ref="Y324">IF(COUNTIFS($X$315:$X324,$X324)=1,"1",VALUE(SUBSTITUTE(INDEX(Y:Y,_xlfn.XMATCH($X324,$X$1:$X323,0,-1)),"A",""))+INDEX(Z:Z,_xlfn.XMATCH($X324,$X$1:$X323,0,-1))+1)</f>
        <v>6</v>
      </c>
      <c r="Z324" s="43">
        <f t="array" ref="Z324">SUM(IF(ISNUMBER(FIND("TmAi",$BE$1:$AAQ$1)),IF(IFERROR(ISODD(SUBSTITUTE($BE324:$AAQ324,"A","")),FALSE),IF(ISODD(SUBSTITUTE($BE324:$AAQ324,"A","")),1,0),0)))</f>
        <v>0</v>
      </c>
      <c r="AA324" t="str">
        <f>CONCATENATE($Y324*2-1,"A")</f>
        <v>11A</v>
      </c>
      <c r="AB324" t="str">
        <f>CONCATENATE($Y324*2-1,"B")</f>
        <v>11B</v>
      </c>
      <c r="AP324" t="s">
        <v>1987</v>
      </c>
      <c r="AQ324" t="s">
        <v>2008</v>
      </c>
      <c r="AS324" t="s">
        <v>396</v>
      </c>
      <c r="LO324" s="27" t="str">
        <f>CONCATENATE("XT",U324)</f>
        <v>XT1</v>
      </c>
      <c r="LP324" t="str">
        <f>CONCATENATE(T324,"-AI",REPLACE($X324,1,3,""),"-",AA324)</f>
        <v>E1-AI1-11A</v>
      </c>
      <c r="LQ324" t="str">
        <f>CONCATENATE(T324,"-AI",REPLACE($X324,1,3,""),"-",AB324)</f>
        <v>E1-AI1-11B</v>
      </c>
      <c r="LR324">
        <f>LR323+3</f>
        <v>24</v>
      </c>
      <c r="LS324">
        <f t="shared" si="318"/>
        <v>25</v>
      </c>
      <c r="LT324">
        <f t="shared" si="318"/>
        <v>26</v>
      </c>
      <c r="LV324" t="s">
        <v>2034</v>
      </c>
      <c r="LW324" t="s">
        <v>2035</v>
      </c>
      <c r="LX324" s="16" t="s">
        <v>3063</v>
      </c>
      <c r="MA324" t="str">
        <f t="shared" si="292"/>
        <v>DI-</v>
      </c>
    </row>
    <row r="325" spans="1:588" ht="15.75" thickBot="1" x14ac:dyDescent="0.3">
      <c r="A325" s="83" t="s">
        <v>2038</v>
      </c>
      <c r="B325" s="83" t="s">
        <v>2040</v>
      </c>
      <c r="P325" t="s">
        <v>2039</v>
      </c>
      <c r="T325" s="27" t="s">
        <v>1984</v>
      </c>
      <c r="U325">
        <v>2</v>
      </c>
      <c r="V325" t="s">
        <v>2036</v>
      </c>
      <c r="AC325" t="s">
        <v>131</v>
      </c>
      <c r="AD325" s="43">
        <f t="array" ref="AD325">IF(COUNTIFS(AC$2:AC325,AC325)=1,"1",VALUE(SUBSTITUTE(INDEX(AD:AD,_xlfn.XMATCH(AC325,AC$1:AC324,0,-1)),"A",""))+INDEX(AE:AE,_xlfn.XMATCH(AC325,AC$1:AC324,0,-1))+1)</f>
        <v>3</v>
      </c>
      <c r="AE325" s="43">
        <f t="array" ref="AE325">SUM(IF(ISNUMBER(FIND("TmDi",$BE$1:$AAQ$1)),IF(IFERROR(ISNUMBER(VALUE(SUBSTITUTE($BE325:$AAQ325,"B",""))),FALSE),IF(ISNUMBER(VALUE(SUBSTITUTE($BE325:$AAQ325,"B",""))),1,0),0)))</f>
        <v>1</v>
      </c>
      <c r="AF325" t="str">
        <f t="shared" ref="AF325:AF339" si="319">CONCATENATE("C",$AD325)</f>
        <v>C3</v>
      </c>
      <c r="AG325" t="str">
        <f t="shared" ref="AG325:AG339" si="320">CONCATENATE("B",$AD325)</f>
        <v>B3</v>
      </c>
      <c r="AP325" t="s">
        <v>1987</v>
      </c>
      <c r="AQ325" t="s">
        <v>2008</v>
      </c>
      <c r="AT325" t="s">
        <v>854</v>
      </c>
      <c r="MA325" t="str">
        <f t="shared" si="292"/>
        <v>DI1-B3</v>
      </c>
      <c r="UN325" s="25" t="str">
        <f>CONCATENATE("XT",$U325)</f>
        <v>XT2</v>
      </c>
      <c r="UO325" s="57"/>
      <c r="UP325" s="12"/>
      <c r="UQ325" s="12" t="str">
        <f>CONCATENATE("B",REPLACE($AF325,1,1,"")+1)</f>
        <v>B4</v>
      </c>
      <c r="UR325" s="12" t="str">
        <f>CONCATENATE("C",REPLACE($AG325,1,1,"")+1)</f>
        <v>C4</v>
      </c>
      <c r="US325" s="12" t="str">
        <f>CONCATENATE("DI",REPLACE($AC325,1,3,""),"-",$AG325)</f>
        <v>DI1-B3</v>
      </c>
      <c r="UT325" s="12" t="str">
        <f>CONCATENATE("DI",REPLACE($AC325,1,3,""),"-",$AF325)</f>
        <v>DI1-C3</v>
      </c>
      <c r="UU325" s="12" t="str">
        <f>CONCATENATE("DI",REPLACE($AC325,1,3,""),"-",UQ325)</f>
        <v>DI1-B4</v>
      </c>
      <c r="UV325" s="12" t="str">
        <f>CONCATENATE("DI",REPLACE($AC325,1,3,""),"-",UR325)</f>
        <v>DI1-C4</v>
      </c>
      <c r="UW325" s="12" t="str">
        <f>CONCATENATE("K",$U325,"-03")</f>
        <v>K2-03</v>
      </c>
      <c r="UX325" s="12" t="str">
        <f>CONCATENATE("K",$U325,"-04")</f>
        <v>K2-04</v>
      </c>
      <c r="UY325" s="12">
        <v>11</v>
      </c>
      <c r="UZ325" s="12">
        <v>14</v>
      </c>
      <c r="VA325" s="12" t="s">
        <v>142</v>
      </c>
      <c r="VB325" s="12" t="s">
        <v>143</v>
      </c>
      <c r="VC325" s="12">
        <v>5</v>
      </c>
      <c r="VD325" s="12">
        <f>VC325+1</f>
        <v>6</v>
      </c>
      <c r="VE325" s="12"/>
      <c r="VF325" s="12"/>
      <c r="VG325" s="12" t="s">
        <v>2041</v>
      </c>
      <c r="VH325" s="12" t="s">
        <v>2042</v>
      </c>
      <c r="VI325" s="12"/>
      <c r="VJ325" s="12"/>
      <c r="VK325" s="58" t="s">
        <v>2043</v>
      </c>
      <c r="VL325" s="58" t="s">
        <v>2043</v>
      </c>
      <c r="VM325" s="13"/>
      <c r="VN325" s="25" t="s">
        <v>144</v>
      </c>
      <c r="VO325" s="12" t="s">
        <v>2037</v>
      </c>
      <c r="VP325" s="13" t="s">
        <v>2046</v>
      </c>
    </row>
    <row r="326" spans="1:588" ht="15.75" thickBot="1" x14ac:dyDescent="0.3">
      <c r="A326" s="83" t="s">
        <v>2048</v>
      </c>
      <c r="B326" s="89" t="s">
        <v>2047</v>
      </c>
      <c r="P326" t="s">
        <v>1378</v>
      </c>
      <c r="T326" s="27" t="s">
        <v>1984</v>
      </c>
      <c r="U326">
        <v>2</v>
      </c>
      <c r="V326" t="s">
        <v>2049</v>
      </c>
      <c r="AC326" t="str">
        <f t="shared" ref="AC326:AC331" si="321">IF(AD325+AE325&gt;31,REPLACE(AC325,LEN(AC325),1,VALUE(RIGHT(AC325,1))+1),AC325)</f>
        <v>A5.1</v>
      </c>
      <c r="AD326" s="43">
        <f t="array" ref="AD326">IF(COUNTIFS(AC$2:AC326,AC326)=1,"1",VALUE(SUBSTITUTE(INDEX(AD:AD,_xlfn.XMATCH(AC326,AC$1:AC325,0,-1)),"A",""))+INDEX(AE:AE,_xlfn.XMATCH(AC326,AC$1:AC325,0,-1))+1)</f>
        <v>5</v>
      </c>
      <c r="AE326" s="43">
        <f t="array" ref="AE326">SUM(IF(ISNUMBER(FIND("TmDi",$BE$1:$AAQ$1)),IF(IFERROR(ISNUMBER(VALUE(SUBSTITUTE($BE326:$AAQ326,"B",""))),FALSE),IF(ISNUMBER(VALUE(SUBSTITUTE($BE326:$AAQ326,"B",""))),1,0),0)))</f>
        <v>0</v>
      </c>
      <c r="AF326" t="str">
        <f t="shared" si="319"/>
        <v>C5</v>
      </c>
      <c r="AG326" t="str">
        <f t="shared" si="320"/>
        <v>B5</v>
      </c>
      <c r="AP326" t="s">
        <v>1987</v>
      </c>
      <c r="AQ326" t="s">
        <v>2050</v>
      </c>
      <c r="AT326" t="s">
        <v>854</v>
      </c>
      <c r="LU326" t="s">
        <v>2051</v>
      </c>
      <c r="LY326" s="25" t="str">
        <f>CONCATENATE("XT",U326)</f>
        <v>XT2</v>
      </c>
      <c r="LZ326" s="12" t="str">
        <f>CONCATENATE("DI",REPLACE($AC326,1,3,""),"-",$AG326)</f>
        <v>DI1-B5</v>
      </c>
      <c r="MA326" s="12" t="str">
        <f t="shared" si="292"/>
        <v>DI1-B5</v>
      </c>
      <c r="MB326" s="12" t="s">
        <v>2053</v>
      </c>
      <c r="MC326" s="12" t="s">
        <v>2052</v>
      </c>
      <c r="MD326" s="12">
        <v>11</v>
      </c>
      <c r="ME326" s="12">
        <v>14</v>
      </c>
      <c r="MF326" s="12" t="s">
        <v>142</v>
      </c>
      <c r="MG326" s="12" t="s">
        <v>143</v>
      </c>
      <c r="MH326" s="12" t="s">
        <v>488</v>
      </c>
      <c r="MI326" s="12" t="s">
        <v>487</v>
      </c>
      <c r="MJ326" s="12" t="s">
        <v>414</v>
      </c>
      <c r="MK326" s="12" t="s">
        <v>413</v>
      </c>
      <c r="ML326" s="12">
        <v>5</v>
      </c>
      <c r="MM326" s="12">
        <v>6</v>
      </c>
      <c r="MN326" s="12"/>
      <c r="MO326" s="12"/>
      <c r="MP326" s="12"/>
      <c r="MQ326" s="12"/>
      <c r="MR326" s="12">
        <v>3</v>
      </c>
      <c r="MS326" s="12">
        <v>7</v>
      </c>
      <c r="MT326" s="13"/>
    </row>
    <row r="327" spans="1:588" ht="15.75" thickBot="1" x14ac:dyDescent="0.3">
      <c r="A327" s="83" t="s">
        <v>2055</v>
      </c>
      <c r="B327" s="83" t="s">
        <v>2054</v>
      </c>
      <c r="P327" t="s">
        <v>2058</v>
      </c>
      <c r="T327" s="14" t="s">
        <v>1984</v>
      </c>
      <c r="U327" s="59">
        <v>3</v>
      </c>
      <c r="V327" t="s">
        <v>2056</v>
      </c>
      <c r="W327" t="s">
        <v>2057</v>
      </c>
      <c r="X327" t="s">
        <v>400</v>
      </c>
      <c r="Y327" s="43">
        <f t="array" ref="Y327">IF(COUNTIFS($X$2:$X327,$X327)=1,"1",VALUE(SUBSTITUTE(INDEX(Y:Y,_xlfn.XMATCH($X327,$X$1:$X326,0,-1)),"A",""))+INDEX(Z:Z,_xlfn.XMATCH($X327,$X$1:$X326,0,-1))+1)</f>
        <v>7</v>
      </c>
      <c r="Z327" s="43">
        <f t="array" ref="Z327">SUM(IF(ISNUMBER(FIND("TmAi",$BE$1:$AAQ$1)),IF(IFERROR(ISODD(SUBSTITUTE($BE327:$AAQ327,"A","")),FALSE),IF(ISODD(SUBSTITUTE($BE327:$AAQ327,"A","")),1,0),0)))</f>
        <v>0</v>
      </c>
      <c r="AA327" t="str">
        <f>CONCATENATE($Y327*2-1,"A")</f>
        <v>13A</v>
      </c>
      <c r="AB327" t="str">
        <f>CONCATENATE($Y327*2-1,"B")</f>
        <v>13B</v>
      </c>
      <c r="AC327" t="str">
        <f t="shared" si="321"/>
        <v>A5.1</v>
      </c>
      <c r="AD327" s="43">
        <f t="array" ref="AD327">IF(COUNTIFS(AC$2:AC327,AC327)=1,"1",VALUE(SUBSTITUTE(INDEX(AD:AD,_xlfn.XMATCH(AC327,AC$1:AC326,0,-1)),"A",""))+INDEX(AE:AE,_xlfn.XMATCH(AC327,AC$1:AC326,0,-1))+1)</f>
        <v>6</v>
      </c>
      <c r="AE327" s="43">
        <f t="array" ref="AE327">SUM(IF(ISNUMBER(FIND("TmDi",$BE$1:$AAQ$1)),IF(IFERROR(ISNUMBER(VALUE(SUBSTITUTE($BE327:$AAQ327,"B",""))),FALSE),IF(ISNUMBER(VALUE(SUBSTITUTE($BE327:$AAQ327,"B",""))),1,0),0)))</f>
        <v>1</v>
      </c>
      <c r="AF327" t="str">
        <f t="shared" si="319"/>
        <v>C6</v>
      </c>
      <c r="AG327" t="str">
        <f t="shared" si="320"/>
        <v>B6</v>
      </c>
      <c r="AH327" s="15" t="s">
        <v>132</v>
      </c>
      <c r="AI327" s="62">
        <v>1</v>
      </c>
      <c r="AJ327" s="62">
        <f t="array" ref="AJ327">SUM(IF(ISNUMBER(FIND("TmDo",$BE$1:$AAQ$1)),IF(IFERROR(ISNUMBER(VALUE(SUBSTITUTE($BE327:$AAQ327,"B",""))),FALSE),IF(ISNUMBER(VALUE(SUBSTITUTE($BE327:$AAQ327,"B",""))),1,0),0)))</f>
        <v>1</v>
      </c>
      <c r="AK327" t="str">
        <f>CONCATENATE($AI327,"A")</f>
        <v>1A</v>
      </c>
      <c r="AL327" t="str">
        <f>CONCATENATE($AI327,"B")</f>
        <v>1B</v>
      </c>
      <c r="AM327" t="s">
        <v>141</v>
      </c>
      <c r="AP327" t="s">
        <v>1987</v>
      </c>
      <c r="AQ327" t="s">
        <v>2050</v>
      </c>
      <c r="AS327" t="s">
        <v>396</v>
      </c>
      <c r="AT327" t="s">
        <v>139</v>
      </c>
      <c r="AU327" t="s">
        <v>140</v>
      </c>
      <c r="BD327" s="16"/>
      <c r="GT327" s="25" t="str">
        <f>CONCATENATE("XT",U327)</f>
        <v>XT3</v>
      </c>
      <c r="GU327" s="12" t="str">
        <f>CONCATENATE("C",REPLACE(AF327,1,1,"")+1)</f>
        <v>C7</v>
      </c>
      <c r="GV327" s="12" t="str">
        <f>CONCATENATE("B",REPLACE(AG327,1,1,"")+1)</f>
        <v>B7</v>
      </c>
      <c r="GW327" s="12"/>
      <c r="GX327" s="12"/>
      <c r="GY327" s="12"/>
      <c r="GZ327" s="12"/>
      <c r="HA327" s="12"/>
      <c r="HB327" s="12"/>
      <c r="HC327" s="12"/>
      <c r="HD327" s="12"/>
      <c r="HE327" s="12" t="str">
        <f>CONCATENATE(REPLACE(AK327,LEN(AK327),1,"")+1,"A")</f>
        <v>2A</v>
      </c>
      <c r="HF327" s="12" t="str">
        <f>CONCATENATE(REPLACE(AL327,LEN(AL327),1,"")+1,"B")</f>
        <v>2B</v>
      </c>
      <c r="HG327" s="12" t="str">
        <f>CONCATENATE($T327,"-M",$U327,"-РНЕ-2")</f>
        <v>E1-M3-РНЕ-2</v>
      </c>
      <c r="HH327" s="12" t="str">
        <f>CONCATENATE($T327,"-M",$U327,"-РНЕ-1")</f>
        <v>E1-M3-РНЕ-1</v>
      </c>
      <c r="HI327" s="12" t="str">
        <f>CONCATENATE("DI",REPLACE($AC327,1,3,""),"-",AF327)</f>
        <v>DI1-C6</v>
      </c>
      <c r="HJ327" s="12" t="str">
        <f>CONCATENATE("DI",REPLACE($AC327,1,3,""),"-",AG327)</f>
        <v>DI1-B6</v>
      </c>
      <c r="HK327" s="12" t="str">
        <f>CONCATENATE("DI",REPLACE($AC327,1,3,""),"-",GU327)</f>
        <v>DI1-C7</v>
      </c>
      <c r="HL327" s="12" t="str">
        <f>CONCATENATE("DI",REPLACE($AC327,1,3,""),"-",GV327)</f>
        <v>DI1-B7</v>
      </c>
      <c r="HM327" s="12"/>
      <c r="HN327" s="12"/>
      <c r="HO327" s="12"/>
      <c r="HP327" s="12"/>
      <c r="HQ327" s="12"/>
      <c r="HR327" s="12"/>
      <c r="HS327" s="12"/>
      <c r="HT327" s="12"/>
      <c r="HU327" s="12" t="str">
        <f>CONCATENATE("DO",REPLACE($AH327,1,3,""),"-",AK327)</f>
        <v>DO1-1A</v>
      </c>
      <c r="HV327" s="12" t="str">
        <f>CONCATENATE("DO",REPLACE($AH327,1,3,""),"-",AL327)</f>
        <v>DO1-1B</v>
      </c>
      <c r="HW327" s="12" t="str">
        <f>CONCATENATE("DO",REPLACE($AH327,1,3,""),"-",HE327)</f>
        <v>DO1-2A</v>
      </c>
      <c r="HX327" s="12" t="str">
        <f>CONCATENATE("DO",REPLACE($AH327,1,3,""),"-",HF327)</f>
        <v>DO1-2B</v>
      </c>
      <c r="HY327" s="12" t="str">
        <f>CONCATENATE("K",$U327,"-03")</f>
        <v>K3-03</v>
      </c>
      <c r="HZ327" s="12" t="str">
        <f>CONCATENATE("K",$U327,"-04")</f>
        <v>K3-04</v>
      </c>
      <c r="IA327" s="12" t="str">
        <f>CONCATENATE("K",$U327,"-01")</f>
        <v>K3-01</v>
      </c>
      <c r="IB327" s="12" t="str">
        <f>CONCATENATE("K",$U327,"-02")</f>
        <v>K3-02</v>
      </c>
      <c r="IC327" s="12"/>
      <c r="ID327" s="12"/>
      <c r="IE327" s="12"/>
      <c r="IF327" s="12"/>
      <c r="IG327" s="12" t="str">
        <f>CONCATENATE($T327,"-M",$U327,"-MAM-12")</f>
        <v>E1-M3-MAM-12</v>
      </c>
      <c r="IH327" s="12" t="str">
        <f>CONCATENATE($T327,"-M",$U327,"-AMS-10")</f>
        <v>E1-M3-AMS-10</v>
      </c>
      <c r="II327" s="12" t="str">
        <f>CONCATENATE($T327,"-M",$U327,"-AMS-91")</f>
        <v>E1-M3-AMS-91</v>
      </c>
      <c r="IJ327" s="12" t="str">
        <f>CONCATENATE($T327,"-M",$U327,"-AMS-71")</f>
        <v>E1-M3-AMS-71</v>
      </c>
      <c r="IK327" s="12" t="str">
        <f>CONCATENATE($T327,"-M",$U327,"-MAM-21")</f>
        <v>E1-M3-MAM-21</v>
      </c>
      <c r="IL327" s="12" t="str">
        <f>CONCATENATE($T327,"-M",$U327,"-MAM-11")</f>
        <v>E1-M3-MAM-11</v>
      </c>
      <c r="IM327" s="12"/>
      <c r="IN327" s="12"/>
      <c r="IO327" s="12"/>
      <c r="IP327" s="12"/>
      <c r="IQ327" s="12"/>
      <c r="IR327" s="12" t="s">
        <v>142</v>
      </c>
      <c r="IS327" s="12" t="s">
        <v>143</v>
      </c>
      <c r="IT327" s="12">
        <v>11</v>
      </c>
      <c r="IU327" s="12">
        <v>14</v>
      </c>
      <c r="IV327" s="12" t="s">
        <v>413</v>
      </c>
      <c r="IW327" s="12" t="s">
        <v>414</v>
      </c>
      <c r="IX327" s="12">
        <v>1</v>
      </c>
      <c r="IY327" s="12">
        <v>2</v>
      </c>
      <c r="IZ327" s="12">
        <v>3</v>
      </c>
      <c r="JA327" s="12">
        <v>4</v>
      </c>
      <c r="JB327" s="12">
        <v>5</v>
      </c>
      <c r="JC327" s="12">
        <v>6</v>
      </c>
      <c r="JD327" s="12">
        <v>7</v>
      </c>
      <c r="JE327" s="12">
        <v>8</v>
      </c>
      <c r="JF327" s="12">
        <v>9</v>
      </c>
      <c r="JG327" s="12"/>
      <c r="JH327" s="12"/>
      <c r="JI327" s="12"/>
      <c r="JJ327" s="12"/>
      <c r="JK327" s="12"/>
      <c r="JL327" s="12">
        <v>18</v>
      </c>
      <c r="JM327" s="12">
        <v>19</v>
      </c>
      <c r="JN327" s="12">
        <v>20</v>
      </c>
      <c r="JO327" s="12">
        <v>21</v>
      </c>
      <c r="JP327" s="12">
        <v>23</v>
      </c>
      <c r="JQ327" s="12">
        <v>22</v>
      </c>
      <c r="JR327" s="12">
        <v>29</v>
      </c>
      <c r="JS327" s="12">
        <v>28</v>
      </c>
      <c r="JT327" s="12">
        <v>30</v>
      </c>
      <c r="JU327" s="12"/>
      <c r="JV327" s="12"/>
      <c r="JW327" s="12"/>
      <c r="JX327" s="12"/>
      <c r="JY327" s="13"/>
      <c r="MA327" t="str">
        <f t="shared" si="292"/>
        <v>DI1-B6</v>
      </c>
    </row>
    <row r="328" spans="1:588" ht="15.75" thickBot="1" x14ac:dyDescent="0.3">
      <c r="A328" s="83" t="s">
        <v>2061</v>
      </c>
      <c r="B328" s="83" t="s">
        <v>2059</v>
      </c>
      <c r="P328" t="s">
        <v>2058</v>
      </c>
      <c r="T328" s="14" t="s">
        <v>1984</v>
      </c>
      <c r="U328" s="59">
        <v>4</v>
      </c>
      <c r="V328" t="s">
        <v>2062</v>
      </c>
      <c r="W328" t="s">
        <v>2063</v>
      </c>
      <c r="X328" t="str">
        <f>IF(COUNTIF(X$316:X327,X327)&gt;7,REPLACE(X327,LEN(X327),1,VALUE(RIGHT(X327,1))+1),X327)</f>
        <v>A3.1</v>
      </c>
      <c r="Y328" s="43">
        <f t="array" ref="Y328">IF(COUNTIFS($X$2:$X328,$X328)=1,"1",VALUE(SUBSTITUTE(INDEX(Y:Y,_xlfn.XMATCH($X328,$X$1:$X327,0,-1)),"A",""))+INDEX(Z:Z,_xlfn.XMATCH($X328,$X$1:$X327,0,-1))+1)</f>
        <v>8</v>
      </c>
      <c r="Z328" s="43">
        <f t="array" ref="Z328">SUM(IF(ISNUMBER(FIND("TmAi",$BE$1:$AAQ$1)),IF(IFERROR(ISODD(SUBSTITUTE($BE328:$AAQ328,"A","")),FALSE),IF(ISODD(SUBSTITUTE($BE328:$AAQ328,"A","")),1,0),0)))</f>
        <v>0</v>
      </c>
      <c r="AA328" t="str">
        <f>CONCATENATE($Y328*2-1,"A")</f>
        <v>15A</v>
      </c>
      <c r="AB328" t="str">
        <f>CONCATENATE($Y328*2-1,"B")</f>
        <v>15B</v>
      </c>
      <c r="AC328" t="str">
        <f t="shared" si="321"/>
        <v>A5.1</v>
      </c>
      <c r="AD328" s="43">
        <f t="array" ref="AD328">IF(COUNTIFS(AC$2:AC328,AC328)=1,"1",VALUE(SUBSTITUTE(INDEX(AD:AD,_xlfn.XMATCH(AC328,AC$1:AC327,0,-1)),"A",""))+INDEX(AE:AE,_xlfn.XMATCH(AC328,AC$1:AC327,0,-1))+1)</f>
        <v>8</v>
      </c>
      <c r="AE328" s="43">
        <f t="array" ref="AE328">SUM(IF(ISNUMBER(FIND("TmDi",$BE$1:$AAQ$1)),IF(IFERROR(ISNUMBER(VALUE(SUBSTITUTE($BE328:$AAQ328,"B",""))),FALSE),IF(ISNUMBER(VALUE(SUBSTITUTE($BE328:$AAQ328,"B",""))),1,0),0)))</f>
        <v>1</v>
      </c>
      <c r="AF328" t="str">
        <f t="shared" si="319"/>
        <v>C8</v>
      </c>
      <c r="AG328" t="str">
        <f t="shared" si="320"/>
        <v>B8</v>
      </c>
      <c r="AH328" t="str">
        <f>IF(AI327+AJ327&gt;31,REPLACE(AH327,LEN(AH327),1,VALUE(RIGHT(AH327,1))+1),AH327)</f>
        <v>A6.1</v>
      </c>
      <c r="AI328" s="62">
        <f t="array" ref="AI328">IF(COUNTIFS(AH$2:AH328,AH328)=1,"1",VALUE(SUBSTITUTE(INDEX(AI:AI,_xlfn.XMATCH(AH328,AH$1:AH327,0,-1)),"A",""))+INDEX(AJ:AJ,_xlfn.XMATCH(AH328,AH$1:AH327,0,-1))+1)</f>
        <v>3</v>
      </c>
      <c r="AJ328" s="62">
        <f t="array" ref="AJ328">SUM(IF(ISNUMBER(FIND("TmDo",$BE$1:$AAQ$1)),IF(IFERROR(ISNUMBER(VALUE(SUBSTITUTE($BE328:$AAQ328,"B",""))),FALSE),IF(ISNUMBER(VALUE(SUBSTITUTE($BE328:$AAQ328,"B",""))),1,0),0)))</f>
        <v>1</v>
      </c>
      <c r="AK328" t="str">
        <f>CONCATENATE($AI328,"A")</f>
        <v>3A</v>
      </c>
      <c r="AL328" t="str">
        <f>CONCATENATE($AI328,"B")</f>
        <v>3B</v>
      </c>
      <c r="AM328" t="s">
        <v>150</v>
      </c>
      <c r="AP328" t="s">
        <v>1987</v>
      </c>
      <c r="AQ328" t="s">
        <v>2050</v>
      </c>
      <c r="AS328" t="s">
        <v>396</v>
      </c>
      <c r="AT328" t="s">
        <v>139</v>
      </c>
      <c r="AU328" t="s">
        <v>140</v>
      </c>
      <c r="BD328" s="16"/>
      <c r="GT328" s="25" t="str">
        <f>CONCATENATE("XT",U328)</f>
        <v>XT4</v>
      </c>
      <c r="GU328" s="12" t="str">
        <f>CONCATENATE("C",REPLACE(AF328,1,1,"")+1)</f>
        <v>C9</v>
      </c>
      <c r="GV328" s="12" t="str">
        <f>CONCATENATE("B",REPLACE(AG328,1,1,"")+1)</f>
        <v>B9</v>
      </c>
      <c r="GW328" s="12"/>
      <c r="GX328" s="12"/>
      <c r="GY328" s="12"/>
      <c r="GZ328" s="12"/>
      <c r="HA328" s="12"/>
      <c r="HB328" s="12"/>
      <c r="HC328" s="12"/>
      <c r="HD328" s="12"/>
      <c r="HE328" s="12" t="str">
        <f>CONCATENATE(REPLACE(AK328,LEN(AK328),1,"")+1,"A")</f>
        <v>4A</v>
      </c>
      <c r="HF328" s="12" t="str">
        <f>CONCATENATE(REPLACE(AL328,LEN(AL328),1,"")+1,"B")</f>
        <v>4B</v>
      </c>
      <c r="HG328" s="12" t="str">
        <f>CONCATENATE($T328,"-M",$U328,"-РНЕ-2")</f>
        <v>E1-M4-РНЕ-2</v>
      </c>
      <c r="HH328" s="12" t="str">
        <f>CONCATENATE($T328,"-M",$U328,"-РНЕ-1")</f>
        <v>E1-M4-РНЕ-1</v>
      </c>
      <c r="HI328" s="12" t="str">
        <f>CONCATENATE("DI",REPLACE($AC328,1,3,""),"-",AF328)</f>
        <v>DI1-C8</v>
      </c>
      <c r="HJ328" s="12" t="str">
        <f>CONCATENATE("DI",REPLACE($AC328,1,3,""),"-",AG328)</f>
        <v>DI1-B8</v>
      </c>
      <c r="HK328" s="12" t="str">
        <f>CONCATENATE("DI",REPLACE($AC328,1,3,""),"-",GU328)</f>
        <v>DI1-C9</v>
      </c>
      <c r="HL328" s="12" t="str">
        <f>CONCATENATE("DI",REPLACE($AC328,1,3,""),"-",GV328)</f>
        <v>DI1-B9</v>
      </c>
      <c r="HM328" s="12"/>
      <c r="HN328" s="12"/>
      <c r="HO328" s="12"/>
      <c r="HP328" s="12"/>
      <c r="HQ328" s="12"/>
      <c r="HR328" s="12"/>
      <c r="HS328" s="12"/>
      <c r="HT328" s="12"/>
      <c r="HU328" s="12" t="str">
        <f>CONCATENATE("DO",REPLACE($AH328,1,3,""),"-",AK328)</f>
        <v>DO1-3A</v>
      </c>
      <c r="HV328" s="12" t="str">
        <f>CONCATENATE("DO",REPLACE($AH328,1,3,""),"-",AL328)</f>
        <v>DO1-3B</v>
      </c>
      <c r="HW328" s="12" t="str">
        <f>CONCATENATE("DO",REPLACE($AH328,1,3,""),"-",HE328)</f>
        <v>DO1-4A</v>
      </c>
      <c r="HX328" s="12" t="str">
        <f>CONCATENATE("DO",REPLACE($AH328,1,3,""),"-",HF328)</f>
        <v>DO1-4B</v>
      </c>
      <c r="HY328" s="12" t="str">
        <f>CONCATENATE("K",$U328,"-03")</f>
        <v>K4-03</v>
      </c>
      <c r="HZ328" s="12" t="str">
        <f>CONCATENATE("K",$U328,"-04")</f>
        <v>K4-04</v>
      </c>
      <c r="IA328" s="12" t="str">
        <f>CONCATENATE("K",$U328,"-01")</f>
        <v>K4-01</v>
      </c>
      <c r="IB328" s="12" t="str">
        <f>CONCATENATE("K",$U328,"-02")</f>
        <v>K4-02</v>
      </c>
      <c r="IC328" s="12"/>
      <c r="ID328" s="12"/>
      <c r="IE328" s="12"/>
      <c r="IF328" s="12"/>
      <c r="IG328" s="12" t="str">
        <f>CONCATENATE($T328,"-M",$U328,"-MAM-12")</f>
        <v>E1-M4-MAM-12</v>
      </c>
      <c r="IH328" s="12" t="str">
        <f>CONCATENATE($T328,"-M",$U328,"-AMS-10")</f>
        <v>E1-M4-AMS-10</v>
      </c>
      <c r="II328" s="12" t="str">
        <f>CONCATENATE($T328,"-M",$U328,"-AMS-91")</f>
        <v>E1-M4-AMS-91</v>
      </c>
      <c r="IJ328" s="12" t="str">
        <f>CONCATENATE($T328,"-M",$U328,"-AMS-71")</f>
        <v>E1-M4-AMS-71</v>
      </c>
      <c r="IK328" s="12" t="str">
        <f>CONCATENATE($T328,"-M",$U328,"-MAM-21")</f>
        <v>E1-M4-MAM-21</v>
      </c>
      <c r="IL328" s="12" t="str">
        <f>CONCATENATE($T328,"-M",$U328,"-MAM-11")</f>
        <v>E1-M4-MAM-11</v>
      </c>
      <c r="IM328" s="12"/>
      <c r="IN328" s="12"/>
      <c r="IO328" s="12"/>
      <c r="IP328" s="12"/>
      <c r="IQ328" s="12"/>
      <c r="IR328" s="12" t="s">
        <v>142</v>
      </c>
      <c r="IS328" s="12" t="s">
        <v>143</v>
      </c>
      <c r="IT328" s="12">
        <v>11</v>
      </c>
      <c r="IU328" s="12">
        <v>14</v>
      </c>
      <c r="IV328" s="12" t="str">
        <f>IV327</f>
        <v>24v6</v>
      </c>
      <c r="IW328" s="12" t="str">
        <f>IW327</f>
        <v>0v6</v>
      </c>
      <c r="IX328" s="12">
        <v>1</v>
      </c>
      <c r="IY328" s="12">
        <v>2</v>
      </c>
      <c r="IZ328" s="12">
        <v>3</v>
      </c>
      <c r="JA328" s="12">
        <v>4</v>
      </c>
      <c r="JB328" s="12">
        <v>5</v>
      </c>
      <c r="JC328" s="12">
        <v>6</v>
      </c>
      <c r="JD328" s="12">
        <v>7</v>
      </c>
      <c r="JE328" s="12">
        <v>8</v>
      </c>
      <c r="JF328" s="12">
        <v>9</v>
      </c>
      <c r="JG328" s="12"/>
      <c r="JH328" s="12"/>
      <c r="JI328" s="12"/>
      <c r="JJ328" s="12"/>
      <c r="JK328" s="12"/>
      <c r="JL328" s="12">
        <v>18</v>
      </c>
      <c r="JM328" s="12">
        <v>19</v>
      </c>
      <c r="JN328" s="12">
        <v>20</v>
      </c>
      <c r="JO328" s="12">
        <v>21</v>
      </c>
      <c r="JP328" s="12">
        <v>23</v>
      </c>
      <c r="JQ328" s="12">
        <v>22</v>
      </c>
      <c r="JR328" s="12">
        <v>29</v>
      </c>
      <c r="JS328" s="12">
        <v>28</v>
      </c>
      <c r="JT328" s="12">
        <v>30</v>
      </c>
      <c r="JU328" s="12"/>
      <c r="JV328" s="12"/>
      <c r="JW328" s="12"/>
      <c r="JX328" s="12"/>
      <c r="JY328" s="13"/>
      <c r="MA328" t="str">
        <f t="shared" si="292"/>
        <v>DI1-B8</v>
      </c>
    </row>
    <row r="329" spans="1:588" x14ac:dyDescent="0.25">
      <c r="A329" s="83" t="s">
        <v>2065</v>
      </c>
      <c r="B329" s="83" t="s">
        <v>2064</v>
      </c>
      <c r="C329" s="3"/>
      <c r="O329" s="2"/>
      <c r="P329" t="s">
        <v>2060</v>
      </c>
      <c r="Q329" s="1"/>
      <c r="S329" s="1"/>
      <c r="T329" s="10" t="s">
        <v>1984</v>
      </c>
      <c r="U329" s="49">
        <v>5</v>
      </c>
      <c r="V329" s="11" t="s">
        <v>2066</v>
      </c>
      <c r="W329" s="11"/>
      <c r="X329" s="12"/>
      <c r="Y329" s="12"/>
      <c r="Z329" s="12"/>
      <c r="AA329" s="12"/>
      <c r="AB329" s="12"/>
      <c r="AC329" s="12" t="str">
        <f t="shared" si="321"/>
        <v>A5.1</v>
      </c>
      <c r="AD329" s="60">
        <f t="array" ref="AD329">IF(COUNTIFS(AC$2:AC329,AC329)=1,"1",VALUE(SUBSTITUTE(INDEX(AD:AD,_xlfn.XMATCH(AC329,AC$1:AC328,0,-1)),"A",""))+INDEX(AE:AE,_xlfn.XMATCH(AC329,AC$1:AC328,0,-1))+1)</f>
        <v>10</v>
      </c>
      <c r="AE329" s="60">
        <f t="array" ref="AE329">SUM(IF(ISNUMBER(FIND("TmDi",$BE$1:$AAQ$1)),IF(IFERROR(ISNUMBER(VALUE(SUBSTITUTE($BE329:$AAQ329,"B",""))),FALSE),IF(ISNUMBER(VALUE(SUBSTITUTE($BE329:$AAQ329,"B",""))),1,0),0)))</f>
        <v>3</v>
      </c>
      <c r="AF329" s="12" t="str">
        <f t="shared" si="319"/>
        <v>C10</v>
      </c>
      <c r="AG329" s="12" t="str">
        <f t="shared" si="320"/>
        <v>B10</v>
      </c>
      <c r="AH329" s="12" t="str">
        <f>IF(AI328+AJ328&gt;31,REPLACE(AH328,LEN(AH328),1,VALUE(RIGHT(AH328,1))+1),AH328)</f>
        <v>A6.1</v>
      </c>
      <c r="AI329" s="75">
        <f t="array" ref="AI329">IF(COUNTIFS(AH$2:AH329,AH329)=1,"1",VALUE(SUBSTITUTE(INDEX(AI:AI,_xlfn.XMATCH(AH329,AH$1:AH328,0,-1)),"A",""))+INDEX(AJ:AJ,_xlfn.XMATCH(AH329,AH$1:AH328,0,-1))+1)</f>
        <v>5</v>
      </c>
      <c r="AJ329" s="75">
        <f t="array" ref="AJ329">SUM(IF(ISNUMBER(FIND("TmDo",$BE$1:$AAQ$1)),IF(IFERROR(ISNUMBER(VALUE(SUBSTITUTE($BE329:$AAQ329,"B",""))),FALSE),IF(ISNUMBER(VALUE(SUBSTITUTE($BE329:$AAQ329,"B",""))),1,0),0)))</f>
        <v>2</v>
      </c>
      <c r="AK329" s="11" t="str">
        <f>CONCATENATE($AI329,"A")</f>
        <v>5A</v>
      </c>
      <c r="AL329" s="11" t="str">
        <f>CONCATENATE($AI329,"B")</f>
        <v>5B</v>
      </c>
      <c r="AM329" s="12" t="s">
        <v>155</v>
      </c>
      <c r="AN329" s="12"/>
      <c r="AO329" s="12"/>
      <c r="AP329" s="12" t="s">
        <v>1987</v>
      </c>
      <c r="AQ329" s="12" t="s">
        <v>2050</v>
      </c>
      <c r="AR329" s="12"/>
      <c r="AS329" s="12"/>
      <c r="AT329" s="12" t="s">
        <v>139</v>
      </c>
      <c r="AU329" s="12" t="s">
        <v>140</v>
      </c>
      <c r="AV329" s="12"/>
      <c r="AW329" s="12"/>
      <c r="AX329" s="12"/>
      <c r="AY329" s="12"/>
      <c r="AZ329" s="12"/>
      <c r="BA329" s="12"/>
      <c r="BB329" s="12"/>
      <c r="BC329" s="12"/>
      <c r="BD329" s="13"/>
      <c r="BE329" s="25" t="str">
        <f>CONCATENATE("XT",U329)</f>
        <v>XT5</v>
      </c>
      <c r="BF329" s="12" t="str">
        <f>CONCATENATE("C",REPLACE(AF329,1,1,"")+1)</f>
        <v>C11</v>
      </c>
      <c r="BG329" s="12" t="str">
        <f>CONCATENATE("B",REPLACE(AG329,1,1,"")+1)</f>
        <v>B11</v>
      </c>
      <c r="BH329" s="12" t="str">
        <f>CONCATENATE("C",REPLACE(BF329,1,1,"")+1)</f>
        <v>C12</v>
      </c>
      <c r="BI329" s="12" t="str">
        <f>CONCATENATE("B",REPLACE(BG329,1,1,"")+1)</f>
        <v>B12</v>
      </c>
      <c r="BJ329" s="12" t="str">
        <f>CONCATENATE("C",REPLACE(BH329,1,1,"")+1)</f>
        <v>C13</v>
      </c>
      <c r="BK329" s="12" t="str">
        <f>CONCATENATE("B",REPLACE(BI329,1,1,"")+1)</f>
        <v>B13</v>
      </c>
      <c r="BL329" s="12"/>
      <c r="BM329" s="12"/>
      <c r="BN329" s="12"/>
      <c r="BO329" s="12"/>
      <c r="BP329" s="12" t="str">
        <f>CONCATENATE(REPLACE(AK329,LEN(AK329),1,"")+1,"A")</f>
        <v>6A</v>
      </c>
      <c r="BQ329" s="12" t="str">
        <f>CONCATENATE(REPLACE(AL329,LEN(AL329),1,"")+1,"B")</f>
        <v>6B</v>
      </c>
      <c r="BR329" s="12" t="str">
        <f>CONCATENATE(REPLACE(BP329,LEN(BP329),1,"")+1,"A")</f>
        <v>7A</v>
      </c>
      <c r="BS329" s="12" t="str">
        <f>CONCATENATE(REPLACE(BQ329,LEN(BQ329),1,"")+1,"B")</f>
        <v>7B</v>
      </c>
      <c r="BT329" s="12" t="str">
        <f t="shared" ref="BT329:BU331" si="322">CONCATENATE("DI",REPLACE($AC329,1,3,""),"-",AF329)</f>
        <v>DI1-C10</v>
      </c>
      <c r="BU329" s="12" t="str">
        <f t="shared" si="322"/>
        <v>DI1-B10</v>
      </c>
      <c r="BV329" s="12" t="str">
        <f t="shared" ref="BV329:CA331" si="323">CONCATENATE("DI",REPLACE($AC329,1,3,""),"-",BF329)</f>
        <v>DI1-C11</v>
      </c>
      <c r="BW329" s="12" t="str">
        <f t="shared" si="323"/>
        <v>DI1-B11</v>
      </c>
      <c r="BX329" s="12" t="str">
        <f t="shared" si="323"/>
        <v>DI1-C12</v>
      </c>
      <c r="BY329" s="12" t="str">
        <f t="shared" si="323"/>
        <v>DI1-B12</v>
      </c>
      <c r="BZ329" s="12" t="str">
        <f t="shared" si="323"/>
        <v>DI1-C13</v>
      </c>
      <c r="CA329" s="12" t="str">
        <f t="shared" si="323"/>
        <v>DI1-B13</v>
      </c>
      <c r="CB329" s="12"/>
      <c r="CC329" s="12"/>
      <c r="CD329" s="12"/>
      <c r="CE329" s="12"/>
      <c r="CF329" s="12" t="str">
        <f t="shared" ref="CF329:CG331" si="324">CONCATENATE("DO",REPLACE($AH329,1,3,""),"-",AK329)</f>
        <v>DO1-5A</v>
      </c>
      <c r="CG329" s="12" t="str">
        <f t="shared" si="324"/>
        <v>DO1-5B</v>
      </c>
      <c r="CH329" s="12" t="str">
        <f t="shared" ref="CH329:CK331" si="325">CONCATENATE("DO",REPLACE($AH329,1,3,""),"-",BP329)</f>
        <v>DO1-6A</v>
      </c>
      <c r="CI329" s="12" t="str">
        <f t="shared" si="325"/>
        <v>DO1-6B</v>
      </c>
      <c r="CJ329" s="12" t="str">
        <f t="shared" si="325"/>
        <v>DO1-7A</v>
      </c>
      <c r="CK329" s="12" t="str">
        <f t="shared" si="325"/>
        <v>DO1-7B</v>
      </c>
      <c r="CL329" s="12" t="str">
        <f>CONCATENATE("K",$U329,"-10")</f>
        <v>K5-10</v>
      </c>
      <c r="CM329" s="12" t="str">
        <f>CONCATENATE("K",$U329,"-03")</f>
        <v>K5-03</v>
      </c>
      <c r="CN329" s="12" t="str">
        <f>CONCATENATE("K",$U329,"-04")</f>
        <v>K5-04</v>
      </c>
      <c r="CO329" s="12"/>
      <c r="CP329" s="12" t="str">
        <f>CONCATENATE("K",$U329,"-08")</f>
        <v>K5-08</v>
      </c>
      <c r="CQ329" s="12" t="str">
        <f>CONCATENATE("K",$U329,"-02")</f>
        <v>K5-02</v>
      </c>
      <c r="CR329" s="12" t="str">
        <f>CONCATENATE("K",$U329,"-09")</f>
        <v>K5-09</v>
      </c>
      <c r="CS329" s="12" t="str">
        <f>CONCATENATE("K",$U329,"-06")</f>
        <v>K5-06</v>
      </c>
      <c r="CT329" s="12" t="str">
        <f>CONCATENATE("K",$U329,"-05")</f>
        <v>K5-05</v>
      </c>
      <c r="CU329" s="12" t="str">
        <f>CONCATENATE($T329,"-M",$U329,"-A9")</f>
        <v>E1-M5-A9</v>
      </c>
      <c r="CV329" s="12" t="str">
        <f>CONCATENATE($T329,"-M",$U329,"-A7")</f>
        <v>E1-M5-A7</v>
      </c>
      <c r="CW329" s="12" t="str">
        <f>CONCATENATE($T329,"-M",$U329,"-A8")</f>
        <v>E1-M5-A8</v>
      </c>
      <c r="CX329" s="12" t="str">
        <f>CONCATENATE($T329,"-M",$U329,"-A6")</f>
        <v>E1-M5-A6</v>
      </c>
      <c r="CY329" s="12" t="str">
        <f>CONCATENATE($T329,"-M",$U329,"-A30")</f>
        <v>E1-M5-A30</v>
      </c>
      <c r="CZ329" s="12" t="str">
        <f>CONCATENATE($T329,"-M",$U329,"-N")</f>
        <v>E1-M5-N</v>
      </c>
      <c r="DA329" s="12" t="str">
        <f>CONCATENATE($T329,"-M",U329,"-A7")</f>
        <v>E1-M5-A7</v>
      </c>
      <c r="DB329" s="12" t="str">
        <f>CONCATENATE($T329,"-M",$U329,"-H1")</f>
        <v>E1-M5-H1</v>
      </c>
      <c r="DC329" s="12" t="str">
        <f>CONCATENATE($T329,"-M",$U329,"-A1")</f>
        <v>E1-M5-A1</v>
      </c>
      <c r="DD329" s="12" t="str">
        <f>CONCATENATE($T329,"-M",$U329,"-A5")</f>
        <v>E1-M5-A5</v>
      </c>
      <c r="DE329" s="12" t="str">
        <f>CONCATENATE($T329,"-M",$U329,"-A11")</f>
        <v>E1-M5-A11</v>
      </c>
      <c r="DF329" s="12" t="str">
        <f>CONCATENATE($T329,"-M",$U329,"-A12")</f>
        <v>E1-M5-A12</v>
      </c>
      <c r="DG329" s="12" t="str">
        <f>CONCATENATE($T329,"-M",$U329,"-A20")</f>
        <v>E1-M5-A20</v>
      </c>
      <c r="DH329" s="12" t="str">
        <f>CONCATENATE($T329,"-M",$U329,"-A19")</f>
        <v>E1-M5-A19</v>
      </c>
      <c r="DI329" s="12" t="s">
        <v>142</v>
      </c>
      <c r="DJ329" s="12" t="s">
        <v>143</v>
      </c>
      <c r="DK329" s="12">
        <v>11</v>
      </c>
      <c r="DL329" s="12">
        <v>14</v>
      </c>
      <c r="DM329" s="12">
        <v>12</v>
      </c>
      <c r="DN329" s="12"/>
      <c r="DO329" s="12"/>
      <c r="DP329" s="12">
        <v>1</v>
      </c>
      <c r="DQ329" s="12">
        <v>2</v>
      </c>
      <c r="DR329" s="12">
        <v>3</v>
      </c>
      <c r="DS329" s="12">
        <v>4</v>
      </c>
      <c r="DT329" s="12">
        <v>5</v>
      </c>
      <c r="DU329" s="12">
        <v>6</v>
      </c>
      <c r="DV329" s="12">
        <v>7</v>
      </c>
      <c r="DW329" s="12">
        <v>8</v>
      </c>
      <c r="DX329" s="12">
        <v>9</v>
      </c>
      <c r="DY329" s="12">
        <v>10</v>
      </c>
      <c r="DZ329" s="12">
        <v>11</v>
      </c>
      <c r="EA329" s="12">
        <v>12</v>
      </c>
      <c r="EB329" s="12">
        <v>13</v>
      </c>
      <c r="EC329" s="12">
        <v>14</v>
      </c>
      <c r="ED329" s="12">
        <v>1</v>
      </c>
      <c r="EE329" s="12">
        <v>3</v>
      </c>
      <c r="EF329" s="12">
        <v>5</v>
      </c>
      <c r="EG329" s="12">
        <v>7</v>
      </c>
      <c r="EH329" s="12">
        <v>13</v>
      </c>
      <c r="EI329" s="12">
        <v>17</v>
      </c>
      <c r="EJ329" s="12">
        <v>18</v>
      </c>
      <c r="EK329" s="12">
        <v>19</v>
      </c>
      <c r="EL329" s="12">
        <v>20</v>
      </c>
      <c r="EM329" s="12">
        <v>25</v>
      </c>
      <c r="EN329" s="12"/>
      <c r="EO329" s="12"/>
      <c r="EP329" s="12"/>
      <c r="EQ329" s="13"/>
      <c r="MA329" t="str">
        <f t="shared" si="292"/>
        <v>DI1-B10</v>
      </c>
    </row>
    <row r="330" spans="1:588" x14ac:dyDescent="0.25">
      <c r="A330" s="83" t="s">
        <v>2069</v>
      </c>
      <c r="B330" s="83" t="s">
        <v>2068</v>
      </c>
      <c r="C330" s="3"/>
      <c r="O330" s="2"/>
      <c r="P330" t="s">
        <v>2060</v>
      </c>
      <c r="Q330" s="1"/>
      <c r="S330" s="1"/>
      <c r="T330" s="14" t="s">
        <v>1984</v>
      </c>
      <c r="U330" s="59">
        <v>6</v>
      </c>
      <c r="V330" s="15" t="s">
        <v>2070</v>
      </c>
      <c r="W330" s="15"/>
      <c r="AC330" t="str">
        <f t="shared" si="321"/>
        <v>A5.1</v>
      </c>
      <c r="AD330" s="43">
        <f t="array" ref="AD330">IF(COUNTIFS(AC$2:AC330,AC330)=1,"1",VALUE(SUBSTITUTE(INDEX(AD:AD,_xlfn.XMATCH(AC330,AC$1:AC329,0,-1)),"A",""))+INDEX(AE:AE,_xlfn.XMATCH(AC330,AC$1:AC329,0,-1))+1)</f>
        <v>14</v>
      </c>
      <c r="AE330" s="43">
        <f t="array" ref="AE330">SUM(IF(ISNUMBER(FIND("TmDi",$BE$1:$AAQ$1)),IF(IFERROR(ISNUMBER(VALUE(SUBSTITUTE($BE330:$AAQ330,"B",""))),FALSE),IF(ISNUMBER(VALUE(SUBSTITUTE($BE330:$AAQ330,"B",""))),1,0),0)))</f>
        <v>3</v>
      </c>
      <c r="AF330" t="str">
        <f t="shared" si="319"/>
        <v>C14</v>
      </c>
      <c r="AG330" t="str">
        <f t="shared" si="320"/>
        <v>B14</v>
      </c>
      <c r="AH330" t="str">
        <f>IF(AI329+AJ329&gt;31,REPLACE(AH329,LEN(AH329),1,VALUE(RIGHT(AH329,1))+1),AH329)</f>
        <v>A6.1</v>
      </c>
      <c r="AI330" s="62">
        <f t="array" ref="AI330">IF(COUNTIFS(AH$2:AH330,AH330)=1,"1",VALUE(SUBSTITUTE(INDEX(AI:AI,_xlfn.XMATCH(AH330,AH$1:AH329,0,-1)),"A",""))+INDEX(AJ:AJ,_xlfn.XMATCH(AH330,AH$1:AH329,0,-1))+1)</f>
        <v>8</v>
      </c>
      <c r="AJ330" s="62">
        <f t="array" ref="AJ330">SUM(IF(ISNUMBER(FIND("TmDo",$BE$1:$AAQ$1)),IF(IFERROR(ISNUMBER(VALUE(SUBSTITUTE($BE330:$AAQ330,"B",""))),FALSE),IF(ISNUMBER(VALUE(SUBSTITUTE($BE330:$AAQ330,"B",""))),1,0),0)))</f>
        <v>2</v>
      </c>
      <c r="AK330" s="15" t="str">
        <f>CONCATENATE($AI330,"A")</f>
        <v>8A</v>
      </c>
      <c r="AL330" s="15" t="str">
        <f>CONCATENATE($AI330,"B")</f>
        <v>8B</v>
      </c>
      <c r="AM330" t="s">
        <v>158</v>
      </c>
      <c r="AP330" t="s">
        <v>1987</v>
      </c>
      <c r="AQ330" t="s">
        <v>2050</v>
      </c>
      <c r="AT330" t="s">
        <v>139</v>
      </c>
      <c r="AU330" t="s">
        <v>140</v>
      </c>
      <c r="BD330" s="16"/>
      <c r="BE330" s="27" t="str">
        <f>CONCATENATE("XT",U330)</f>
        <v>XT6</v>
      </c>
      <c r="BF330" t="str">
        <f>CONCATENATE("C",REPLACE(AF330,1,1,"")+1)</f>
        <v>C15</v>
      </c>
      <c r="BG330" t="str">
        <f>CONCATENATE("B",REPLACE(AG330,1,1,"")+1)</f>
        <v>B15</v>
      </c>
      <c r="BH330" t="str">
        <f>CONCATENATE("C",REPLACE(BF330,1,1,"")+1)</f>
        <v>C16</v>
      </c>
      <c r="BI330" t="str">
        <f>CONCATENATE("B",REPLACE(BG330,1,1,"")+1)</f>
        <v>B16</v>
      </c>
      <c r="BJ330" t="str">
        <f>CONCATENATE("C",REPLACE(BH330,1,1,"")+1)</f>
        <v>C17</v>
      </c>
      <c r="BK330" t="str">
        <f>CONCATENATE("B",REPLACE(BI330,1,1,"")+1)</f>
        <v>B17</v>
      </c>
      <c r="BP330" t="str">
        <f>CONCATENATE(REPLACE(AK330,LEN(AK330),1,"")+1,"A")</f>
        <v>9A</v>
      </c>
      <c r="BQ330" t="str">
        <f>CONCATENATE(REPLACE(AL330,LEN(AL330),1,"")+1,"B")</f>
        <v>9B</v>
      </c>
      <c r="BR330" t="str">
        <f>CONCATENATE(REPLACE(BP330,LEN(BP330),1,"")+1,"A")</f>
        <v>10A</v>
      </c>
      <c r="BS330" t="str">
        <f>CONCATENATE(REPLACE(BQ330,LEN(BQ330),1,"")+1,"B")</f>
        <v>10B</v>
      </c>
      <c r="BT330" t="str">
        <f t="shared" si="322"/>
        <v>DI1-C14</v>
      </c>
      <c r="BU330" t="str">
        <f t="shared" si="322"/>
        <v>DI1-B14</v>
      </c>
      <c r="BV330" t="str">
        <f t="shared" si="323"/>
        <v>DI1-C15</v>
      </c>
      <c r="BW330" t="str">
        <f t="shared" si="323"/>
        <v>DI1-B15</v>
      </c>
      <c r="BX330" t="str">
        <f t="shared" si="323"/>
        <v>DI1-C16</v>
      </c>
      <c r="BY330" t="str">
        <f t="shared" si="323"/>
        <v>DI1-B16</v>
      </c>
      <c r="BZ330" t="str">
        <f t="shared" si="323"/>
        <v>DI1-C17</v>
      </c>
      <c r="CA330" t="str">
        <f t="shared" si="323"/>
        <v>DI1-B17</v>
      </c>
      <c r="CF330" t="str">
        <f t="shared" si="324"/>
        <v>DO1-8A</v>
      </c>
      <c r="CG330" t="str">
        <f t="shared" si="324"/>
        <v>DO1-8B</v>
      </c>
      <c r="CH330" t="str">
        <f t="shared" si="325"/>
        <v>DO1-9A</v>
      </c>
      <c r="CI330" t="str">
        <f t="shared" si="325"/>
        <v>DO1-9B</v>
      </c>
      <c r="CJ330" t="str">
        <f t="shared" si="325"/>
        <v>DO1-10A</v>
      </c>
      <c r="CK330" t="str">
        <f t="shared" si="325"/>
        <v>DO1-10B</v>
      </c>
      <c r="CL330" t="str">
        <f>CONCATENATE("K",$U330,"-10")</f>
        <v>K6-10</v>
      </c>
      <c r="CM330" t="str">
        <f>CONCATENATE("K",$U330,"-03")</f>
        <v>K6-03</v>
      </c>
      <c r="CN330" t="str">
        <f>CONCATENATE("K",$U330,"-04")</f>
        <v>K6-04</v>
      </c>
      <c r="CP330" t="str">
        <f>CONCATENATE("K",$U330,"-08")</f>
        <v>K6-08</v>
      </c>
      <c r="CQ330" t="str">
        <f>CONCATENATE("K",$U330,"-02")</f>
        <v>K6-02</v>
      </c>
      <c r="CR330" t="str">
        <f>CONCATENATE("K",$U330,"-09")</f>
        <v>K6-09</v>
      </c>
      <c r="CS330" t="str">
        <f>CONCATENATE("K",$U330,"-06")</f>
        <v>K6-06</v>
      </c>
      <c r="CT330" t="str">
        <f>CONCATENATE("K",$U330,"-05")</f>
        <v>K6-05</v>
      </c>
      <c r="CU330" t="str">
        <f>CONCATENATE($T330,"-M",$U330,"-A9")</f>
        <v>E1-M6-A9</v>
      </c>
      <c r="CV330" t="str">
        <f>CONCATENATE($T330,"-M",$U330,"-A7")</f>
        <v>E1-M6-A7</v>
      </c>
      <c r="CW330" t="str">
        <f>CONCATENATE($T330,"-M",$U330,"-A8")</f>
        <v>E1-M6-A8</v>
      </c>
      <c r="CX330" t="str">
        <f>CONCATENATE($T330,"-M",$U330,"-A6")</f>
        <v>E1-M6-A6</v>
      </c>
      <c r="CY330" t="str">
        <f>CONCATENATE($T330,"-M",$U330,"-A30")</f>
        <v>E1-M6-A30</v>
      </c>
      <c r="CZ330" t="str">
        <f>CONCATENATE($T330,"-M",$U330,"-N")</f>
        <v>E1-M6-N</v>
      </c>
      <c r="DA330" t="str">
        <f>CONCATENATE($T330,"-M",U330,"-A7")</f>
        <v>E1-M6-A7</v>
      </c>
      <c r="DB330" t="str">
        <f>CONCATENATE($T330,"-M",$U330,"-H1")</f>
        <v>E1-M6-H1</v>
      </c>
      <c r="DC330" t="str">
        <f>CONCATENATE($T330,"-M",$U330,"-A1")</f>
        <v>E1-M6-A1</v>
      </c>
      <c r="DD330" t="str">
        <f>CONCATENATE($T330,"-M",$U330,"-A5")</f>
        <v>E1-M6-A5</v>
      </c>
      <c r="DE330" t="str">
        <f>CONCATENATE($T330,"-M",$U330,"-A11")</f>
        <v>E1-M6-A11</v>
      </c>
      <c r="DF330" t="str">
        <f>CONCATENATE($T330,"-M",$U330,"-A12")</f>
        <v>E1-M6-A12</v>
      </c>
      <c r="DG330" t="str">
        <f>CONCATENATE($T330,"-M",$U330,"-A20")</f>
        <v>E1-M6-A20</v>
      </c>
      <c r="DH330" t="str">
        <f>CONCATENATE($T330,"-M",$U330,"-A19")</f>
        <v>E1-M6-A19</v>
      </c>
      <c r="DI330" t="s">
        <v>142</v>
      </c>
      <c r="DJ330" t="s">
        <v>143</v>
      </c>
      <c r="DK330">
        <v>11</v>
      </c>
      <c r="DL330">
        <v>14</v>
      </c>
      <c r="DM330">
        <v>12</v>
      </c>
      <c r="DP330">
        <v>1</v>
      </c>
      <c r="DQ330">
        <v>2</v>
      </c>
      <c r="DR330">
        <v>3</v>
      </c>
      <c r="DS330">
        <v>4</v>
      </c>
      <c r="DT330">
        <v>5</v>
      </c>
      <c r="DU330">
        <v>6</v>
      </c>
      <c r="DV330">
        <v>7</v>
      </c>
      <c r="DW330">
        <v>8</v>
      </c>
      <c r="DX330">
        <v>9</v>
      </c>
      <c r="DY330">
        <v>10</v>
      </c>
      <c r="DZ330">
        <v>11</v>
      </c>
      <c r="EA330">
        <v>12</v>
      </c>
      <c r="EB330">
        <v>13</v>
      </c>
      <c r="EC330">
        <v>14</v>
      </c>
      <c r="ED330">
        <v>1</v>
      </c>
      <c r="EE330">
        <v>3</v>
      </c>
      <c r="EF330">
        <v>5</v>
      </c>
      <c r="EG330">
        <v>7</v>
      </c>
      <c r="EH330">
        <v>13</v>
      </c>
      <c r="EI330">
        <v>17</v>
      </c>
      <c r="EJ330">
        <v>18</v>
      </c>
      <c r="EK330">
        <v>19</v>
      </c>
      <c r="EL330">
        <v>20</v>
      </c>
      <c r="EM330">
        <v>25</v>
      </c>
      <c r="EQ330" s="16"/>
      <c r="MA330" t="str">
        <f t="shared" si="292"/>
        <v>DI1-B14</v>
      </c>
    </row>
    <row r="331" spans="1:588" x14ac:dyDescent="0.25">
      <c r="A331" s="83" t="s">
        <v>2072</v>
      </c>
      <c r="B331" s="83" t="s">
        <v>2071</v>
      </c>
      <c r="C331" s="3"/>
      <c r="O331" s="2"/>
      <c r="P331" t="s">
        <v>2067</v>
      </c>
      <c r="Q331" s="1"/>
      <c r="S331" s="1"/>
      <c r="T331" s="14" t="s">
        <v>1984</v>
      </c>
      <c r="U331" s="59">
        <v>7</v>
      </c>
      <c r="V331" s="15" t="s">
        <v>2073</v>
      </c>
      <c r="W331" s="15"/>
      <c r="AC331" t="str">
        <f t="shared" si="321"/>
        <v>A5.1</v>
      </c>
      <c r="AD331" s="43">
        <f t="array" ref="AD331">IF(COUNTIFS(AC$2:AC331,AC331)=1,"1",VALUE(SUBSTITUTE(INDEX(AD:AD,_xlfn.XMATCH(AC331,AC$1:AC330,0,-1)),"A",""))+INDEX(AE:AE,_xlfn.XMATCH(AC331,AC$1:AC330,0,-1))+1)</f>
        <v>18</v>
      </c>
      <c r="AE331" s="43">
        <f t="array" ref="AE331">SUM(IF(ISNUMBER(FIND("TmDi",$BE$1:$AAQ$1)),IF(IFERROR(ISNUMBER(VALUE(SUBSTITUTE($BE331:$AAQ331,"B",""))),FALSE),IF(ISNUMBER(VALUE(SUBSTITUTE($BE331:$AAQ331,"B",""))),1,0),0)))</f>
        <v>4</v>
      </c>
      <c r="AF331" t="str">
        <f t="shared" si="319"/>
        <v>C18</v>
      </c>
      <c r="AG331" t="str">
        <f t="shared" si="320"/>
        <v>B18</v>
      </c>
      <c r="AH331" t="str">
        <f>IF(AI330+AJ330&gt;31,REPLACE(AH330,LEN(AH330),1,VALUE(RIGHT(AH330,1))+1),AH330)</f>
        <v>A6.1</v>
      </c>
      <c r="AI331" s="62">
        <f t="array" ref="AI331">IF(COUNTIFS(AH$2:AH331,AH331)=1,"1",VALUE(SUBSTITUTE(INDEX(AI:AI,_xlfn.XMATCH(AH331,AH$1:AH330,0,-1)),"A",""))+INDEX(AJ:AJ,_xlfn.XMATCH(AH331,AH$1:AH330,0,-1))+1)</f>
        <v>11</v>
      </c>
      <c r="AJ331" s="62">
        <f t="array" ref="AJ331">SUM(IF(ISNUMBER(FIND("TmDo",$BE$1:$AAQ$1)),IF(IFERROR(ISNUMBER(VALUE(SUBSTITUTE($BE331:$AAQ331,"B",""))),FALSE),IF(ISNUMBER(VALUE(SUBSTITUTE($BE331:$AAQ331,"B",""))),1,0),0)))</f>
        <v>2</v>
      </c>
      <c r="AK331" s="15" t="str">
        <f>CONCATENATE($AI331,"A")</f>
        <v>11A</v>
      </c>
      <c r="AL331" s="15" t="str">
        <f>CONCATENATE($AI331,"B")</f>
        <v>11B</v>
      </c>
      <c r="AM331" t="s">
        <v>161</v>
      </c>
      <c r="AP331" t="s">
        <v>1987</v>
      </c>
      <c r="AQ331" t="s">
        <v>2050</v>
      </c>
      <c r="AT331" t="s">
        <v>139</v>
      </c>
      <c r="AU331" t="s">
        <v>140</v>
      </c>
      <c r="BD331" s="16"/>
      <c r="BE331" s="27" t="str">
        <f>CONCATENATE("XT",U331)</f>
        <v>XT7</v>
      </c>
      <c r="BF331" t="str">
        <f>CONCATENATE("C",REPLACE(AF331,1,1,"")+1)</f>
        <v>C19</v>
      </c>
      <c r="BG331" t="str">
        <f>CONCATENATE("B",REPLACE(AG331,1,1,"")+1)</f>
        <v>B19</v>
      </c>
      <c r="BH331" t="str">
        <f>CONCATENATE("C",REPLACE(BF331,1,1,"")+1)</f>
        <v>C20</v>
      </c>
      <c r="BI331" t="str">
        <f>CONCATENATE("B",REPLACE(BG331,1,1,"")+1)</f>
        <v>B20</v>
      </c>
      <c r="BJ331" t="str">
        <f>CONCATENATE("C",REPLACE(BH331,1,1,"")+1)</f>
        <v>C21</v>
      </c>
      <c r="BK331" t="str">
        <f>CONCATENATE("B",REPLACE(BI331,1,1,"")+1)</f>
        <v>B21</v>
      </c>
      <c r="BL331" t="str">
        <f>CONCATENATE("C",REPLACE(BJ331,1,1,"")+1)</f>
        <v>C22</v>
      </c>
      <c r="BM331" t="str">
        <f>CONCATENATE("B",REPLACE(BK331,1,1,"")+1)</f>
        <v>B22</v>
      </c>
      <c r="BP331" t="str">
        <f>CONCATENATE(REPLACE(AK331,LEN(AK331),1,"")+1,"A")</f>
        <v>12A</v>
      </c>
      <c r="BQ331" t="str">
        <f>CONCATENATE(REPLACE(AL331,LEN(AL331),1,"")+1,"B")</f>
        <v>12B</v>
      </c>
      <c r="BR331" t="str">
        <f>CONCATENATE(REPLACE(BP331,LEN(BP331),1,"")+1,"A")</f>
        <v>13A</v>
      </c>
      <c r="BS331" t="str">
        <f>CONCATENATE(REPLACE(BQ331,LEN(BQ331),1,"")+1,"B")</f>
        <v>13B</v>
      </c>
      <c r="BT331" t="str">
        <f t="shared" si="322"/>
        <v>DI1-C18</v>
      </c>
      <c r="BU331" t="str">
        <f t="shared" si="322"/>
        <v>DI1-B18</v>
      </c>
      <c r="BV331" t="str">
        <f t="shared" si="323"/>
        <v>DI1-C19</v>
      </c>
      <c r="BW331" t="str">
        <f t="shared" si="323"/>
        <v>DI1-B19</v>
      </c>
      <c r="BX331" t="str">
        <f t="shared" si="323"/>
        <v>DI1-C20</v>
      </c>
      <c r="BY331" t="str">
        <f t="shared" si="323"/>
        <v>DI1-B20</v>
      </c>
      <c r="BZ331" t="str">
        <f t="shared" si="323"/>
        <v>DI1-C21</v>
      </c>
      <c r="CA331" t="str">
        <f t="shared" si="323"/>
        <v>DI1-B21</v>
      </c>
      <c r="CB331" t="str">
        <f>CONCATENATE("DI",REPLACE($AC331,1,3,""),"-",BL331)</f>
        <v>DI1-C22</v>
      </c>
      <c r="CC331" t="str">
        <f>CONCATENATE("DI",REPLACE($AC331,1,3,""),"-",BM331)</f>
        <v>DI1-B22</v>
      </c>
      <c r="CF331" t="str">
        <f t="shared" si="324"/>
        <v>DO1-11A</v>
      </c>
      <c r="CG331" t="str">
        <f t="shared" si="324"/>
        <v>DO1-11B</v>
      </c>
      <c r="CH331" t="str">
        <f t="shared" si="325"/>
        <v>DO1-12A</v>
      </c>
      <c r="CI331" t="str">
        <f t="shared" si="325"/>
        <v>DO1-12B</v>
      </c>
      <c r="CJ331" t="str">
        <f t="shared" si="325"/>
        <v>DO1-13A</v>
      </c>
      <c r="CK331" t="str">
        <f t="shared" si="325"/>
        <v>DO1-13B</v>
      </c>
      <c r="CL331" t="str">
        <f>CONCATENATE("K",$U331,"-01")</f>
        <v>K7-01</v>
      </c>
      <c r="CM331" t="str">
        <f>CONCATENATE("K",$U331,"-02")</f>
        <v>K7-02</v>
      </c>
      <c r="CN331" t="str">
        <f>CONCATENATE("K",$U331,"-06")</f>
        <v>K7-06</v>
      </c>
      <c r="CP331" t="str">
        <f>CONCATENATE("K",$U331,"-07")</f>
        <v>K7-07</v>
      </c>
      <c r="CQ331" t="str">
        <f>CONCATENATE("K",$U331,"-05")</f>
        <v>K7-05</v>
      </c>
      <c r="CR331" t="str">
        <f>CONCATENATE("K",$U331,"-10")</f>
        <v>K7-10</v>
      </c>
      <c r="CS331" t="str">
        <f>CONCATENATE("K",$U331,"-03")</f>
        <v>K7-03</v>
      </c>
      <c r="CT331" t="str">
        <f>CONCATENATE("K",$U331,"-04")</f>
        <v>K7-04</v>
      </c>
      <c r="CU331" t="str">
        <f>CONCATENATE($T331,"-M",$U331,"-A9")</f>
        <v>E1-M7-A9</v>
      </c>
      <c r="CV331" t="str">
        <f>CONCATENATE($T331,"-M",$U331,"-A8")</f>
        <v>E1-M7-A8</v>
      </c>
      <c r="CW331" t="str">
        <f>CONCATENATE($T331,"-M",$U331,"-A6")</f>
        <v>E1-M7-A6</v>
      </c>
      <c r="CX331" t="str">
        <f>CONCATENATE($T331,"-M",$U331,"-A6")</f>
        <v>E1-M7-A6</v>
      </c>
      <c r="CY331" t="str">
        <f>CONCATENATE($T331,"-M",$U331,"-A30")</f>
        <v>E1-M7-A30</v>
      </c>
      <c r="CZ331" t="str">
        <f>CONCATENATE($T331,"-M",$U331,"-N")</f>
        <v>E1-M7-N</v>
      </c>
      <c r="DA331" t="str">
        <f>CONCATENATE($T331,"-M",U331,"-A7")</f>
        <v>E1-M7-A7</v>
      </c>
      <c r="DB331" t="str">
        <f>CONCATENATE($T331,"-M",$U331,"-H1")</f>
        <v>E1-M7-H1</v>
      </c>
      <c r="DC331" t="str">
        <f>CONCATENATE($T331,"-M",$U331,"-A1")</f>
        <v>E1-M7-A1</v>
      </c>
      <c r="DD331" t="str">
        <f>CONCATENATE($T331,"-M",$U331,"-A5")</f>
        <v>E1-M7-A5</v>
      </c>
      <c r="DE331" t="str">
        <f>CONCATENATE($T331,"-M",$U331,"-A11")</f>
        <v>E1-M7-A11</v>
      </c>
      <c r="DF331" t="str">
        <f>CONCATENATE($T331,"-M",$U331,"-A12")</f>
        <v>E1-M7-A12</v>
      </c>
      <c r="DG331" t="str">
        <f>CONCATENATE($T331,"-M",$U331,"-A19")</f>
        <v>E1-M7-A19</v>
      </c>
      <c r="DH331" t="str">
        <f>CONCATENATE($T331,"-M",$U331,"-A20")</f>
        <v>E1-M7-A20</v>
      </c>
      <c r="DI331" t="s">
        <v>142</v>
      </c>
      <c r="DJ331" t="s">
        <v>143</v>
      </c>
      <c r="DK331">
        <v>11</v>
      </c>
      <c r="DL331">
        <v>14</v>
      </c>
      <c r="DM331">
        <v>12</v>
      </c>
      <c r="DP331">
        <v>1</v>
      </c>
      <c r="DQ331">
        <v>2</v>
      </c>
      <c r="DR331">
        <v>3</v>
      </c>
      <c r="DS331">
        <v>4</v>
      </c>
      <c r="DT331">
        <v>5</v>
      </c>
      <c r="DU331">
        <v>6</v>
      </c>
      <c r="DV331">
        <v>7</v>
      </c>
      <c r="DW331">
        <v>8</v>
      </c>
      <c r="DX331">
        <v>9</v>
      </c>
      <c r="DY331">
        <v>10</v>
      </c>
      <c r="DZ331">
        <v>11</v>
      </c>
      <c r="EA331">
        <v>12</v>
      </c>
      <c r="EB331">
        <v>13</v>
      </c>
      <c r="EC331">
        <v>14</v>
      </c>
      <c r="ED331">
        <v>1</v>
      </c>
      <c r="EE331">
        <v>2</v>
      </c>
      <c r="EF331">
        <v>5</v>
      </c>
      <c r="EG331">
        <v>7</v>
      </c>
      <c r="EH331">
        <v>8</v>
      </c>
      <c r="EI331">
        <v>11</v>
      </c>
      <c r="EJ331">
        <v>14</v>
      </c>
      <c r="EK331">
        <v>18</v>
      </c>
      <c r="EL331">
        <v>19</v>
      </c>
      <c r="EM331">
        <v>20</v>
      </c>
      <c r="EN331">
        <v>21</v>
      </c>
      <c r="EO331">
        <v>25</v>
      </c>
      <c r="EQ331" s="16"/>
      <c r="MA331" t="str">
        <f t="shared" si="292"/>
        <v>DI1-B18</v>
      </c>
    </row>
    <row r="332" spans="1:588" ht="30.75" thickBot="1" x14ac:dyDescent="0.3">
      <c r="B332" s="83" t="s">
        <v>3384</v>
      </c>
      <c r="P332" t="s">
        <v>1939</v>
      </c>
      <c r="T332" s="27" t="s">
        <v>1984</v>
      </c>
      <c r="U332">
        <v>8</v>
      </c>
      <c r="V332" t="s">
        <v>3385</v>
      </c>
      <c r="AP332" t="s">
        <v>1987</v>
      </c>
      <c r="AQ332" t="s">
        <v>3386</v>
      </c>
      <c r="MA332" t="str">
        <f t="shared" si="292"/>
        <v>DI-</v>
      </c>
      <c r="TX332" s="29" t="s">
        <v>3375</v>
      </c>
      <c r="TY332" t="s">
        <v>1948</v>
      </c>
      <c r="TZ332" t="s">
        <v>1949</v>
      </c>
      <c r="UA332" t="s">
        <v>1950</v>
      </c>
      <c r="UB332" t="s">
        <v>1951</v>
      </c>
      <c r="UC332" t="s">
        <v>1952</v>
      </c>
      <c r="UD332" t="s">
        <v>1953</v>
      </c>
      <c r="UE332" t="s">
        <v>1954</v>
      </c>
      <c r="UF332" t="str">
        <f>CONCATENATE("XT",$U332)</f>
        <v>XT8</v>
      </c>
      <c r="UG332">
        <v>1</v>
      </c>
      <c r="UH332">
        <f t="shared" ref="UH332" si="326">UG332+1</f>
        <v>2</v>
      </c>
      <c r="UI332">
        <f t="shared" ref="UI332" si="327">UH332+1</f>
        <v>3</v>
      </c>
    </row>
    <row r="333" spans="1:588" x14ac:dyDescent="0.25">
      <c r="A333" s="83" t="s">
        <v>2694</v>
      </c>
      <c r="B333" s="83" t="s">
        <v>3122</v>
      </c>
      <c r="P333" t="s">
        <v>1873</v>
      </c>
      <c r="T333" s="14" t="s">
        <v>1984</v>
      </c>
      <c r="AC333" t="s">
        <v>131</v>
      </c>
      <c r="AD333" s="43">
        <f t="array" ref="AD333">IF(COUNTIFS(AC$2:AC333,AC333)=1,"1",VALUE(SUBSTITUTE(INDEX(AD:AD,_xlfn.XMATCH(AC333,AC$1:AC332,0,-1)),"A",""))+INDEX(AE:AE,_xlfn.XMATCH(AC333,AC$1:AC332,0,-1))+1)</f>
        <v>23</v>
      </c>
      <c r="AE333" s="43">
        <f t="array" ref="AE333">SUM(IF(ISNUMBER(FIND("TmDi",$BE$1:$AAQ$1)),IF(IFERROR(ISNUMBER(VALUE(SUBSTITUTE($BE333:$AAQ333,"B",""))),FALSE),IF(ISNUMBER(VALUE(SUBSTITUTE($BE333:$AAQ333,"B",""))),1,0),0)))</f>
        <v>0</v>
      </c>
      <c r="AF333" t="str">
        <f t="shared" si="319"/>
        <v>C23</v>
      </c>
      <c r="AG333" t="str">
        <f t="shared" si="320"/>
        <v>B23</v>
      </c>
      <c r="AP333" t="s">
        <v>1987</v>
      </c>
      <c r="AT333" t="s">
        <v>854</v>
      </c>
      <c r="AU333" t="s">
        <v>1399</v>
      </c>
      <c r="LZ333" s="25" t="str">
        <f>CONCATENATE("DI",REPLACE($AC333,1,3,""),"-",$AF333)</f>
        <v>DI1-C23</v>
      </c>
      <c r="MA333" s="12" t="str">
        <f t="shared" si="292"/>
        <v>DI1-B23</v>
      </c>
      <c r="MB333" s="12" t="s">
        <v>1884</v>
      </c>
      <c r="MC333" s="12" t="s">
        <v>1883</v>
      </c>
      <c r="MD333" s="12">
        <v>11</v>
      </c>
      <c r="ME333" s="12">
        <v>14</v>
      </c>
      <c r="MF333" s="12" t="s">
        <v>142</v>
      </c>
      <c r="MG333" s="12" t="s">
        <v>143</v>
      </c>
      <c r="MH333" s="12" t="s">
        <v>488</v>
      </c>
      <c r="MI333" s="12" t="s">
        <v>487</v>
      </c>
      <c r="MJ333" s="12" t="s">
        <v>414</v>
      </c>
      <c r="MK333" s="12" t="s">
        <v>413</v>
      </c>
      <c r="ML333" s="12"/>
      <c r="MM333" s="12"/>
      <c r="MN333" s="12"/>
      <c r="MO333" s="12"/>
      <c r="MP333" s="12"/>
      <c r="MQ333" s="12"/>
      <c r="MR333" s="12">
        <v>1</v>
      </c>
      <c r="MS333" s="13">
        <v>2</v>
      </c>
      <c r="MT333" s="27"/>
    </row>
    <row r="334" spans="1:588" x14ac:dyDescent="0.25">
      <c r="A334" s="83" t="s">
        <v>2695</v>
      </c>
      <c r="B334" s="83" t="s">
        <v>3123</v>
      </c>
      <c r="P334" t="s">
        <v>1873</v>
      </c>
      <c r="T334" s="14" t="s">
        <v>1984</v>
      </c>
      <c r="AC334" t="str">
        <f t="shared" ref="AC334:AC339" si="328">IF(AD333+AE333&gt;31,REPLACE(AC333,LEN(AC333),1,VALUE(RIGHT(AC333,1))+1),AC333)</f>
        <v>A5.1</v>
      </c>
      <c r="AD334" s="43">
        <f t="array" ref="AD334">IF(COUNTIFS(AC$2:AC334,AC334)=1,"1",VALUE(SUBSTITUTE(INDEX(AD:AD,_xlfn.XMATCH(AC334,AC$1:AC333,0,-1)),"A",""))+INDEX(AE:AE,_xlfn.XMATCH(AC334,AC$1:AC333,0,-1))+1)</f>
        <v>24</v>
      </c>
      <c r="AE334" s="43">
        <f t="array" ref="AE334">SUM(IF(ISNUMBER(FIND("TmDi",$BE$1:$AAQ$1)),IF(IFERROR(ISNUMBER(VALUE(SUBSTITUTE($BE334:$AAQ334,"B",""))),FALSE),IF(ISNUMBER(VALUE(SUBSTITUTE($BE334:$AAQ334,"B",""))),1,0),0)))</f>
        <v>0</v>
      </c>
      <c r="AF334" t="str">
        <f t="shared" si="319"/>
        <v>C24</v>
      </c>
      <c r="AG334" t="str">
        <f t="shared" si="320"/>
        <v>B24</v>
      </c>
      <c r="AP334" t="s">
        <v>1987</v>
      </c>
      <c r="AT334" t="s">
        <v>854</v>
      </c>
      <c r="AU334" t="s">
        <v>1399</v>
      </c>
      <c r="LZ334" s="27" t="str">
        <f>CONCATENATE("DI",REPLACE($AC334,1,3,""),"-",$AF334)</f>
        <v>DI1-C24</v>
      </c>
      <c r="MA334" t="str">
        <f t="shared" si="292"/>
        <v>DI1-B24</v>
      </c>
      <c r="MB334" t="s">
        <v>1885</v>
      </c>
      <c r="MC334" t="s">
        <v>1886</v>
      </c>
      <c r="MD334">
        <f t="shared" ref="MD334:MK339" si="329">MD333</f>
        <v>11</v>
      </c>
      <c r="ME334">
        <f t="shared" si="329"/>
        <v>14</v>
      </c>
      <c r="MF334" t="str">
        <f t="shared" si="329"/>
        <v>A1</v>
      </c>
      <c r="MG334" t="str">
        <f t="shared" si="329"/>
        <v>A2</v>
      </c>
      <c r="MH334" t="str">
        <f t="shared" si="329"/>
        <v>0v3</v>
      </c>
      <c r="MI334" t="str">
        <f t="shared" si="329"/>
        <v>24v3</v>
      </c>
      <c r="MJ334" t="str">
        <f t="shared" si="329"/>
        <v>0v6</v>
      </c>
      <c r="MK334" t="str">
        <f t="shared" si="329"/>
        <v>24v6</v>
      </c>
      <c r="MR334">
        <f>MR333</f>
        <v>1</v>
      </c>
      <c r="MS334" s="16">
        <f>MS333</f>
        <v>2</v>
      </c>
    </row>
    <row r="335" spans="1:588" x14ac:dyDescent="0.25">
      <c r="A335" s="83" t="s">
        <v>2696</v>
      </c>
      <c r="B335" s="83" t="s">
        <v>3124</v>
      </c>
      <c r="P335" t="s">
        <v>1873</v>
      </c>
      <c r="T335" s="14" t="s">
        <v>1984</v>
      </c>
      <c r="AC335" t="str">
        <f t="shared" si="328"/>
        <v>A5.1</v>
      </c>
      <c r="AD335" s="43">
        <f t="array" ref="AD335">IF(COUNTIFS(AC$2:AC335,AC335)=1,"1",VALUE(SUBSTITUTE(INDEX(AD:AD,_xlfn.XMATCH(AC335,AC$1:AC334,0,-1)),"A",""))+INDEX(AE:AE,_xlfn.XMATCH(AC335,AC$1:AC334,0,-1))+1)</f>
        <v>25</v>
      </c>
      <c r="AE335" s="43">
        <f t="array" ref="AE335">SUM(IF(ISNUMBER(FIND("TmDi",$BE$1:$AAQ$1)),IF(IFERROR(ISNUMBER(VALUE(SUBSTITUTE($BE335:$AAQ335,"B",""))),FALSE),IF(ISNUMBER(VALUE(SUBSTITUTE($BE335:$AAQ335,"B",""))),1,0),0)))</f>
        <v>0</v>
      </c>
      <c r="AF335" t="str">
        <f t="shared" si="319"/>
        <v>C25</v>
      </c>
      <c r="AG335" t="str">
        <f t="shared" si="320"/>
        <v>B25</v>
      </c>
      <c r="AP335" t="s">
        <v>1987</v>
      </c>
      <c r="AT335" t="s">
        <v>854</v>
      </c>
      <c r="AU335" t="s">
        <v>1399</v>
      </c>
      <c r="LZ335" s="27" t="str">
        <f t="shared" ref="LZ335:LZ339" si="330">CONCATENATE("DI",REPLACE($AC335,1,3,""),"-",$AF335)</f>
        <v>DI1-C25</v>
      </c>
      <c r="MA335" t="str">
        <f t="shared" si="292"/>
        <v>DI1-B25</v>
      </c>
      <c r="MB335" t="s">
        <v>1887</v>
      </c>
      <c r="MC335" t="s">
        <v>1888</v>
      </c>
      <c r="MD335">
        <f t="shared" si="329"/>
        <v>11</v>
      </c>
      <c r="ME335">
        <f t="shared" si="329"/>
        <v>14</v>
      </c>
      <c r="MF335" t="str">
        <f t="shared" si="329"/>
        <v>A1</v>
      </c>
      <c r="MG335" t="str">
        <f t="shared" si="329"/>
        <v>A2</v>
      </c>
      <c r="MH335" t="str">
        <f t="shared" si="329"/>
        <v>0v3</v>
      </c>
      <c r="MI335" t="str">
        <f t="shared" si="329"/>
        <v>24v3</v>
      </c>
      <c r="MJ335" t="str">
        <f t="shared" si="329"/>
        <v>0v6</v>
      </c>
      <c r="MK335" t="str">
        <f t="shared" si="329"/>
        <v>24v6</v>
      </c>
      <c r="MR335">
        <f t="shared" ref="MR335:MS339" si="331">MR334</f>
        <v>1</v>
      </c>
      <c r="MS335" s="16">
        <f t="shared" si="331"/>
        <v>2</v>
      </c>
    </row>
    <row r="336" spans="1:588" x14ac:dyDescent="0.25">
      <c r="A336" s="83" t="s">
        <v>2697</v>
      </c>
      <c r="B336" s="83" t="s">
        <v>3125</v>
      </c>
      <c r="P336" t="s">
        <v>1873</v>
      </c>
      <c r="T336" s="14" t="s">
        <v>1984</v>
      </c>
      <c r="AC336" t="str">
        <f t="shared" si="328"/>
        <v>A5.1</v>
      </c>
      <c r="AD336" s="43">
        <f t="array" ref="AD336">IF(COUNTIFS(AC$2:AC336,AC336)=1,"1",VALUE(SUBSTITUTE(INDEX(AD:AD,_xlfn.XMATCH(AC336,AC$1:AC335,0,-1)),"A",""))+INDEX(AE:AE,_xlfn.XMATCH(AC336,AC$1:AC335,0,-1))+1)</f>
        <v>26</v>
      </c>
      <c r="AE336" s="43">
        <f t="array" ref="AE336">SUM(IF(ISNUMBER(FIND("TmDi",$BE$1:$AAQ$1)),IF(IFERROR(ISNUMBER(VALUE(SUBSTITUTE($BE336:$AAQ336,"B",""))),FALSE),IF(ISNUMBER(VALUE(SUBSTITUTE($BE336:$AAQ336,"B",""))),1,0),0)))</f>
        <v>0</v>
      </c>
      <c r="AF336" t="str">
        <f t="shared" si="319"/>
        <v>C26</v>
      </c>
      <c r="AG336" t="str">
        <f t="shared" si="320"/>
        <v>B26</v>
      </c>
      <c r="AP336" t="s">
        <v>1987</v>
      </c>
      <c r="AT336" t="s">
        <v>854</v>
      </c>
      <c r="AU336" t="s">
        <v>1399</v>
      </c>
      <c r="LZ336" s="27" t="str">
        <f t="shared" si="330"/>
        <v>DI1-C26</v>
      </c>
      <c r="MA336" t="str">
        <f t="shared" si="292"/>
        <v>DI1-B26</v>
      </c>
      <c r="MB336" t="s">
        <v>1889</v>
      </c>
      <c r="MC336" t="s">
        <v>1890</v>
      </c>
      <c r="MD336">
        <f t="shared" si="329"/>
        <v>11</v>
      </c>
      <c r="ME336">
        <f t="shared" si="329"/>
        <v>14</v>
      </c>
      <c r="MF336" t="str">
        <f t="shared" si="329"/>
        <v>A1</v>
      </c>
      <c r="MG336" t="str">
        <f t="shared" si="329"/>
        <v>A2</v>
      </c>
      <c r="MH336" t="str">
        <f t="shared" si="329"/>
        <v>0v3</v>
      </c>
      <c r="MI336" t="str">
        <f t="shared" si="329"/>
        <v>24v3</v>
      </c>
      <c r="MJ336" t="str">
        <f t="shared" si="329"/>
        <v>0v6</v>
      </c>
      <c r="MK336" t="str">
        <f t="shared" si="329"/>
        <v>24v6</v>
      </c>
      <c r="MR336">
        <f t="shared" si="331"/>
        <v>1</v>
      </c>
      <c r="MS336" s="16">
        <f t="shared" si="331"/>
        <v>2</v>
      </c>
    </row>
    <row r="337" spans="1:357" x14ac:dyDescent="0.25">
      <c r="A337" s="83" t="s">
        <v>2698</v>
      </c>
      <c r="B337" s="83" t="s">
        <v>3126</v>
      </c>
      <c r="P337" t="s">
        <v>1873</v>
      </c>
      <c r="T337" s="14" t="s">
        <v>1984</v>
      </c>
      <c r="AC337" t="str">
        <f t="shared" si="328"/>
        <v>A5.1</v>
      </c>
      <c r="AD337" s="43">
        <f t="array" ref="AD337">IF(COUNTIFS(AC$2:AC337,AC337)=1,"1",VALUE(SUBSTITUTE(INDEX(AD:AD,_xlfn.XMATCH(AC337,AC$1:AC336,0,-1)),"A",""))+INDEX(AE:AE,_xlfn.XMATCH(AC337,AC$1:AC336,0,-1))+1)</f>
        <v>27</v>
      </c>
      <c r="AE337" s="43">
        <f t="array" ref="AE337">SUM(IF(ISNUMBER(FIND("TmDi",$BE$1:$AAQ$1)),IF(IFERROR(ISNUMBER(VALUE(SUBSTITUTE($BE337:$AAQ337,"B",""))),FALSE),IF(ISNUMBER(VALUE(SUBSTITUTE($BE337:$AAQ337,"B",""))),1,0),0)))</f>
        <v>0</v>
      </c>
      <c r="AF337" t="str">
        <f t="shared" si="319"/>
        <v>C27</v>
      </c>
      <c r="AG337" t="str">
        <f t="shared" si="320"/>
        <v>B27</v>
      </c>
      <c r="AP337" t="s">
        <v>1987</v>
      </c>
      <c r="AT337" t="s">
        <v>854</v>
      </c>
      <c r="AU337" t="s">
        <v>1399</v>
      </c>
      <c r="LZ337" s="27" t="str">
        <f t="shared" si="330"/>
        <v>DI1-C27</v>
      </c>
      <c r="MA337" t="str">
        <f t="shared" si="292"/>
        <v>DI1-B27</v>
      </c>
      <c r="MB337" t="s">
        <v>1891</v>
      </c>
      <c r="MC337" t="s">
        <v>1892</v>
      </c>
      <c r="MD337">
        <f t="shared" si="329"/>
        <v>11</v>
      </c>
      <c r="ME337">
        <f t="shared" si="329"/>
        <v>14</v>
      </c>
      <c r="MF337" t="str">
        <f t="shared" si="329"/>
        <v>A1</v>
      </c>
      <c r="MG337" t="str">
        <f t="shared" si="329"/>
        <v>A2</v>
      </c>
      <c r="MH337" t="str">
        <f t="shared" si="329"/>
        <v>0v3</v>
      </c>
      <c r="MI337" t="str">
        <f t="shared" si="329"/>
        <v>24v3</v>
      </c>
      <c r="MJ337" t="str">
        <f t="shared" si="329"/>
        <v>0v6</v>
      </c>
      <c r="MK337" t="str">
        <f t="shared" si="329"/>
        <v>24v6</v>
      </c>
      <c r="MR337">
        <f t="shared" si="331"/>
        <v>1</v>
      </c>
      <c r="MS337" s="16">
        <f t="shared" si="331"/>
        <v>2</v>
      </c>
    </row>
    <row r="338" spans="1:357" x14ac:dyDescent="0.25">
      <c r="A338" s="83" t="s">
        <v>2699</v>
      </c>
      <c r="B338" s="83" t="s">
        <v>3395</v>
      </c>
      <c r="P338" t="s">
        <v>1873</v>
      </c>
      <c r="T338" s="14" t="s">
        <v>1984</v>
      </c>
      <c r="AC338" t="str">
        <f t="shared" si="328"/>
        <v>A5.1</v>
      </c>
      <c r="AD338" s="43">
        <f t="array" ref="AD338">IF(COUNTIFS(AC$2:AC338,AC338)=1,"1",VALUE(SUBSTITUTE(INDEX(AD:AD,_xlfn.XMATCH(AC338,AC$1:AC337,0,-1)),"A",""))+INDEX(AE:AE,_xlfn.XMATCH(AC338,AC$1:AC337,0,-1))+1)</f>
        <v>28</v>
      </c>
      <c r="AE338" s="43">
        <f t="array" ref="AE338">SUM(IF(ISNUMBER(FIND("TmDi",$BE$1:$AAQ$1)),IF(IFERROR(ISNUMBER(VALUE(SUBSTITUTE($BE338:$AAQ338,"B",""))),FALSE),IF(ISNUMBER(VALUE(SUBSTITUTE($BE338:$AAQ338,"B",""))),1,0),0)))</f>
        <v>0</v>
      </c>
      <c r="AF338" t="str">
        <f t="shared" si="319"/>
        <v>C28</v>
      </c>
      <c r="AG338" t="str">
        <f t="shared" si="320"/>
        <v>B28</v>
      </c>
      <c r="AP338" t="s">
        <v>1987</v>
      </c>
      <c r="AT338" t="s">
        <v>854</v>
      </c>
      <c r="AU338" t="s">
        <v>1399</v>
      </c>
      <c r="LZ338" s="27" t="str">
        <f t="shared" si="330"/>
        <v>DI1-C28</v>
      </c>
      <c r="MA338" t="str">
        <f t="shared" si="292"/>
        <v>DI1-B28</v>
      </c>
      <c r="MB338" t="s">
        <v>1893</v>
      </c>
      <c r="MC338" t="s">
        <v>1894</v>
      </c>
      <c r="MD338">
        <f t="shared" si="329"/>
        <v>11</v>
      </c>
      <c r="ME338">
        <f t="shared" si="329"/>
        <v>14</v>
      </c>
      <c r="MF338" t="str">
        <f t="shared" si="329"/>
        <v>A1</v>
      </c>
      <c r="MG338" t="str">
        <f t="shared" si="329"/>
        <v>A2</v>
      </c>
      <c r="MH338" t="str">
        <f t="shared" si="329"/>
        <v>0v3</v>
      </c>
      <c r="MI338" t="str">
        <f t="shared" si="329"/>
        <v>24v3</v>
      </c>
      <c r="MJ338" t="str">
        <f t="shared" si="329"/>
        <v>0v6</v>
      </c>
      <c r="MK338" t="str">
        <f t="shared" si="329"/>
        <v>24v6</v>
      </c>
      <c r="MR338">
        <f t="shared" si="331"/>
        <v>1</v>
      </c>
      <c r="MS338" s="16">
        <f t="shared" si="331"/>
        <v>2</v>
      </c>
    </row>
    <row r="339" spans="1:357" s="19" customFormat="1" ht="15.75" thickBot="1" x14ac:dyDescent="0.3">
      <c r="A339" s="88" t="s">
        <v>2700</v>
      </c>
      <c r="B339" s="88" t="s">
        <v>3127</v>
      </c>
      <c r="P339" s="19" t="s">
        <v>1873</v>
      </c>
      <c r="T339" s="17" t="s">
        <v>1984</v>
      </c>
      <c r="AC339" s="19" t="str">
        <f t="shared" si="328"/>
        <v>A5.1</v>
      </c>
      <c r="AD339" s="44">
        <f t="array" ref="AD339">IF(COUNTIFS(AC$2:AC339,AC339)=1,"1",VALUE(SUBSTITUTE(INDEX(AD:AD,_xlfn.XMATCH(AC339,AC$1:AC338,0,-1)),"A",""))+INDEX(AE:AE,_xlfn.XMATCH(AC339,AC$1:AC338,0,-1))+1)</f>
        <v>29</v>
      </c>
      <c r="AE339" s="44">
        <f t="array" ref="AE339">SUM(IF(ISNUMBER(FIND("TmDi",$BE$1:$AAQ$1)),IF(IFERROR(ISNUMBER(VALUE(SUBSTITUTE($BE339:$AAQ339,"B",""))),FALSE),IF(ISNUMBER(VALUE(SUBSTITUTE($BE339:$AAQ339,"B",""))),1,0),0)))</f>
        <v>0</v>
      </c>
      <c r="AF339" s="19" t="str">
        <f t="shared" si="319"/>
        <v>C29</v>
      </c>
      <c r="AG339" s="19" t="str">
        <f t="shared" si="320"/>
        <v>B29</v>
      </c>
      <c r="AI339" s="70"/>
      <c r="AJ339" s="70"/>
      <c r="AP339" s="19" t="s">
        <v>1987</v>
      </c>
      <c r="AT339" s="19" t="s">
        <v>854</v>
      </c>
      <c r="AU339" s="19" t="s">
        <v>1399</v>
      </c>
      <c r="LZ339" s="28" t="str">
        <f t="shared" si="330"/>
        <v>DI1-C29</v>
      </c>
      <c r="MA339" s="19" t="str">
        <f t="shared" si="292"/>
        <v>DI1-B29</v>
      </c>
      <c r="MB339" s="19" t="s">
        <v>1899</v>
      </c>
      <c r="MC339" s="19" t="s">
        <v>1896</v>
      </c>
      <c r="MD339" s="19">
        <f t="shared" si="329"/>
        <v>11</v>
      </c>
      <c r="ME339" s="19">
        <f t="shared" si="329"/>
        <v>14</v>
      </c>
      <c r="MF339" s="19" t="str">
        <f t="shared" si="329"/>
        <v>A1</v>
      </c>
      <c r="MG339" s="19" t="str">
        <f t="shared" si="329"/>
        <v>A2</v>
      </c>
      <c r="MH339" s="19" t="str">
        <f t="shared" si="329"/>
        <v>0v3</v>
      </c>
      <c r="MI339" s="19" t="str">
        <f t="shared" si="329"/>
        <v>24v3</v>
      </c>
      <c r="MJ339" s="19" t="str">
        <f t="shared" si="329"/>
        <v>0v6</v>
      </c>
      <c r="MK339" s="19" t="str">
        <f t="shared" si="329"/>
        <v>24v6</v>
      </c>
      <c r="MR339" s="19">
        <f t="shared" si="331"/>
        <v>1</v>
      </c>
      <c r="MS339" s="20">
        <f t="shared" si="331"/>
        <v>2</v>
      </c>
    </row>
    <row r="340" spans="1:357" x14ac:dyDescent="0.25">
      <c r="A340" s="83" t="s">
        <v>2081</v>
      </c>
      <c r="B340" s="83" t="s">
        <v>2076</v>
      </c>
      <c r="C340" t="s">
        <v>498</v>
      </c>
      <c r="P340" t="s">
        <v>482</v>
      </c>
      <c r="T340" s="14" t="s">
        <v>2114</v>
      </c>
      <c r="U340">
        <v>1</v>
      </c>
      <c r="V340" t="s">
        <v>2115</v>
      </c>
      <c r="X340" t="s">
        <v>400</v>
      </c>
      <c r="Y340" s="61">
        <v>1</v>
      </c>
      <c r="Z340" s="61">
        <f t="array" ref="Z340">SUM(IF(ISNUMBER(FIND("TmAi",$BE$1:$AAQ$1)),IF(IFERROR(ISODD(SUBSTITUTE($BE340:$AAQ340,"A","")),FALSE),IF(ISODD(SUBSTITUTE($BE340:$AAQ340,"A","")),1,0),0)))</f>
        <v>0</v>
      </c>
      <c r="AA340" t="str">
        <f t="shared" ref="AA340:AA345" si="332">CONCATENATE($Y340*2-1,"B")</f>
        <v>1B</v>
      </c>
      <c r="AB340" t="str">
        <f t="shared" ref="AB340:AB345" si="333">CONCATENATE($Y340*2,"B")</f>
        <v>2B</v>
      </c>
      <c r="AP340" t="s">
        <v>2116</v>
      </c>
      <c r="AS340" t="s">
        <v>396</v>
      </c>
      <c r="JZ340" s="25" t="str">
        <f>CONCATENATE("XT",U340)</f>
        <v>XT1</v>
      </c>
      <c r="KA340" s="12"/>
      <c r="KB340" s="12"/>
      <c r="KC340" s="12" t="str">
        <f>CONCATENATE(T340,"-AI",REPLACE($X340,1,3,""),"-",AA340)</f>
        <v>E2-AI1-1B</v>
      </c>
      <c r="KD340" s="12" t="str">
        <f>CONCATENATE(T340,"-AI",REPLACE($X340,1,3,""),"-",AB340)</f>
        <v>E2-AI1-2B</v>
      </c>
      <c r="KE340" s="12"/>
      <c r="KF340" s="12"/>
      <c r="KG340" s="12"/>
      <c r="KH340" s="12"/>
      <c r="KI340" s="12">
        <v>1</v>
      </c>
      <c r="KJ340" s="12">
        <f t="shared" ref="KJ340:KK345" si="334">KI340+1</f>
        <v>2</v>
      </c>
      <c r="KK340" s="12">
        <f t="shared" si="334"/>
        <v>3</v>
      </c>
      <c r="KL340" s="12"/>
      <c r="KM340" s="12"/>
      <c r="KN340" s="12">
        <v>1</v>
      </c>
      <c r="KO340" s="13">
        <v>2</v>
      </c>
      <c r="KP340" s="12"/>
      <c r="KQ340" s="12"/>
      <c r="KR340" s="12"/>
      <c r="KS340" s="13"/>
      <c r="MA340" t="str">
        <f t="shared" si="292"/>
        <v>DI-</v>
      </c>
    </row>
    <row r="341" spans="1:357" x14ac:dyDescent="0.25">
      <c r="A341" s="83" t="s">
        <v>2082</v>
      </c>
      <c r="B341" s="83" t="s">
        <v>2111</v>
      </c>
      <c r="C341" t="s">
        <v>498</v>
      </c>
      <c r="P341" t="s">
        <v>482</v>
      </c>
      <c r="T341" s="14" t="s">
        <v>2114</v>
      </c>
      <c r="U341">
        <v>1</v>
      </c>
      <c r="V341" t="s">
        <v>2117</v>
      </c>
      <c r="X341" t="str">
        <f>IF(COUNTIF(X$340:X340,X340)&gt;7,REPLACE(X340,LEN(X340),1,VALUE(RIGHT(X340,1))+1),X340)</f>
        <v>A3.1</v>
      </c>
      <c r="Y341" s="61">
        <f t="array" ref="Y341">IF(COUNTIFS($X$340:$X341,$X341)=1,"1",VALUE(SUBSTITUTE(INDEX(Y:Y,_xlfn.XMATCH($X341,$X$1:$X340,0,-1)),"A",""))+INDEX(Z:Z,_xlfn.XMATCH($X341,$X$1:$X340,0,-1))+1)</f>
        <v>2</v>
      </c>
      <c r="Z341">
        <f t="array" ref="Z341">SUM(IF(ISNUMBER(FIND("TmAi",$BE$1:$AAQ$1)),IF(IFERROR(ISODD(SUBSTITUTE($BE341:$AAQ341,"A","")),FALSE),IF(ISODD(SUBSTITUTE($BE341:$AAQ341,"A","")),1,0),0)))</f>
        <v>0</v>
      </c>
      <c r="AA341" t="str">
        <f t="shared" si="332"/>
        <v>3B</v>
      </c>
      <c r="AB341" t="str">
        <f t="shared" si="333"/>
        <v>4B</v>
      </c>
      <c r="AP341" t="s">
        <v>2116</v>
      </c>
      <c r="AS341" t="s">
        <v>396</v>
      </c>
      <c r="JZ341" s="27" t="str">
        <f t="shared" ref="JZ341:JZ347" si="335">CONCATENATE("XT",U341)</f>
        <v>XT1</v>
      </c>
      <c r="KC341" t="str">
        <f t="shared" ref="KC341:KC347" si="336">CONCATENATE(T341,"-AI",REPLACE($X341,1,3,""),"-",AA341)</f>
        <v>E2-AI1-3B</v>
      </c>
      <c r="KD341" t="str">
        <f t="shared" ref="KD341:KD347" si="337">CONCATENATE(T341,"-AI",REPLACE($X341,1,3,""),"-",AB341)</f>
        <v>E2-AI1-4B</v>
      </c>
      <c r="KI341">
        <f t="array" ref="KI341">IF(COUNTIFS($U$2:$U341,$U341)=1,1,INDEX(KI:KI,_xlfn.XMATCH(U341,U$1:U340,0,-1))+COUNT(KI340:KM340))</f>
        <v>4</v>
      </c>
      <c r="KJ341">
        <f t="shared" si="334"/>
        <v>5</v>
      </c>
      <c r="KK341">
        <f t="shared" si="334"/>
        <v>6</v>
      </c>
      <c r="KN341">
        <v>1</v>
      </c>
      <c r="KO341">
        <v>2</v>
      </c>
      <c r="KP341" s="27"/>
      <c r="KS341" s="16"/>
      <c r="MA341" t="str">
        <f t="shared" si="292"/>
        <v>DI-</v>
      </c>
    </row>
    <row r="342" spans="1:357" x14ac:dyDescent="0.25">
      <c r="A342" s="83" t="s">
        <v>2083</v>
      </c>
      <c r="B342" s="83" t="s">
        <v>2112</v>
      </c>
      <c r="C342" t="s">
        <v>498</v>
      </c>
      <c r="P342" t="s">
        <v>482</v>
      </c>
      <c r="T342" s="14" t="s">
        <v>2114</v>
      </c>
      <c r="U342">
        <v>1</v>
      </c>
      <c r="V342" t="s">
        <v>2118</v>
      </c>
      <c r="X342" t="str">
        <f>IF(COUNTIF(X$340:X341,X341)&gt;7,REPLACE(X341,LEN(X341),1,VALUE(RIGHT(X341,1))+1),X341)</f>
        <v>A3.1</v>
      </c>
      <c r="Y342" s="61">
        <f t="array" ref="Y342">IF(COUNTIFS($X$340:$X342,$X342)=1,"1",VALUE(SUBSTITUTE(INDEX(Y:Y,_xlfn.XMATCH($X342,$X$1:$X341,0,-1)),"A",""))+INDEX(Z:Z,_xlfn.XMATCH($X342,$X$1:$X341,0,-1))+1)</f>
        <v>3</v>
      </c>
      <c r="Z342">
        <f t="array" ref="Z342">SUM(IF(ISNUMBER(FIND("TmAi",$BE$1:$AAQ$1)),IF(IFERROR(ISODD(SUBSTITUTE($BE342:$AAQ342,"A","")),FALSE),IF(ISODD(SUBSTITUTE($BE342:$AAQ342,"A","")),1,0),0)))</f>
        <v>0</v>
      </c>
      <c r="AA342" t="str">
        <f t="shared" si="332"/>
        <v>5B</v>
      </c>
      <c r="AB342" t="str">
        <f t="shared" si="333"/>
        <v>6B</v>
      </c>
      <c r="AP342" t="s">
        <v>2116</v>
      </c>
      <c r="AS342" t="s">
        <v>396</v>
      </c>
      <c r="JZ342" s="27" t="str">
        <f t="shared" si="335"/>
        <v>XT1</v>
      </c>
      <c r="KC342" t="str">
        <f t="shared" si="336"/>
        <v>E2-AI1-5B</v>
      </c>
      <c r="KD342" t="str">
        <f t="shared" si="337"/>
        <v>E2-AI1-6B</v>
      </c>
      <c r="KI342">
        <f t="array" ref="KI342">IF(COUNTIFS($U$2:$U342,$U342)=1,1,INDEX(KI:KI,_xlfn.XMATCH(U342,U$1:U341,0,-1))+COUNT(KI341:KM341))</f>
        <v>7</v>
      </c>
      <c r="KJ342">
        <f t="shared" si="334"/>
        <v>8</v>
      </c>
      <c r="KK342">
        <f t="shared" si="334"/>
        <v>9</v>
      </c>
      <c r="KN342">
        <v>1</v>
      </c>
      <c r="KO342">
        <v>2</v>
      </c>
      <c r="KP342" s="27"/>
      <c r="KS342" s="16"/>
      <c r="MA342" t="str">
        <f t="shared" si="292"/>
        <v>DI-</v>
      </c>
    </row>
    <row r="343" spans="1:357" x14ac:dyDescent="0.25">
      <c r="A343" s="83" t="s">
        <v>2084</v>
      </c>
      <c r="B343" s="83" t="s">
        <v>2113</v>
      </c>
      <c r="C343" t="s">
        <v>498</v>
      </c>
      <c r="P343" t="s">
        <v>482</v>
      </c>
      <c r="T343" s="14" t="s">
        <v>2114</v>
      </c>
      <c r="U343">
        <v>1</v>
      </c>
      <c r="V343" t="s">
        <v>2119</v>
      </c>
      <c r="X343" t="str">
        <f>IF(COUNTIF(X$340:X342,X342)&gt;7,REPLACE(X342,LEN(X342),1,VALUE(RIGHT(X342,1))+1),X342)</f>
        <v>A3.1</v>
      </c>
      <c r="Y343" s="61">
        <f t="array" ref="Y343">IF(COUNTIFS($X$340:$X343,$X343)=1,"1",VALUE(SUBSTITUTE(INDEX(Y:Y,_xlfn.XMATCH($X343,$X$1:$X342,0,-1)),"A",""))+INDEX(Z:Z,_xlfn.XMATCH($X343,$X$1:$X342,0,-1))+1)</f>
        <v>4</v>
      </c>
      <c r="Z343">
        <f t="array" ref="Z343">SUM(IF(ISNUMBER(FIND("TmAi",$BE$1:$AAQ$1)),IF(IFERROR(ISODD(SUBSTITUTE($BE343:$AAQ343,"A","")),FALSE),IF(ISODD(SUBSTITUTE($BE343:$AAQ343,"A","")),1,0),0)))</f>
        <v>0</v>
      </c>
      <c r="AA343" t="str">
        <f t="shared" si="332"/>
        <v>7B</v>
      </c>
      <c r="AB343" t="str">
        <f t="shared" si="333"/>
        <v>8B</v>
      </c>
      <c r="AP343" t="s">
        <v>2116</v>
      </c>
      <c r="AS343" t="s">
        <v>396</v>
      </c>
      <c r="JZ343" s="27" t="str">
        <f t="shared" si="335"/>
        <v>XT1</v>
      </c>
      <c r="KC343" t="str">
        <f t="shared" si="336"/>
        <v>E2-AI1-7B</v>
      </c>
      <c r="KD343" t="str">
        <f t="shared" si="337"/>
        <v>E2-AI1-8B</v>
      </c>
      <c r="KI343">
        <f t="array" ref="KI343">IF(COUNTIFS($U$2:$U343,$U343)=1,1,INDEX(KI:KI,_xlfn.XMATCH(U343,U$1:U342,0,-1))+COUNT(KI342:KM342))</f>
        <v>10</v>
      </c>
      <c r="KJ343">
        <f t="shared" si="334"/>
        <v>11</v>
      </c>
      <c r="KK343">
        <f t="shared" si="334"/>
        <v>12</v>
      </c>
      <c r="KN343">
        <v>1</v>
      </c>
      <c r="KO343">
        <v>2</v>
      </c>
      <c r="KP343" s="27"/>
      <c r="KS343" s="16"/>
      <c r="MA343" t="str">
        <f t="shared" si="292"/>
        <v>DI-</v>
      </c>
    </row>
    <row r="344" spans="1:357" x14ac:dyDescent="0.25">
      <c r="A344" s="83" t="s">
        <v>2079</v>
      </c>
      <c r="B344" s="83" t="s">
        <v>2074</v>
      </c>
      <c r="C344" t="s">
        <v>498</v>
      </c>
      <c r="P344" t="s">
        <v>482</v>
      </c>
      <c r="T344" s="14" t="s">
        <v>2114</v>
      </c>
      <c r="U344">
        <v>1</v>
      </c>
      <c r="V344" t="s">
        <v>2120</v>
      </c>
      <c r="X344" t="str">
        <f>IF(COUNTIF(X$340:X343,X343)&gt;7,REPLACE(X343,LEN(X343),1,VALUE(RIGHT(X343,1))+1),X343)</f>
        <v>A3.1</v>
      </c>
      <c r="Y344" s="61">
        <f t="array" ref="Y344">IF(COUNTIFS($X$340:$X344,$X344)=1,"1",VALUE(SUBSTITUTE(INDEX(Y:Y,_xlfn.XMATCH($X344,$X$1:$X343,0,-1)),"A",""))+INDEX(Z:Z,_xlfn.XMATCH($X344,$X$1:$X343,0,-1))+1)</f>
        <v>5</v>
      </c>
      <c r="Z344">
        <f t="array" ref="Z344">SUM(IF(ISNUMBER(FIND("TmAi",$BE$1:$AAQ$1)),IF(IFERROR(ISODD(SUBSTITUTE($BE344:$AAQ344,"A","")),FALSE),IF(ISODD(SUBSTITUTE($BE344:$AAQ344,"A","")),1,0),0)))</f>
        <v>0</v>
      </c>
      <c r="AA344" t="str">
        <f t="shared" si="332"/>
        <v>9B</v>
      </c>
      <c r="AB344" t="str">
        <f t="shared" si="333"/>
        <v>10B</v>
      </c>
      <c r="AP344" t="s">
        <v>2116</v>
      </c>
      <c r="AS344" t="s">
        <v>396</v>
      </c>
      <c r="JZ344" s="27" t="str">
        <f t="shared" si="335"/>
        <v>XT1</v>
      </c>
      <c r="KC344" t="str">
        <f t="shared" si="336"/>
        <v>E2-AI1-9B</v>
      </c>
      <c r="KD344" t="str">
        <f t="shared" si="337"/>
        <v>E2-AI1-10B</v>
      </c>
      <c r="KI344">
        <f t="array" ref="KI344">IF(COUNTIFS($U$2:$U344,$U344)=1,1,INDEX(KI:KI,_xlfn.XMATCH(U344,U$1:U343,0,-1))+COUNT(KI343:KM343))</f>
        <v>13</v>
      </c>
      <c r="KJ344">
        <f t="shared" si="334"/>
        <v>14</v>
      </c>
      <c r="KK344">
        <f t="shared" si="334"/>
        <v>15</v>
      </c>
      <c r="KN344">
        <v>1</v>
      </c>
      <c r="KO344">
        <v>2</v>
      </c>
      <c r="KP344" s="27"/>
      <c r="KS344" s="16"/>
      <c r="MA344" t="str">
        <f t="shared" si="292"/>
        <v>DI-</v>
      </c>
    </row>
    <row r="345" spans="1:357" x14ac:dyDescent="0.25">
      <c r="A345" s="83" t="s">
        <v>2080</v>
      </c>
      <c r="B345" s="83" t="s">
        <v>2075</v>
      </c>
      <c r="C345" t="s">
        <v>498</v>
      </c>
      <c r="P345" t="s">
        <v>482</v>
      </c>
      <c r="T345" s="14" t="s">
        <v>2114</v>
      </c>
      <c r="U345">
        <v>1</v>
      </c>
      <c r="V345" t="s">
        <v>2121</v>
      </c>
      <c r="X345" t="str">
        <f>IF(COUNTIF(X$340:X344,X344)&gt;7,REPLACE(X344,LEN(X344),1,VALUE(RIGHT(X344,1))+1),X344)</f>
        <v>A3.1</v>
      </c>
      <c r="Y345" s="61">
        <f t="array" ref="Y345">IF(COUNTIFS($X$340:$X345,$X345)=1,"1",VALUE(SUBSTITUTE(INDEX(Y:Y,_xlfn.XMATCH($X345,$X$1:$X344,0,-1)),"A",""))+INDEX(Z:Z,_xlfn.XMATCH($X345,$X$1:$X344,0,-1))+1)</f>
        <v>6</v>
      </c>
      <c r="Z345">
        <f t="array" ref="Z345">SUM(IF(ISNUMBER(FIND("TmAi",$BE$1:$AAQ$1)),IF(IFERROR(ISODD(SUBSTITUTE($BE345:$AAQ345,"A","")),FALSE),IF(ISODD(SUBSTITUTE($BE345:$AAQ345,"A","")),1,0),0)))</f>
        <v>0</v>
      </c>
      <c r="AA345" t="str">
        <f t="shared" si="332"/>
        <v>11B</v>
      </c>
      <c r="AB345" t="str">
        <f t="shared" si="333"/>
        <v>12B</v>
      </c>
      <c r="AP345" t="s">
        <v>2116</v>
      </c>
      <c r="AS345" t="s">
        <v>396</v>
      </c>
      <c r="JZ345" s="27" t="str">
        <f t="shared" si="335"/>
        <v>XT1</v>
      </c>
      <c r="KC345" t="str">
        <f t="shared" si="336"/>
        <v>E2-AI1-11B</v>
      </c>
      <c r="KD345" t="str">
        <f t="shared" si="337"/>
        <v>E2-AI1-12B</v>
      </c>
      <c r="KI345">
        <f t="array" ref="KI345">IF(COUNTIFS($U$2:$U345,$U345)=1,1,INDEX(KI:KI,_xlfn.XMATCH(U345,U$1:U344,0,-1))+COUNT(KI344:KM344))</f>
        <v>16</v>
      </c>
      <c r="KJ345">
        <f t="shared" si="334"/>
        <v>17</v>
      </c>
      <c r="KK345">
        <f t="shared" si="334"/>
        <v>18</v>
      </c>
      <c r="KN345">
        <v>1</v>
      </c>
      <c r="KO345">
        <v>2</v>
      </c>
      <c r="KP345" s="27"/>
      <c r="KS345" s="16"/>
      <c r="MA345" t="str">
        <f t="shared" si="292"/>
        <v>DI-</v>
      </c>
    </row>
    <row r="346" spans="1:357" x14ac:dyDescent="0.25">
      <c r="A346" s="83" t="s">
        <v>2085</v>
      </c>
      <c r="B346" s="83" t="s">
        <v>2077</v>
      </c>
      <c r="C346" t="s">
        <v>537</v>
      </c>
      <c r="P346" t="s">
        <v>542</v>
      </c>
      <c r="T346" s="14" t="s">
        <v>2114</v>
      </c>
      <c r="U346">
        <v>1</v>
      </c>
      <c r="V346" t="s">
        <v>2122</v>
      </c>
      <c r="X346" t="s">
        <v>484</v>
      </c>
      <c r="Y346" s="62" t="str">
        <f t="array" ref="Y346">IF(COUNTIFS($X$340:$X346,$X346)=1,"1",VALUE(SUBSTITUTE(INDEX(Y:Y,_xlfn.XMATCH($X346,$X$1:$X345,0,-1)),"A",""))+INDEX(Z:Z,_xlfn.XMATCH($X346,$X$1:$X345,0,-1))+1)</f>
        <v>1</v>
      </c>
      <c r="Z346" s="61">
        <f t="array" ref="Z346">SUM(IF(ISNUMBER(FIND("TmAi",$BE$1:$AAQ$1)),IF(IFERROR(ISODD(SUBSTITUTE($BE346:$AAQ346,"A","")),FALSE),IF(ISODD(SUBSTITUTE($BE346:$AAQ346,"A","")),1,0),0)))</f>
        <v>0</v>
      </c>
      <c r="AA346" t="str">
        <f>CONCATENATE($Y346*2-1,"A")</f>
        <v>1A</v>
      </c>
      <c r="AB346" t="str">
        <f>CONCATENATE($Y346*2-1,"B")</f>
        <v>1B</v>
      </c>
      <c r="AP346" t="s">
        <v>2116</v>
      </c>
      <c r="AS346" t="s">
        <v>396</v>
      </c>
      <c r="JZ346" s="27" t="str">
        <f t="shared" si="335"/>
        <v>XT1</v>
      </c>
      <c r="KA346" t="str">
        <f>REPLACE($AA346,1,1,LEFT($AA346,1)+1)</f>
        <v>2A</v>
      </c>
      <c r="KB346" t="str">
        <f>REPLACE($AB346,1,1,LEFT($AB346,1)+1)</f>
        <v>2B</v>
      </c>
      <c r="KC346" t="str">
        <f t="shared" si="336"/>
        <v>E2-AI3-1A</v>
      </c>
      <c r="KD346" t="str">
        <f t="shared" si="337"/>
        <v>E2-AI3-1B</v>
      </c>
      <c r="KE346" t="str">
        <f>CONCATENATE($T346,"-AI",REPLACE($X346,1,3,""),"-",KA346)</f>
        <v>E2-AI3-2A</v>
      </c>
      <c r="KF346" t="str">
        <f>CONCATENATE($T346,"-AI",REPLACE($X346,1,3,""),"-",KB346)</f>
        <v>E2-AI3-2B</v>
      </c>
      <c r="KI346">
        <f t="array" ref="KI346">IF(COUNTIFS($U$2:$U346,$U346)=1,1,INDEX(KI:KI,_xlfn.XMATCH(U346,U$1:U345,0,-1))+COUNT(KI345:KM345))</f>
        <v>19</v>
      </c>
      <c r="KJ346">
        <f t="shared" ref="KJ346:KL347" si="338">KI346+1</f>
        <v>20</v>
      </c>
      <c r="KK346">
        <f t="shared" si="338"/>
        <v>21</v>
      </c>
      <c r="KL346">
        <f t="shared" si="338"/>
        <v>22</v>
      </c>
      <c r="KN346">
        <v>1</v>
      </c>
      <c r="KO346" s="16">
        <v>2</v>
      </c>
      <c r="KP346">
        <v>3</v>
      </c>
      <c r="KQ346">
        <v>4</v>
      </c>
      <c r="KS346" s="16"/>
      <c r="MA346" t="str">
        <f t="shared" si="292"/>
        <v>DI-</v>
      </c>
    </row>
    <row r="347" spans="1:357" x14ac:dyDescent="0.25">
      <c r="A347" s="83" t="s">
        <v>2086</v>
      </c>
      <c r="B347" s="83" t="s">
        <v>2078</v>
      </c>
      <c r="C347" t="s">
        <v>537</v>
      </c>
      <c r="P347" t="s">
        <v>542</v>
      </c>
      <c r="T347" s="14" t="s">
        <v>2114</v>
      </c>
      <c r="U347">
        <v>1</v>
      </c>
      <c r="V347" t="s">
        <v>2123</v>
      </c>
      <c r="X347" t="str">
        <f>IF(COUNTIF(X$340:X346,X346)&gt;7,REPLACE(X346,LEN(X346),1,VALUE(RIGHT(X346,1))+1),X346)</f>
        <v>A3.3</v>
      </c>
      <c r="Y347" s="61">
        <f t="array" ref="Y347">IF(COUNTIFS($X$340:$X347,$X347)=1,"1",VALUE(SUBSTITUTE(INDEX(Y:Y,_xlfn.XMATCH($X347,$X$1:$X346,0,-1)),"A",""))+INDEX(Z:Z,_xlfn.XMATCH($X347,$X$1:$X346,0,-1))+1)</f>
        <v>2</v>
      </c>
      <c r="Z347" s="61">
        <f t="array" ref="Z347">SUM(IF(ISNUMBER(FIND("TmAi",$BE$1:$AAQ$1)),IF(IFERROR(ISODD(SUBSTITUTE($BE347:$AAQ347,"A","")),FALSE),IF(ISODD(SUBSTITUTE($BE347:$AAQ347,"A","")),1,0),0)))</f>
        <v>0</v>
      </c>
      <c r="AA347" t="str">
        <f>CONCATENATE($Y347*2-1,"A")</f>
        <v>3A</v>
      </c>
      <c r="AB347" t="str">
        <f>CONCATENATE($Y347*2-1,"B")</f>
        <v>3B</v>
      </c>
      <c r="AP347" t="s">
        <v>2116</v>
      </c>
      <c r="AS347" t="s">
        <v>396</v>
      </c>
      <c r="JZ347" s="27" t="str">
        <f t="shared" si="335"/>
        <v>XT1</v>
      </c>
      <c r="KA347" t="str">
        <f>REPLACE(AA347,1,1,LEFT(AA347,1)+1)</f>
        <v>4A</v>
      </c>
      <c r="KB347" t="str">
        <f>REPLACE(AB347,1,1,LEFT(AB347,1)+1)</f>
        <v>4B</v>
      </c>
      <c r="KC347" t="str">
        <f t="shared" si="336"/>
        <v>E2-AI3-3A</v>
      </c>
      <c r="KD347" t="str">
        <f t="shared" si="337"/>
        <v>E2-AI3-3B</v>
      </c>
      <c r="KE347" t="str">
        <f>CONCATENATE($T347,"-AI",REPLACE($X347,1,3,""),"-",KA347)</f>
        <v>E2-AI3-4A</v>
      </c>
      <c r="KF347" t="str">
        <f>CONCATENATE($T347,"-AI",REPLACE($X347,1,3,""),"-",KB347)</f>
        <v>E2-AI3-4B</v>
      </c>
      <c r="KI347">
        <f t="array" ref="KI347">IF(COUNTIFS($U$2:$U347,$U347)=1,1,INDEX(KI:KI,_xlfn.XMATCH(U347,U$1:U346,0,-1))+COUNT(KI346:KM346))</f>
        <v>23</v>
      </c>
      <c r="KJ347">
        <f t="shared" si="338"/>
        <v>24</v>
      </c>
      <c r="KK347">
        <f t="shared" si="338"/>
        <v>25</v>
      </c>
      <c r="KL347">
        <f t="shared" si="338"/>
        <v>26</v>
      </c>
      <c r="KN347">
        <v>1</v>
      </c>
      <c r="KO347" s="16">
        <v>2</v>
      </c>
      <c r="KP347">
        <v>3</v>
      </c>
      <c r="KQ347">
        <v>4</v>
      </c>
      <c r="KS347" s="16"/>
      <c r="MA347" t="str">
        <f t="shared" si="292"/>
        <v>DI-</v>
      </c>
    </row>
    <row r="348" spans="1:357" x14ac:dyDescent="0.25">
      <c r="A348" s="83" t="s">
        <v>2127</v>
      </c>
      <c r="B348" s="83" t="s">
        <v>2130</v>
      </c>
      <c r="C348" t="s">
        <v>498</v>
      </c>
      <c r="P348" t="s">
        <v>482</v>
      </c>
      <c r="T348" s="14" t="s">
        <v>2114</v>
      </c>
      <c r="U348">
        <v>2</v>
      </c>
      <c r="V348" t="s">
        <v>2124</v>
      </c>
      <c r="X348" t="s">
        <v>2015</v>
      </c>
      <c r="Y348" s="62" t="str">
        <f t="array" ref="Y348">IF(COUNTIFS($X$340:$X348,$X348)=1,"1",VALUE(SUBSTITUTE(INDEX(Y:Y,_xlfn.XMATCH($X348,$X$1:$X347,0,-1)),"A",""))+INDEX(Z:Z,_xlfn.XMATCH($X348,$X$1:$X347,0,-1))+1)</f>
        <v>1</v>
      </c>
      <c r="Z348">
        <f t="array" ref="Z348">SUM(IF(ISNUMBER(FIND("TmAi",$BE$1:$AAQ$1)),IF(IFERROR(ISODD(SUBSTITUTE($BE348:$AAQ348,"A","")),FALSE),IF(ISODD(SUBSTITUTE($BE348:$AAQ348,"A","")),1,0),0)))</f>
        <v>0</v>
      </c>
      <c r="AA348" t="str">
        <f>CONCATENATE($Y348*2-1,"B")</f>
        <v>1B</v>
      </c>
      <c r="AB348" t="str">
        <f>CONCATENATE($Y348*2,"B")</f>
        <v>2B</v>
      </c>
      <c r="AP348" t="s">
        <v>2116</v>
      </c>
      <c r="AS348" t="s">
        <v>396</v>
      </c>
      <c r="JZ348" s="27" t="str">
        <f>CONCATENATE("XT",U348)</f>
        <v>XT2</v>
      </c>
      <c r="KC348" t="str">
        <f>CONCATENATE(T348,"-AI",REPLACE($X348,1,3,""),"-",AA348)</f>
        <v>E2-AI2-1B</v>
      </c>
      <c r="KD348" t="str">
        <f>CONCATENATE(T348,"-AI",REPLACE($X348,1,3,""),"-",AB348)</f>
        <v>E2-AI2-2B</v>
      </c>
      <c r="KI348">
        <f t="array" ref="KI348">IF(COUNTIFS($U$2:$U348,$U348)=1,1,INDEX(KI:KI,_xlfn.XMATCH(U348,U$1:U347,0,-1))+COUNT(KI347:KM347))</f>
        <v>4</v>
      </c>
      <c r="KJ348">
        <f t="shared" ref="KJ348:KK350" si="339">KI348+1</f>
        <v>5</v>
      </c>
      <c r="KK348">
        <f t="shared" si="339"/>
        <v>6</v>
      </c>
      <c r="KN348">
        <v>1</v>
      </c>
      <c r="KO348">
        <v>2</v>
      </c>
      <c r="KP348" s="27"/>
      <c r="KS348" s="16"/>
      <c r="MA348" t="str">
        <f t="shared" si="292"/>
        <v>DI-</v>
      </c>
    </row>
    <row r="349" spans="1:357" x14ac:dyDescent="0.25">
      <c r="A349" s="83" t="s">
        <v>2128</v>
      </c>
      <c r="B349" s="83" t="s">
        <v>2131</v>
      </c>
      <c r="C349" t="s">
        <v>498</v>
      </c>
      <c r="P349" t="s">
        <v>482</v>
      </c>
      <c r="T349" s="14" t="s">
        <v>2114</v>
      </c>
      <c r="U349">
        <v>2</v>
      </c>
      <c r="V349" t="s">
        <v>2125</v>
      </c>
      <c r="X349" t="str">
        <f>IF(COUNTIF(X$340:X348,X348)&gt;7,REPLACE(X348,LEN(X348),1,VALUE(RIGHT(X348,1))+1),X348)</f>
        <v>A3.2</v>
      </c>
      <c r="Y349" s="61">
        <f t="array" ref="Y349">IF(COUNTIFS($X$340:$X349,$X349)=1,"1",VALUE(SUBSTITUTE(INDEX(Y:Y,_xlfn.XMATCH($X349,$X$1:$X348,0,-1)),"A",""))+INDEX(Z:Z,_xlfn.XMATCH($X349,$X$1:$X348,0,-1))+1)</f>
        <v>2</v>
      </c>
      <c r="Z349">
        <f t="array" ref="Z349">SUM(IF(ISNUMBER(FIND("TmAi",$BE$1:$AAQ$1)),IF(IFERROR(ISODD(SUBSTITUTE($BE349:$AAQ349,"A","")),FALSE),IF(ISODD(SUBSTITUTE($BE349:$AAQ349,"A","")),1,0),0)))</f>
        <v>0</v>
      </c>
      <c r="AA349" t="str">
        <f>CONCATENATE($Y349*2-1,"B")</f>
        <v>3B</v>
      </c>
      <c r="AB349" t="str">
        <f>CONCATENATE($Y349*2,"B")</f>
        <v>4B</v>
      </c>
      <c r="AP349" t="s">
        <v>2116</v>
      </c>
      <c r="AS349" t="s">
        <v>396</v>
      </c>
      <c r="JZ349" s="27" t="str">
        <f>CONCATENATE("XT",U349)</f>
        <v>XT2</v>
      </c>
      <c r="KC349" t="str">
        <f>CONCATENATE(T349,"-AI",REPLACE($X349,1,3,""),"-",AA349)</f>
        <v>E2-AI2-3B</v>
      </c>
      <c r="KD349" t="str">
        <f>CONCATENATE(T349,"-AI",REPLACE($X349,1,3,""),"-",AB349)</f>
        <v>E2-AI2-4B</v>
      </c>
      <c r="KI349">
        <f t="array" ref="KI349">IF(COUNTIFS($U$2:$U349,$U349)=1,1,INDEX(KI:KI,_xlfn.XMATCH(U349,U$1:U348,0,-1))+COUNT(KI348:KM348))</f>
        <v>7</v>
      </c>
      <c r="KJ349">
        <f t="shared" si="339"/>
        <v>8</v>
      </c>
      <c r="KK349">
        <f t="shared" si="339"/>
        <v>9</v>
      </c>
      <c r="KN349">
        <v>1</v>
      </c>
      <c r="KO349">
        <v>2</v>
      </c>
      <c r="KP349" s="27"/>
      <c r="KS349" s="16"/>
      <c r="MA349" t="str">
        <f t="shared" si="292"/>
        <v>DI-</v>
      </c>
    </row>
    <row r="350" spans="1:357" x14ac:dyDescent="0.25">
      <c r="A350" s="83" t="s">
        <v>2129</v>
      </c>
      <c r="B350" s="83" t="s">
        <v>2132</v>
      </c>
      <c r="C350" t="s">
        <v>498</v>
      </c>
      <c r="P350" t="s">
        <v>482</v>
      </c>
      <c r="T350" s="14" t="s">
        <v>2114</v>
      </c>
      <c r="U350">
        <v>2</v>
      </c>
      <c r="V350" t="s">
        <v>2126</v>
      </c>
      <c r="X350" t="str">
        <f>IF(COUNTIF(X$340:X349,X349)&gt;7,REPLACE(X349,LEN(X349),1,VALUE(RIGHT(X349,1))+1),X349)</f>
        <v>A3.2</v>
      </c>
      <c r="Y350" s="61">
        <f t="array" ref="Y350">IF(COUNTIFS($X$340:$X350,$X350)=1,"1",VALUE(SUBSTITUTE(INDEX(Y:Y,_xlfn.XMATCH($X350,$X$1:$X349,0,-1)),"A",""))+INDEX(Z:Z,_xlfn.XMATCH($X350,$X$1:$X349,0,-1))+1)</f>
        <v>3</v>
      </c>
      <c r="Z350">
        <f t="array" ref="Z350">SUM(IF(ISNUMBER(FIND("TmAi",$BE$1:$AAQ$1)),IF(IFERROR(ISODD(SUBSTITUTE($BE350:$AAQ350,"A","")),FALSE),IF(ISODD(SUBSTITUTE($BE350:$AAQ350,"A","")),1,0),0)))</f>
        <v>0</v>
      </c>
      <c r="AA350" t="str">
        <f>CONCATENATE($Y350*2-1,"B")</f>
        <v>5B</v>
      </c>
      <c r="AB350" t="str">
        <f>CONCATENATE($Y350*2,"B")</f>
        <v>6B</v>
      </c>
      <c r="AP350" t="s">
        <v>2116</v>
      </c>
      <c r="AS350" t="s">
        <v>396</v>
      </c>
      <c r="JZ350" s="27" t="str">
        <f>CONCATENATE("XT",U350)</f>
        <v>XT2</v>
      </c>
      <c r="KC350" t="str">
        <f>CONCATENATE(T350,"-AI",REPLACE($X350,1,3,""),"-",AA350)</f>
        <v>E2-AI2-5B</v>
      </c>
      <c r="KD350" t="str">
        <f>CONCATENATE(T350,"-AI",REPLACE($X350,1,3,""),"-",AB350)</f>
        <v>E2-AI2-6B</v>
      </c>
      <c r="KI350">
        <f t="array" ref="KI350">IF(COUNTIFS($U$2:$U350,$U350)=1,1,INDEX(KI:KI,_xlfn.XMATCH(U350,U$1:U349,0,-1))+COUNT(KI349:KM349))</f>
        <v>10</v>
      </c>
      <c r="KJ350">
        <f t="shared" si="339"/>
        <v>11</v>
      </c>
      <c r="KK350">
        <f t="shared" si="339"/>
        <v>12</v>
      </c>
      <c r="KN350">
        <v>1</v>
      </c>
      <c r="KO350">
        <v>2</v>
      </c>
      <c r="KP350" s="27"/>
      <c r="KS350" s="16"/>
      <c r="MA350" t="str">
        <f t="shared" si="292"/>
        <v>DI-</v>
      </c>
    </row>
    <row r="351" spans="1:357" x14ac:dyDescent="0.25">
      <c r="A351" s="83" t="s">
        <v>2108</v>
      </c>
      <c r="B351" s="83" t="s">
        <v>2089</v>
      </c>
      <c r="P351" t="s">
        <v>2727</v>
      </c>
      <c r="T351" s="27" t="s">
        <v>2114</v>
      </c>
      <c r="U351">
        <v>3</v>
      </c>
      <c r="V351" t="s">
        <v>2133</v>
      </c>
      <c r="Y351" s="61"/>
      <c r="AC351" t="s">
        <v>131</v>
      </c>
      <c r="AD351" s="46" t="str">
        <f t="array" ref="AD351">IF(COUNTIFS(AC$340:AC351,AC351)=1,"1",VALUE(SUBSTITUTE(INDEX(AD:AD,_xlfn.XMATCH(AC351,AC$1:AC356,0,-1)),"A",""))+INDEX(AE:AE,_xlfn.XMATCH(AC351,AC$1:AC356,0,-1))+1)</f>
        <v>1</v>
      </c>
      <c r="AE351" s="46">
        <f t="array" ref="AE351">SUM(IF(ISNUMBER(FIND("TmDi",$BE$1:$AAQ$1)),IF(IFERROR(ISNUMBER(VALUE(SUBSTITUTE($BE351:$AAQ351,"B",""))),FALSE),IF(ISNUMBER(VALUE(SUBSTITUTE($BE351:$AAQ351,"B",""))),1,0),0)))</f>
        <v>3</v>
      </c>
      <c r="AF351" t="str">
        <f t="shared" ref="AF351:AF357" si="340">CONCATENATE("C",$AD351)</f>
        <v>C1</v>
      </c>
      <c r="AG351" t="str">
        <f t="shared" ref="AG351:AG357" si="341">CONCATENATE("B",$AD351)</f>
        <v>B1</v>
      </c>
      <c r="AH351" t="s">
        <v>132</v>
      </c>
      <c r="AI351" s="69" t="str">
        <f t="array" ref="AI351">IF(COUNTIFS(AH$340:AH351,AH351)=1,"1",VALUE(SUBSTITUTE(INDEX(AI:AI,_xlfn.XMATCH(AH351,AH$1:AH356,0,-1)),"A",""))+INDEX(AJ:AJ,_xlfn.XMATCH(AH351,AH$1:AH356,0,-1))+1)</f>
        <v>1</v>
      </c>
      <c r="AJ351" s="69">
        <f t="array" ref="AJ351">SUM(IF(ISNUMBER(FIND("TmDo",$BE$1:$AAQ$1)),IF(IFERROR(ISNUMBER(VALUE(SUBSTITUTE($BE351:$AAQ351,"B",""))),FALSE),IF(ISNUMBER(VALUE(SUBSTITUTE($BE351:$AAQ351,"B",""))),1,0),0)))</f>
        <v>2</v>
      </c>
      <c r="AK351" t="str">
        <f t="shared" ref="AK351:AK364" si="342">CONCATENATE($AI351,"A")</f>
        <v>1A</v>
      </c>
      <c r="AL351" t="str">
        <f t="shared" ref="AL351:AL364" si="343">CONCATENATE($AI351,"B")</f>
        <v>1B</v>
      </c>
      <c r="AM351" t="s">
        <v>141</v>
      </c>
      <c r="AP351" t="s">
        <v>2116</v>
      </c>
      <c r="AQ351" t="s">
        <v>2134</v>
      </c>
      <c r="AT351" t="s">
        <v>139</v>
      </c>
      <c r="AU351" t="s">
        <v>140</v>
      </c>
      <c r="BE351" s="27" t="str">
        <f>CONCATENATE("XT",U351)</f>
        <v>XT3</v>
      </c>
      <c r="BF351" t="str">
        <f>CONCATENATE("C",REPLACE(AF351,1,1,"")+1)</f>
        <v>C2</v>
      </c>
      <c r="BG351" t="str">
        <f>CONCATENATE("B",REPLACE(AG351,1,1,"")+1)</f>
        <v>B2</v>
      </c>
      <c r="BH351" t="str">
        <f>CONCATENATE("C",REPLACE(BF351,1,1,"")+1)</f>
        <v>C3</v>
      </c>
      <c r="BI351" t="str">
        <f>CONCATENATE("B",REPLACE(BG351,1,1,"")+1)</f>
        <v>B3</v>
      </c>
      <c r="BJ351" t="str">
        <f>CONCATENATE("C",REPLACE(BH351,1,1,"")+1)</f>
        <v>C4</v>
      </c>
      <c r="BK351" t="str">
        <f>CONCATENATE("B",REPLACE(BI351,1,1,"")+1)</f>
        <v>B4</v>
      </c>
      <c r="BP351" t="str">
        <f>CONCATENATE(REPLACE(AK351,LEN(AK351),1,"")+1,"A")</f>
        <v>2A</v>
      </c>
      <c r="BQ351" t="str">
        <f>CONCATENATE(REPLACE(AL351,LEN(AL351),1,"")+1,"B")</f>
        <v>2B</v>
      </c>
      <c r="BR351" t="str">
        <f>CONCATENATE(REPLACE(BP351,LEN(BP351),1,"")+1,"A")</f>
        <v>3A</v>
      </c>
      <c r="BS351" t="str">
        <f>CONCATENATE(REPLACE(BQ351,LEN(BQ351),1,"")+1,"B")</f>
        <v>3B</v>
      </c>
      <c r="BT351" t="str">
        <f t="shared" ref="BT351:BU354" si="344">CONCATENATE("DI",REPLACE($AC351,1,3,""),"-",AF351)</f>
        <v>DI1-C1</v>
      </c>
      <c r="BU351" t="str">
        <f t="shared" si="344"/>
        <v>DI1-B1</v>
      </c>
      <c r="BV351" t="str">
        <f t="shared" ref="BV351:CE354" si="345">CONCATENATE("DI",REPLACE($AC351,1,3,""),"-",BF351)</f>
        <v>DI1-C2</v>
      </c>
      <c r="BW351" t="str">
        <f t="shared" si="345"/>
        <v>DI1-B2</v>
      </c>
      <c r="BX351" t="str">
        <f t="shared" si="345"/>
        <v>DI1-C3</v>
      </c>
      <c r="BY351" t="str">
        <f t="shared" si="345"/>
        <v>DI1-B3</v>
      </c>
      <c r="BZ351" t="str">
        <f t="shared" si="345"/>
        <v>DI1-C4</v>
      </c>
      <c r="CA351" t="str">
        <f t="shared" si="345"/>
        <v>DI1-B4</v>
      </c>
      <c r="CB351" t="str">
        <f t="shared" si="345"/>
        <v>DI1-</v>
      </c>
      <c r="CC351" t="str">
        <f t="shared" si="345"/>
        <v>DI1-</v>
      </c>
      <c r="CD351" t="str">
        <f t="shared" si="345"/>
        <v>DI1-</v>
      </c>
      <c r="CE351" t="str">
        <f t="shared" si="345"/>
        <v>DI1-</v>
      </c>
      <c r="CF351" t="str">
        <f t="shared" ref="CF351:CG354" si="346">CONCATENATE("DO",REPLACE($AH351,1,3,""),"-",AK351)</f>
        <v>DO1-1A</v>
      </c>
      <c r="CG351" t="str">
        <f t="shared" si="346"/>
        <v>DO1-1B</v>
      </c>
      <c r="CH351" t="str">
        <f t="shared" ref="CH351:CK354" si="347">CONCATENATE("DO",REPLACE($AH351,1,3,""),"-",BP351)</f>
        <v>DO1-2A</v>
      </c>
      <c r="CI351" t="str">
        <f t="shared" si="347"/>
        <v>DO1-2B</v>
      </c>
      <c r="CJ351" t="str">
        <f t="shared" si="347"/>
        <v>DO1-3A</v>
      </c>
      <c r="CK351" t="str">
        <f t="shared" si="347"/>
        <v>DO1-3B</v>
      </c>
      <c r="CL351" t="str">
        <f>CONCATENATE("K",$U351,"-10")</f>
        <v>K3-10</v>
      </c>
      <c r="CM351" t="str">
        <f>CONCATENATE("K",$U351,"-03")</f>
        <v>K3-03</v>
      </c>
      <c r="CN351" t="str">
        <f>CONCATENATE("K",$U351,"-04")</f>
        <v>K3-04</v>
      </c>
      <c r="CO351" t="str">
        <f>CONCATENATE("K",$U351,"-01")</f>
        <v>K3-01</v>
      </c>
      <c r="CP351" t="str">
        <f>CONCATENATE("K",$U351,"-08")</f>
        <v>K3-08</v>
      </c>
      <c r="CQ351" t="str">
        <f>CONCATENATE("K",$U351,"-02")</f>
        <v>K3-02</v>
      </c>
      <c r="CR351" t="str">
        <f>CONCATENATE("K",$U351,"-09")</f>
        <v>K3-09</v>
      </c>
      <c r="CS351" t="str">
        <f>CONCATENATE("K",$U351,"-05")</f>
        <v>K3-05</v>
      </c>
      <c r="CT351" t="str">
        <f>CONCATENATE("K",$U351,"-11")</f>
        <v>K3-11</v>
      </c>
      <c r="CU351" t="str">
        <f>CONCATENATE($T351,"-M",$U351,"-A9")</f>
        <v>E2-M3-A9</v>
      </c>
      <c r="CV351" t="str">
        <f>CONCATENATE($T351,"-M",$U351,"-A7")</f>
        <v>E2-M3-A7</v>
      </c>
      <c r="CW351" t="str">
        <f>CONCATENATE($T351,"-M",$U351,"-A8")</f>
        <v>E2-M3-A8</v>
      </c>
      <c r="CX351" t="str">
        <f>CONCATENATE($T351,"-M",$U351,"-A6")</f>
        <v>E2-M3-A6</v>
      </c>
      <c r="CY351" t="str">
        <f>CONCATENATE($T351,"-M",$U351,"-A30")</f>
        <v>E2-M3-A30</v>
      </c>
      <c r="CZ351" t="str">
        <f>CONCATENATE($T351,"-M",$U351,"-N")</f>
        <v>E2-M3-N</v>
      </c>
      <c r="DA351" t="str">
        <f>CONCATENATE($T351,"-A220-M",U351)</f>
        <v>E2-A220-M3</v>
      </c>
      <c r="DB351" t="str">
        <f>CONCATENATE($T351,"-M",$U351,"-XM01")</f>
        <v>E2-M3-XM01</v>
      </c>
      <c r="DC351" t="str">
        <f>CONCATENATE($T351,"-M",$U351,"-A1")</f>
        <v>E2-M3-A1</v>
      </c>
      <c r="DD351" t="str">
        <f>CONCATENATE($T351,"-M",$U351,"-A5")</f>
        <v>E2-M3-A5</v>
      </c>
      <c r="DE351" t="str">
        <f>CONCATENATE($T351,"-M",$U351,"-A11")</f>
        <v>E2-M3-A11</v>
      </c>
      <c r="DF351" t="str">
        <f>CONCATENATE($T351,"-M",$U351,"-A12")</f>
        <v>E2-M3-A12</v>
      </c>
      <c r="DG351" t="str">
        <f>CONCATENATE($T351,"-M",$U351,"-A19")</f>
        <v>E2-M3-A19</v>
      </c>
      <c r="DH351" t="str">
        <f>CONCATENATE($T351,"-M",$U351,"-A20")</f>
        <v>E2-M3-A20</v>
      </c>
      <c r="DI351" t="s">
        <v>142</v>
      </c>
      <c r="DJ351" t="s">
        <v>143</v>
      </c>
      <c r="DK351">
        <v>11</v>
      </c>
      <c r="DL351">
        <v>14</v>
      </c>
      <c r="DM351">
        <v>12</v>
      </c>
      <c r="DN351" t="s">
        <v>144</v>
      </c>
      <c r="DO351" t="s">
        <v>145</v>
      </c>
      <c r="DP351">
        <v>1</v>
      </c>
      <c r="DQ351">
        <v>2</v>
      </c>
      <c r="DR351">
        <v>3</v>
      </c>
      <c r="DS351">
        <v>4</v>
      </c>
      <c r="DT351">
        <v>5</v>
      </c>
      <c r="DU351">
        <v>6</v>
      </c>
      <c r="DV351">
        <v>7</v>
      </c>
      <c r="DW351">
        <v>8</v>
      </c>
      <c r="DX351">
        <v>9</v>
      </c>
      <c r="DY351">
        <v>10</v>
      </c>
      <c r="DZ351">
        <v>11</v>
      </c>
      <c r="EA351">
        <v>12</v>
      </c>
      <c r="EB351">
        <v>13</v>
      </c>
      <c r="EC351">
        <v>14</v>
      </c>
      <c r="ED351">
        <v>1</v>
      </c>
      <c r="EE351">
        <v>3</v>
      </c>
      <c r="EF351">
        <v>4</v>
      </c>
      <c r="EG351">
        <v>7</v>
      </c>
      <c r="EH351">
        <v>8</v>
      </c>
      <c r="EI351">
        <v>9</v>
      </c>
      <c r="EJ351">
        <v>10</v>
      </c>
      <c r="EK351">
        <v>13</v>
      </c>
      <c r="EL351">
        <v>15</v>
      </c>
      <c r="EM351">
        <v>16</v>
      </c>
      <c r="EN351">
        <v>16</v>
      </c>
      <c r="EO351">
        <v>22</v>
      </c>
      <c r="EP351">
        <v>23</v>
      </c>
      <c r="EQ351" s="16">
        <v>24</v>
      </c>
      <c r="MA351" t="str">
        <f t="shared" ref="MA351:MA413" si="348">CONCATENATE("DI",REPLACE($AC351,1,3,""),"-",$AG351)</f>
        <v>DI1-B1</v>
      </c>
    </row>
    <row r="352" spans="1:357" x14ac:dyDescent="0.25">
      <c r="A352" s="83" t="s">
        <v>2107</v>
      </c>
      <c r="B352" s="83" t="s">
        <v>2090</v>
      </c>
      <c r="P352" t="s">
        <v>2727</v>
      </c>
      <c r="T352" s="27" t="s">
        <v>2114</v>
      </c>
      <c r="U352">
        <v>4</v>
      </c>
      <c r="V352" t="s">
        <v>2135</v>
      </c>
      <c r="Y352" s="61"/>
      <c r="AC352" t="str">
        <f>IF(AD351+AE351&gt;31,REPLACE(AC351,LEN(AC351),1,VALUE(RIGHT(AC351,1))+1),AC351)</f>
        <v>A5.1</v>
      </c>
      <c r="AD352" s="46">
        <f t="array" ref="AD352">IF(COUNTIFS(AC$340:AC352,AC352)=1,"1",VALUE(SUBSTITUTE(INDEX(AD:AD,_xlfn.XMATCH(AC352,AC$1:AC351,0,-1)),"A",""))+INDEX(AE:AE,_xlfn.XMATCH(AC352,AC$1:AC351,0,-1))+1)</f>
        <v>5</v>
      </c>
      <c r="AE352" s="46">
        <f t="array" ref="AE352">SUM(IF(ISNUMBER(FIND("TmDi",$BE$1:$AAQ$1)),IF(IFERROR(ISNUMBER(VALUE(SUBSTITUTE($BE352:$AAQ352,"B",""))),FALSE),IF(ISNUMBER(VALUE(SUBSTITUTE($BE352:$AAQ352,"B",""))),1,0),0)))</f>
        <v>3</v>
      </c>
      <c r="AF352" t="str">
        <f t="shared" si="340"/>
        <v>C5</v>
      </c>
      <c r="AG352" t="str">
        <f t="shared" si="341"/>
        <v>B5</v>
      </c>
      <c r="AH352" t="str">
        <f t="shared" ref="AH352:AH360" si="349">IF(AI351+AJ351&gt;31,REPLACE(AH351,LEN(AH351),1,VALUE(RIGHT(AH351,1))+1),AH351)</f>
        <v>A6.1</v>
      </c>
      <c r="AI352" s="69">
        <f t="array" ref="AI352">IF(COUNTIFS(AH$340:AH352,AH352)=1,"1",VALUE(SUBSTITUTE(INDEX(AI:AI,_xlfn.XMATCH(AH352,AH$1:AH351,0,-1)),"A",""))+INDEX(AJ:AJ,_xlfn.XMATCH(AH352,AH$1:AH351,0,-1))+1)</f>
        <v>4</v>
      </c>
      <c r="AJ352" s="69">
        <f t="array" ref="AJ352">SUM(IF(ISNUMBER(FIND("TmDo",$BE$1:$AAQ$1)),IF(IFERROR(ISNUMBER(VALUE(SUBSTITUTE($BE352:$AAQ352,"B",""))),FALSE),IF(ISNUMBER(VALUE(SUBSTITUTE($BE352:$AAQ352,"B",""))),1,0),0)))</f>
        <v>2</v>
      </c>
      <c r="AK352" t="str">
        <f t="shared" si="342"/>
        <v>4A</v>
      </c>
      <c r="AL352" t="str">
        <f t="shared" si="343"/>
        <v>4B</v>
      </c>
      <c r="AM352" t="s">
        <v>150</v>
      </c>
      <c r="AP352" t="s">
        <v>2116</v>
      </c>
      <c r="AQ352" t="s">
        <v>2134</v>
      </c>
      <c r="AT352" t="s">
        <v>139</v>
      </c>
      <c r="AU352" t="s">
        <v>140</v>
      </c>
      <c r="BE352" s="27" t="str">
        <f>CONCATENATE("XT",U352)</f>
        <v>XT4</v>
      </c>
      <c r="BF352" t="str">
        <f>CONCATENATE("C",REPLACE(AF352,1,1,"")+1)</f>
        <v>C6</v>
      </c>
      <c r="BG352" t="str">
        <f>CONCATENATE("B",REPLACE(AG352,1,1,"")+1)</f>
        <v>B6</v>
      </c>
      <c r="BH352" t="str">
        <f>CONCATENATE("C",REPLACE(BF352,1,1,"")+1)</f>
        <v>C7</v>
      </c>
      <c r="BI352" t="str">
        <f>CONCATENATE("B",REPLACE(BG352,1,1,"")+1)</f>
        <v>B7</v>
      </c>
      <c r="BJ352" t="str">
        <f>CONCATENATE("C",REPLACE(BH352,1,1,"")+1)</f>
        <v>C8</v>
      </c>
      <c r="BK352" t="str">
        <f>CONCATENATE("B",REPLACE(BI352,1,1,"")+1)</f>
        <v>B8</v>
      </c>
      <c r="BP352" t="str">
        <f>CONCATENATE(REPLACE(AK352,LEN(AK352),1,"")+1,"A")</f>
        <v>5A</v>
      </c>
      <c r="BQ352" t="str">
        <f>CONCATENATE(REPLACE(AL352,LEN(AL352),1,"")+1,"B")</f>
        <v>5B</v>
      </c>
      <c r="BR352" t="str">
        <f>CONCATENATE(REPLACE(BP352,LEN(BP352),1,"")+1,"A")</f>
        <v>6A</v>
      </c>
      <c r="BS352" t="str">
        <f>CONCATENATE(REPLACE(BQ352,LEN(BQ352),1,"")+1,"B")</f>
        <v>6B</v>
      </c>
      <c r="BT352" t="str">
        <f t="shared" si="344"/>
        <v>DI1-C5</v>
      </c>
      <c r="BU352" t="str">
        <f t="shared" si="344"/>
        <v>DI1-B5</v>
      </c>
      <c r="BV352" t="str">
        <f t="shared" si="345"/>
        <v>DI1-C6</v>
      </c>
      <c r="BW352" t="str">
        <f t="shared" si="345"/>
        <v>DI1-B6</v>
      </c>
      <c r="BX352" t="str">
        <f t="shared" si="345"/>
        <v>DI1-C7</v>
      </c>
      <c r="BY352" t="str">
        <f t="shared" si="345"/>
        <v>DI1-B7</v>
      </c>
      <c r="BZ352" t="str">
        <f t="shared" si="345"/>
        <v>DI1-C8</v>
      </c>
      <c r="CA352" t="str">
        <f t="shared" si="345"/>
        <v>DI1-B8</v>
      </c>
      <c r="CB352" t="str">
        <f t="shared" si="345"/>
        <v>DI1-</v>
      </c>
      <c r="CC352" t="str">
        <f t="shared" si="345"/>
        <v>DI1-</v>
      </c>
      <c r="CD352" t="str">
        <f t="shared" si="345"/>
        <v>DI1-</v>
      </c>
      <c r="CE352" t="str">
        <f t="shared" si="345"/>
        <v>DI1-</v>
      </c>
      <c r="CF352" t="str">
        <f t="shared" si="346"/>
        <v>DO1-4A</v>
      </c>
      <c r="CG352" t="str">
        <f t="shared" si="346"/>
        <v>DO1-4B</v>
      </c>
      <c r="CH352" t="str">
        <f t="shared" si="347"/>
        <v>DO1-5A</v>
      </c>
      <c r="CI352" t="str">
        <f t="shared" si="347"/>
        <v>DO1-5B</v>
      </c>
      <c r="CJ352" t="str">
        <f t="shared" si="347"/>
        <v>DO1-6A</v>
      </c>
      <c r="CK352" t="str">
        <f t="shared" si="347"/>
        <v>DO1-6B</v>
      </c>
      <c r="CL352" t="str">
        <f>CONCATENATE("K",$U352,"-10")</f>
        <v>K4-10</v>
      </c>
      <c r="CM352" t="str">
        <f>CONCATENATE("K",$U352,"-03")</f>
        <v>K4-03</v>
      </c>
      <c r="CN352" t="str">
        <f>CONCATENATE("K",$U352,"-04")</f>
        <v>K4-04</v>
      </c>
      <c r="CO352" t="str">
        <f>CONCATENATE("K",$U352,"-01")</f>
        <v>K4-01</v>
      </c>
      <c r="CP352" t="str">
        <f>CONCATENATE("K",$U352,"-08")</f>
        <v>K4-08</v>
      </c>
      <c r="CQ352" t="str">
        <f>CONCATENATE("K",$U352,"-02")</f>
        <v>K4-02</v>
      </c>
      <c r="CR352" t="str">
        <f>CONCATENATE("K",$U352,"-09")</f>
        <v>K4-09</v>
      </c>
      <c r="CS352" t="str">
        <f>CONCATENATE("K",$U352,"-05")</f>
        <v>K4-05</v>
      </c>
      <c r="CT352" t="str">
        <f>CONCATENATE("K",$U352,"-11")</f>
        <v>K4-11</v>
      </c>
      <c r="CU352" t="str">
        <f>CONCATENATE($T352,"-M",$U352,"-A9")</f>
        <v>E2-M4-A9</v>
      </c>
      <c r="CV352" t="str">
        <f>CONCATENATE($T352,"-M",$U352,"-A7")</f>
        <v>E2-M4-A7</v>
      </c>
      <c r="CW352" t="str">
        <f>CONCATENATE($T352,"-M",$U352,"-A8")</f>
        <v>E2-M4-A8</v>
      </c>
      <c r="CX352" t="str">
        <f>CONCATENATE($T352,"-M",$U352,"-A6")</f>
        <v>E2-M4-A6</v>
      </c>
      <c r="CY352" t="str">
        <f>CONCATENATE($T352,"-M",$U352,"-A30")</f>
        <v>E2-M4-A30</v>
      </c>
      <c r="CZ352" t="str">
        <f>CONCATENATE($T352,"-M",$U352,"-N")</f>
        <v>E2-M4-N</v>
      </c>
      <c r="DA352" t="str">
        <f>CONCATENATE($T352,"-A220-M",U352)</f>
        <v>E2-A220-M4</v>
      </c>
      <c r="DB352" t="str">
        <f>CONCATENATE($T352,"-M",$U352,"-XM01")</f>
        <v>E2-M4-XM01</v>
      </c>
      <c r="DC352" t="str">
        <f>CONCATENATE($T352,"-M",$U352,"-A1")</f>
        <v>E2-M4-A1</v>
      </c>
      <c r="DD352" t="str">
        <f>CONCATENATE($T352,"-M",$U352,"-A5")</f>
        <v>E2-M4-A5</v>
      </c>
      <c r="DE352" t="str">
        <f>CONCATENATE($T352,"-M",$U352,"-A11")</f>
        <v>E2-M4-A11</v>
      </c>
      <c r="DF352" t="str">
        <f>CONCATENATE($T352,"-M",$U352,"-A12")</f>
        <v>E2-M4-A12</v>
      </c>
      <c r="DG352" t="str">
        <f>CONCATENATE($T352,"-M",$U352,"-A19")</f>
        <v>E2-M4-A19</v>
      </c>
      <c r="DH352" t="str">
        <f>CONCATENATE($T352,"-M",$U352,"-A20")</f>
        <v>E2-M4-A20</v>
      </c>
      <c r="DI352" t="s">
        <v>142</v>
      </c>
      <c r="DJ352" t="s">
        <v>143</v>
      </c>
      <c r="DK352">
        <v>11</v>
      </c>
      <c r="DL352">
        <v>14</v>
      </c>
      <c r="DM352">
        <v>12</v>
      </c>
      <c r="DN352" t="s">
        <v>144</v>
      </c>
      <c r="DO352" t="s">
        <v>145</v>
      </c>
      <c r="DP352">
        <v>1</v>
      </c>
      <c r="DQ352">
        <v>2</v>
      </c>
      <c r="DR352">
        <v>3</v>
      </c>
      <c r="DS352">
        <v>4</v>
      </c>
      <c r="DT352">
        <v>5</v>
      </c>
      <c r="DU352">
        <v>6</v>
      </c>
      <c r="DV352">
        <v>7</v>
      </c>
      <c r="DW352">
        <v>8</v>
      </c>
      <c r="DX352">
        <v>9</v>
      </c>
      <c r="DY352">
        <v>10</v>
      </c>
      <c r="DZ352">
        <v>11</v>
      </c>
      <c r="EA352">
        <v>12</v>
      </c>
      <c r="EB352">
        <v>13</v>
      </c>
      <c r="EC352">
        <v>14</v>
      </c>
      <c r="ED352">
        <v>1</v>
      </c>
      <c r="EE352">
        <v>3</v>
      </c>
      <c r="EF352">
        <v>4</v>
      </c>
      <c r="EG352">
        <v>7</v>
      </c>
      <c r="EH352">
        <v>8</v>
      </c>
      <c r="EI352">
        <v>9</v>
      </c>
      <c r="EJ352">
        <v>10</v>
      </c>
      <c r="EK352">
        <v>13</v>
      </c>
      <c r="EL352">
        <v>15</v>
      </c>
      <c r="EM352">
        <v>16</v>
      </c>
      <c r="EN352">
        <v>16</v>
      </c>
      <c r="EO352">
        <v>22</v>
      </c>
      <c r="EP352">
        <v>23</v>
      </c>
      <c r="EQ352" s="16">
        <v>24</v>
      </c>
      <c r="MA352" t="str">
        <f t="shared" si="348"/>
        <v>DI1-B5</v>
      </c>
    </row>
    <row r="353" spans="1:615" x14ac:dyDescent="0.25">
      <c r="A353" s="83" t="s">
        <v>2106</v>
      </c>
      <c r="B353" s="83" t="s">
        <v>2091</v>
      </c>
      <c r="P353" t="s">
        <v>2727</v>
      </c>
      <c r="T353" s="27" t="s">
        <v>2114</v>
      </c>
      <c r="U353">
        <v>5</v>
      </c>
      <c r="V353" t="s">
        <v>2136</v>
      </c>
      <c r="Y353" s="61"/>
      <c r="AC353" t="str">
        <f>IF(AD352+AE352&gt;31,REPLACE(AC352,LEN(AC352),1,VALUE(RIGHT(AC352,1))+1),AC352)</f>
        <v>A5.1</v>
      </c>
      <c r="AD353" s="46">
        <f t="array" ref="AD353">IF(COUNTIFS(AC$340:AC353,AC353)=1,"1",VALUE(SUBSTITUTE(INDEX(AD:AD,_xlfn.XMATCH(AC353,AC$1:AC352,0,-1)),"A",""))+INDEX(AE:AE,_xlfn.XMATCH(AC353,AC$1:AC352,0,-1))+1)</f>
        <v>9</v>
      </c>
      <c r="AE353" s="46">
        <f t="array" ref="AE353">SUM(IF(ISNUMBER(FIND("TmDi",$BE$1:$AAQ$1)),IF(IFERROR(ISNUMBER(VALUE(SUBSTITUTE($BE353:$AAQ353,"B",""))),FALSE),IF(ISNUMBER(VALUE(SUBSTITUTE($BE353:$AAQ353,"B",""))),1,0),0)))</f>
        <v>3</v>
      </c>
      <c r="AF353" t="str">
        <f t="shared" si="340"/>
        <v>C9</v>
      </c>
      <c r="AG353" t="str">
        <f t="shared" si="341"/>
        <v>B9</v>
      </c>
      <c r="AH353" t="str">
        <f t="shared" si="349"/>
        <v>A6.1</v>
      </c>
      <c r="AI353" s="69">
        <f t="array" ref="AI353">IF(COUNTIFS(AH$340:AH353,AH353)=1,"1",VALUE(SUBSTITUTE(INDEX(AI:AI,_xlfn.XMATCH(AH353,AH$1:AH352,0,-1)),"A",""))+INDEX(AJ:AJ,_xlfn.XMATCH(AH353,AH$1:AH352,0,-1))+1)</f>
        <v>7</v>
      </c>
      <c r="AJ353" s="69">
        <f t="array" ref="AJ353">SUM(IF(ISNUMBER(FIND("TmDo",$BE$1:$AAQ$1)),IF(IFERROR(ISNUMBER(VALUE(SUBSTITUTE($BE353:$AAQ353,"B",""))),FALSE),IF(ISNUMBER(VALUE(SUBSTITUTE($BE353:$AAQ353,"B",""))),1,0),0)))</f>
        <v>2</v>
      </c>
      <c r="AK353" t="str">
        <f t="shared" si="342"/>
        <v>7A</v>
      </c>
      <c r="AL353" t="str">
        <f t="shared" si="343"/>
        <v>7B</v>
      </c>
      <c r="AM353" t="s">
        <v>155</v>
      </c>
      <c r="AP353" t="s">
        <v>2116</v>
      </c>
      <c r="AQ353" t="s">
        <v>2134</v>
      </c>
      <c r="AT353" t="s">
        <v>139</v>
      </c>
      <c r="AU353" t="s">
        <v>140</v>
      </c>
      <c r="BE353" s="27" t="str">
        <f>CONCATENATE("XT",U353)</f>
        <v>XT5</v>
      </c>
      <c r="BF353" t="str">
        <f>CONCATENATE("C",REPLACE(AF353,1,1,"")+1)</f>
        <v>C10</v>
      </c>
      <c r="BG353" t="str">
        <f>CONCATENATE("B",REPLACE(AG353,1,1,"")+1)</f>
        <v>B10</v>
      </c>
      <c r="BH353" t="str">
        <f>CONCATENATE("C",REPLACE(BF353,1,1,"")+1)</f>
        <v>C11</v>
      </c>
      <c r="BI353" t="str">
        <f>CONCATENATE("B",REPLACE(BG353,1,1,"")+1)</f>
        <v>B11</v>
      </c>
      <c r="BJ353" t="str">
        <f>CONCATENATE("C",REPLACE(BH353,1,1,"")+1)</f>
        <v>C12</v>
      </c>
      <c r="BK353" t="str">
        <f>CONCATENATE("B",REPLACE(BI353,1,1,"")+1)</f>
        <v>B12</v>
      </c>
      <c r="BP353" t="str">
        <f>CONCATENATE(REPLACE(AK353,LEN(AK353),1,"")+1,"A")</f>
        <v>8A</v>
      </c>
      <c r="BQ353" t="str">
        <f>CONCATENATE(REPLACE(AL353,LEN(AL353),1,"")+1,"B")</f>
        <v>8B</v>
      </c>
      <c r="BR353" t="str">
        <f>CONCATENATE(REPLACE(BP353,LEN(BP353),1,"")+1,"A")</f>
        <v>9A</v>
      </c>
      <c r="BS353" t="str">
        <f>CONCATENATE(REPLACE(BQ353,LEN(BQ353),1,"")+1,"B")</f>
        <v>9B</v>
      </c>
      <c r="BT353" t="str">
        <f t="shared" si="344"/>
        <v>DI1-C9</v>
      </c>
      <c r="BU353" t="str">
        <f t="shared" si="344"/>
        <v>DI1-B9</v>
      </c>
      <c r="BV353" t="str">
        <f t="shared" si="345"/>
        <v>DI1-C10</v>
      </c>
      <c r="BW353" t="str">
        <f t="shared" si="345"/>
        <v>DI1-B10</v>
      </c>
      <c r="BX353" t="str">
        <f t="shared" si="345"/>
        <v>DI1-C11</v>
      </c>
      <c r="BY353" t="str">
        <f t="shared" si="345"/>
        <v>DI1-B11</v>
      </c>
      <c r="BZ353" t="str">
        <f t="shared" si="345"/>
        <v>DI1-C12</v>
      </c>
      <c r="CA353" t="str">
        <f t="shared" si="345"/>
        <v>DI1-B12</v>
      </c>
      <c r="CB353" t="str">
        <f t="shared" si="345"/>
        <v>DI1-</v>
      </c>
      <c r="CC353" t="str">
        <f t="shared" si="345"/>
        <v>DI1-</v>
      </c>
      <c r="CD353" t="str">
        <f t="shared" si="345"/>
        <v>DI1-</v>
      </c>
      <c r="CE353" t="str">
        <f t="shared" si="345"/>
        <v>DI1-</v>
      </c>
      <c r="CF353" t="str">
        <f t="shared" si="346"/>
        <v>DO1-7A</v>
      </c>
      <c r="CG353" t="str">
        <f t="shared" si="346"/>
        <v>DO1-7B</v>
      </c>
      <c r="CH353" t="str">
        <f t="shared" si="347"/>
        <v>DO1-8A</v>
      </c>
      <c r="CI353" t="str">
        <f t="shared" si="347"/>
        <v>DO1-8B</v>
      </c>
      <c r="CJ353" t="str">
        <f t="shared" si="347"/>
        <v>DO1-9A</v>
      </c>
      <c r="CK353" t="str">
        <f t="shared" si="347"/>
        <v>DO1-9B</v>
      </c>
      <c r="CL353" t="str">
        <f>CONCATENATE("K",$U353,"-10")</f>
        <v>K5-10</v>
      </c>
      <c r="CM353" t="str">
        <f>CONCATENATE("K",$U353,"-03")</f>
        <v>K5-03</v>
      </c>
      <c r="CN353" t="str">
        <f>CONCATENATE("K",$U353,"-04")</f>
        <v>K5-04</v>
      </c>
      <c r="CO353" t="str">
        <f>CONCATENATE("K",$U353,"-01")</f>
        <v>K5-01</v>
      </c>
      <c r="CP353" t="str">
        <f>CONCATENATE("K",$U353,"-08")</f>
        <v>K5-08</v>
      </c>
      <c r="CQ353" t="str">
        <f>CONCATENATE("K",$U353,"-02")</f>
        <v>K5-02</v>
      </c>
      <c r="CR353" t="str">
        <f>CONCATENATE("K",$U353,"-09")</f>
        <v>K5-09</v>
      </c>
      <c r="CS353" t="str">
        <f>CONCATENATE("K",$U353,"-05")</f>
        <v>K5-05</v>
      </c>
      <c r="CT353" t="str">
        <f>CONCATENATE("K",$U353,"-11")</f>
        <v>K5-11</v>
      </c>
      <c r="CU353" t="str">
        <f>CONCATENATE($T353,"-M",$U353,"-A9")</f>
        <v>E2-M5-A9</v>
      </c>
      <c r="CV353" t="str">
        <f>CONCATENATE($T353,"-M",$U353,"-A7")</f>
        <v>E2-M5-A7</v>
      </c>
      <c r="CW353" t="str">
        <f>CONCATENATE($T353,"-M",$U353,"-A8")</f>
        <v>E2-M5-A8</v>
      </c>
      <c r="CX353" t="str">
        <f>CONCATENATE($T353,"-M",$U353,"-A6")</f>
        <v>E2-M5-A6</v>
      </c>
      <c r="CY353" t="str">
        <f>CONCATENATE($T353,"-M",$U353,"-A30")</f>
        <v>E2-M5-A30</v>
      </c>
      <c r="CZ353" t="str">
        <f>CONCATENATE($T353,"-M",$U353,"-N")</f>
        <v>E2-M5-N</v>
      </c>
      <c r="DA353" t="str">
        <f>CONCATENATE($T353,"-A220-M",U353)</f>
        <v>E2-A220-M5</v>
      </c>
      <c r="DB353" t="str">
        <f>CONCATENATE($T353,"-M",$U353,"-XM01")</f>
        <v>E2-M5-XM01</v>
      </c>
      <c r="DC353" t="str">
        <f>CONCATENATE($T353,"-M",$U353,"-A1")</f>
        <v>E2-M5-A1</v>
      </c>
      <c r="DD353" t="str">
        <f>CONCATENATE($T353,"-M",$U353,"-A5")</f>
        <v>E2-M5-A5</v>
      </c>
      <c r="DE353" t="str">
        <f>CONCATENATE($T353,"-M",$U353,"-A11")</f>
        <v>E2-M5-A11</v>
      </c>
      <c r="DF353" t="str">
        <f>CONCATENATE($T353,"-M",$U353,"-A12")</f>
        <v>E2-M5-A12</v>
      </c>
      <c r="DG353" t="str">
        <f>CONCATENATE($T353,"-M",$U353,"-A19")</f>
        <v>E2-M5-A19</v>
      </c>
      <c r="DH353" t="str">
        <f>CONCATENATE($T353,"-M",$U353,"-A20")</f>
        <v>E2-M5-A20</v>
      </c>
      <c r="DI353" t="s">
        <v>142</v>
      </c>
      <c r="DJ353" t="s">
        <v>143</v>
      </c>
      <c r="DK353">
        <v>11</v>
      </c>
      <c r="DL353">
        <v>14</v>
      </c>
      <c r="DM353">
        <v>12</v>
      </c>
      <c r="DN353" t="s">
        <v>144</v>
      </c>
      <c r="DO353" t="s">
        <v>145</v>
      </c>
      <c r="DP353">
        <v>1</v>
      </c>
      <c r="DQ353">
        <v>2</v>
      </c>
      <c r="DR353">
        <v>3</v>
      </c>
      <c r="DS353">
        <v>4</v>
      </c>
      <c r="DT353">
        <v>5</v>
      </c>
      <c r="DU353">
        <v>6</v>
      </c>
      <c r="DV353">
        <v>7</v>
      </c>
      <c r="DW353">
        <v>8</v>
      </c>
      <c r="DX353">
        <v>9</v>
      </c>
      <c r="DY353">
        <v>10</v>
      </c>
      <c r="DZ353">
        <v>11</v>
      </c>
      <c r="EA353">
        <v>12</v>
      </c>
      <c r="EB353">
        <v>13</v>
      </c>
      <c r="EC353">
        <v>14</v>
      </c>
      <c r="ED353">
        <v>1</v>
      </c>
      <c r="EE353">
        <v>3</v>
      </c>
      <c r="EF353">
        <v>4</v>
      </c>
      <c r="EG353">
        <v>7</v>
      </c>
      <c r="EH353">
        <v>8</v>
      </c>
      <c r="EI353">
        <v>9</v>
      </c>
      <c r="EJ353">
        <v>10</v>
      </c>
      <c r="EK353">
        <v>13</v>
      </c>
      <c r="EL353">
        <v>15</v>
      </c>
      <c r="EM353">
        <v>16</v>
      </c>
      <c r="EN353">
        <v>16</v>
      </c>
      <c r="EO353">
        <v>22</v>
      </c>
      <c r="EP353">
        <v>23</v>
      </c>
      <c r="EQ353" s="16">
        <v>24</v>
      </c>
      <c r="MA353" t="str">
        <f t="shared" si="348"/>
        <v>DI1-B9</v>
      </c>
    </row>
    <row r="354" spans="1:615" ht="15.75" thickBot="1" x14ac:dyDescent="0.3">
      <c r="A354" s="83" t="s">
        <v>2105</v>
      </c>
      <c r="B354" s="83" t="s">
        <v>2092</v>
      </c>
      <c r="P354" t="s">
        <v>2727</v>
      </c>
      <c r="T354" s="27" t="s">
        <v>2114</v>
      </c>
      <c r="U354">
        <v>6</v>
      </c>
      <c r="V354" t="s">
        <v>2138</v>
      </c>
      <c r="Y354" s="61"/>
      <c r="AC354" t="str">
        <f>IF(AD353+AE353&gt;31,REPLACE(AC353,LEN(AC353),1,VALUE(RIGHT(AC353,1))+1),AC353)</f>
        <v>A5.1</v>
      </c>
      <c r="AD354" s="46">
        <f t="array" ref="AD354">IF(COUNTIFS(AC$340:AC354,AC354)=1,"1",VALUE(SUBSTITUTE(INDEX(AD:AD,_xlfn.XMATCH(AC354,AC$1:AC353,0,-1)),"A",""))+INDEX(AE:AE,_xlfn.XMATCH(AC354,AC$1:AC353,0,-1))+1)</f>
        <v>13</v>
      </c>
      <c r="AE354" s="46">
        <f t="array" ref="AE354">SUM(IF(ISNUMBER(FIND("TmDi",$BE$1:$AAQ$1)),IF(IFERROR(ISNUMBER(VALUE(SUBSTITUTE($BE354:$AAQ354,"B",""))),FALSE),IF(ISNUMBER(VALUE(SUBSTITUTE($BE354:$AAQ354,"B",""))),1,0),0)))</f>
        <v>3</v>
      </c>
      <c r="AF354" t="str">
        <f t="shared" si="340"/>
        <v>C13</v>
      </c>
      <c r="AG354" t="str">
        <f t="shared" si="341"/>
        <v>B13</v>
      </c>
      <c r="AH354" t="str">
        <f t="shared" si="349"/>
        <v>A6.1</v>
      </c>
      <c r="AI354" s="69">
        <f t="array" ref="AI354">IF(COUNTIFS(AH$340:AH354,AH354)=1,"1",VALUE(SUBSTITUTE(INDEX(AI:AI,_xlfn.XMATCH(AH354,AH$1:AH353,0,-1)),"A",""))+INDEX(AJ:AJ,_xlfn.XMATCH(AH354,AH$1:AH353,0,-1))+1)</f>
        <v>10</v>
      </c>
      <c r="AJ354" s="69">
        <f t="array" ref="AJ354">SUM(IF(ISNUMBER(FIND("TmDo",$BE$1:$AAQ$1)),IF(IFERROR(ISNUMBER(VALUE(SUBSTITUTE($BE354:$AAQ354,"B",""))),FALSE),IF(ISNUMBER(VALUE(SUBSTITUTE($BE354:$AAQ354,"B",""))),1,0),0)))</f>
        <v>2</v>
      </c>
      <c r="AK354" t="str">
        <f t="shared" si="342"/>
        <v>10A</v>
      </c>
      <c r="AL354" t="str">
        <f t="shared" si="343"/>
        <v>10B</v>
      </c>
      <c r="AM354" t="s">
        <v>158</v>
      </c>
      <c r="AP354" t="s">
        <v>2116</v>
      </c>
      <c r="AQ354" t="s">
        <v>2134</v>
      </c>
      <c r="AT354" t="s">
        <v>139</v>
      </c>
      <c r="AU354" t="s">
        <v>140</v>
      </c>
      <c r="BE354" s="27" t="str">
        <f>CONCATENATE("XT",U354)</f>
        <v>XT6</v>
      </c>
      <c r="BF354" t="str">
        <f>CONCATENATE("C",REPLACE(AF354,1,1,"")+1)</f>
        <v>C14</v>
      </c>
      <c r="BG354" t="str">
        <f>CONCATENATE("B",REPLACE(AG354,1,1,"")+1)</f>
        <v>B14</v>
      </c>
      <c r="BH354" t="str">
        <f>CONCATENATE("C",REPLACE(BF354,1,1,"")+1)</f>
        <v>C15</v>
      </c>
      <c r="BI354" t="str">
        <f>CONCATENATE("B",REPLACE(BG354,1,1,"")+1)</f>
        <v>B15</v>
      </c>
      <c r="BJ354" t="str">
        <f>CONCATENATE("C",REPLACE(BH354,1,1,"")+1)</f>
        <v>C16</v>
      </c>
      <c r="BK354" t="str">
        <f>CONCATENATE("B",REPLACE(BI354,1,1,"")+1)</f>
        <v>B16</v>
      </c>
      <c r="BP354" t="str">
        <f>CONCATENATE(REPLACE(AK354,LEN(AK354),1,"")+1,"A")</f>
        <v>11A</v>
      </c>
      <c r="BQ354" t="str">
        <f>CONCATENATE(REPLACE(AL354,LEN(AL354),1,"")+1,"B")</f>
        <v>11B</v>
      </c>
      <c r="BR354" t="str">
        <f>CONCATENATE(REPLACE(BP354,LEN(BP354),1,"")+1,"A")</f>
        <v>12A</v>
      </c>
      <c r="BS354" t="str">
        <f>CONCATENATE(REPLACE(BQ354,LEN(BQ354),1,"")+1,"B")</f>
        <v>12B</v>
      </c>
      <c r="BT354" t="str">
        <f t="shared" si="344"/>
        <v>DI1-C13</v>
      </c>
      <c r="BU354" t="str">
        <f t="shared" si="344"/>
        <v>DI1-B13</v>
      </c>
      <c r="BV354" t="str">
        <f t="shared" si="345"/>
        <v>DI1-C14</v>
      </c>
      <c r="BW354" t="str">
        <f t="shared" si="345"/>
        <v>DI1-B14</v>
      </c>
      <c r="BX354" t="str">
        <f t="shared" si="345"/>
        <v>DI1-C15</v>
      </c>
      <c r="BY354" t="str">
        <f t="shared" si="345"/>
        <v>DI1-B15</v>
      </c>
      <c r="BZ354" t="str">
        <f t="shared" si="345"/>
        <v>DI1-C16</v>
      </c>
      <c r="CA354" t="str">
        <f t="shared" si="345"/>
        <v>DI1-B16</v>
      </c>
      <c r="CB354" t="str">
        <f t="shared" si="345"/>
        <v>DI1-</v>
      </c>
      <c r="CC354" t="str">
        <f t="shared" si="345"/>
        <v>DI1-</v>
      </c>
      <c r="CD354" t="str">
        <f t="shared" si="345"/>
        <v>DI1-</v>
      </c>
      <c r="CE354" t="str">
        <f t="shared" si="345"/>
        <v>DI1-</v>
      </c>
      <c r="CF354" t="str">
        <f t="shared" si="346"/>
        <v>DO1-10A</v>
      </c>
      <c r="CG354" t="str">
        <f t="shared" si="346"/>
        <v>DO1-10B</v>
      </c>
      <c r="CH354" t="str">
        <f t="shared" si="347"/>
        <v>DO1-11A</v>
      </c>
      <c r="CI354" t="str">
        <f t="shared" si="347"/>
        <v>DO1-11B</v>
      </c>
      <c r="CJ354" t="str">
        <f t="shared" si="347"/>
        <v>DO1-12A</v>
      </c>
      <c r="CK354" t="str">
        <f t="shared" si="347"/>
        <v>DO1-12B</v>
      </c>
      <c r="CL354" t="str">
        <f>CONCATENATE("K",$U354,"-10")</f>
        <v>K6-10</v>
      </c>
      <c r="CM354" t="str">
        <f>CONCATENATE("K",$U354,"-03")</f>
        <v>K6-03</v>
      </c>
      <c r="CN354" t="str">
        <f>CONCATENATE("K",$U354,"-04")</f>
        <v>K6-04</v>
      </c>
      <c r="CO354" t="str">
        <f>CONCATENATE("K",$U354,"-01")</f>
        <v>K6-01</v>
      </c>
      <c r="CP354" t="str">
        <f>CONCATENATE("K",$U354,"-08")</f>
        <v>K6-08</v>
      </c>
      <c r="CQ354" t="str">
        <f>CONCATENATE("K",$U354,"-02")</f>
        <v>K6-02</v>
      </c>
      <c r="CR354" t="str">
        <f>CONCATENATE("K",$U354,"-09")</f>
        <v>K6-09</v>
      </c>
      <c r="CS354" t="str">
        <f>CONCATENATE("K",$U354,"-05")</f>
        <v>K6-05</v>
      </c>
      <c r="CT354" t="str">
        <f>CONCATENATE("K",$U354,"-11")</f>
        <v>K6-11</v>
      </c>
      <c r="CU354" t="str">
        <f>CONCATENATE($T354,"-M",$U354,"-A9")</f>
        <v>E2-M6-A9</v>
      </c>
      <c r="CV354" t="str">
        <f>CONCATENATE($T354,"-M",$U354,"-A7")</f>
        <v>E2-M6-A7</v>
      </c>
      <c r="CW354" t="str">
        <f>CONCATENATE($T354,"-M",$U354,"-A8")</f>
        <v>E2-M6-A8</v>
      </c>
      <c r="CX354" t="str">
        <f>CONCATENATE($T354,"-M",$U354,"-A6")</f>
        <v>E2-M6-A6</v>
      </c>
      <c r="CY354" t="str">
        <f>CONCATENATE($T354,"-M",$U354,"-A30")</f>
        <v>E2-M6-A30</v>
      </c>
      <c r="CZ354" t="str">
        <f>CONCATENATE($T354,"-M",$U354,"-N")</f>
        <v>E2-M6-N</v>
      </c>
      <c r="DA354" t="str">
        <f>CONCATENATE($T354,"-A220-M",U354)</f>
        <v>E2-A220-M6</v>
      </c>
      <c r="DB354" t="str">
        <f>CONCATENATE($T354,"-M",$U354,"-XM01")</f>
        <v>E2-M6-XM01</v>
      </c>
      <c r="DC354" t="str">
        <f>CONCATENATE($T354,"-M",$U354,"-A1")</f>
        <v>E2-M6-A1</v>
      </c>
      <c r="DD354" t="str">
        <f>CONCATENATE($T354,"-M",$U354,"-A5")</f>
        <v>E2-M6-A5</v>
      </c>
      <c r="DE354" t="str">
        <f>CONCATENATE($T354,"-M",$U354,"-A11")</f>
        <v>E2-M6-A11</v>
      </c>
      <c r="DF354" t="str">
        <f>CONCATENATE($T354,"-M",$U354,"-A12")</f>
        <v>E2-M6-A12</v>
      </c>
      <c r="DG354" t="str">
        <f>CONCATENATE($T354,"-M",$U354,"-A19")</f>
        <v>E2-M6-A19</v>
      </c>
      <c r="DH354" t="str">
        <f>CONCATENATE($T354,"-M",$U354,"-A20")</f>
        <v>E2-M6-A20</v>
      </c>
      <c r="DI354" t="s">
        <v>142</v>
      </c>
      <c r="DJ354" t="s">
        <v>143</v>
      </c>
      <c r="DK354">
        <v>11</v>
      </c>
      <c r="DL354">
        <v>14</v>
      </c>
      <c r="DM354">
        <v>12</v>
      </c>
      <c r="DN354" t="s">
        <v>144</v>
      </c>
      <c r="DO354" t="s">
        <v>145</v>
      </c>
      <c r="DP354">
        <v>1</v>
      </c>
      <c r="DQ354">
        <v>2</v>
      </c>
      <c r="DR354">
        <v>3</v>
      </c>
      <c r="DS354">
        <v>4</v>
      </c>
      <c r="DT354">
        <v>5</v>
      </c>
      <c r="DU354">
        <v>6</v>
      </c>
      <c r="DV354">
        <v>7</v>
      </c>
      <c r="DW354">
        <v>8</v>
      </c>
      <c r="DX354">
        <v>9</v>
      </c>
      <c r="DY354">
        <v>10</v>
      </c>
      <c r="DZ354">
        <v>11</v>
      </c>
      <c r="EA354">
        <v>12</v>
      </c>
      <c r="EB354">
        <v>13</v>
      </c>
      <c r="EC354">
        <v>14</v>
      </c>
      <c r="ED354">
        <v>1</v>
      </c>
      <c r="EE354">
        <v>3</v>
      </c>
      <c r="EF354">
        <v>4</v>
      </c>
      <c r="EG354">
        <v>7</v>
      </c>
      <c r="EH354">
        <v>8</v>
      </c>
      <c r="EI354">
        <v>9</v>
      </c>
      <c r="EJ354">
        <v>10</v>
      </c>
      <c r="EK354">
        <v>13</v>
      </c>
      <c r="EL354">
        <v>15</v>
      </c>
      <c r="EM354">
        <v>16</v>
      </c>
      <c r="EN354">
        <v>16</v>
      </c>
      <c r="EO354">
        <v>22</v>
      </c>
      <c r="EP354">
        <v>23</v>
      </c>
      <c r="EQ354" s="16">
        <v>24</v>
      </c>
      <c r="MA354" t="str">
        <f t="shared" si="348"/>
        <v>DI1-B13</v>
      </c>
    </row>
    <row r="355" spans="1:615" x14ac:dyDescent="0.25">
      <c r="A355" s="83" t="s">
        <v>2110</v>
      </c>
      <c r="B355" s="83" t="s">
        <v>2087</v>
      </c>
      <c r="P355" t="s">
        <v>1785</v>
      </c>
      <c r="T355" s="14" t="s">
        <v>2114</v>
      </c>
      <c r="U355">
        <v>7</v>
      </c>
      <c r="V355" t="s">
        <v>2139</v>
      </c>
      <c r="W355" t="s">
        <v>2141</v>
      </c>
      <c r="X355" t="s">
        <v>2015</v>
      </c>
      <c r="Y355" s="61">
        <f t="array" ref="Y355">IF(COUNTIFS($X$340:$X355,$X355)=1,"1",VALUE(SUBSTITUTE(INDEX(Y:Y,_xlfn.XMATCH($X355,$X$1:$X354,0,-1)),"A",""))+INDEX(Z:Z,_xlfn.XMATCH($X355,$X$1:$X354,0,-1))+1)</f>
        <v>4</v>
      </c>
      <c r="Z355">
        <f t="array" ref="Z355">SUM(IF(ISNUMBER(FIND("TmAi",$BE$1:$AAQ$1)),IF(IFERROR(ISODD(SUBSTITUTE($BE355:$AAQ355,"A","")),FALSE),IF(ISODD(SUBSTITUTE($BE355:$AAQ355,"A","")),1,0),0)))</f>
        <v>0</v>
      </c>
      <c r="AA355" t="str">
        <f>CONCATENATE($Y355*2-1,"A")</f>
        <v>7A</v>
      </c>
      <c r="AB355" t="str">
        <f>CONCATENATE($Y355*2-1,"B")</f>
        <v>7B</v>
      </c>
      <c r="AC355" t="str">
        <f>IF(AD354+AE354&gt;31,REPLACE(AC354,LEN(AC354),1,VALUE(RIGHT(AC354,1))+1),AC354)</f>
        <v>A5.1</v>
      </c>
      <c r="AD355" s="46">
        <f t="array" ref="AD355">IF(COUNTIFS(AC$340:AC355,AC355)=1,"1",VALUE(SUBSTITUTE(INDEX(AD:AD,_xlfn.XMATCH(AC355,AC$1:AC354,0,-1)),"A",""))+INDEX(AE:AE,_xlfn.XMATCH(AC355,AC$1:AC354,0,-1))+1)</f>
        <v>17</v>
      </c>
      <c r="AE355" s="46">
        <f t="array" ref="AE355">SUM(IF(ISNUMBER(FIND("TmDi",$BE$1:$AAQ$1)),IF(IFERROR(ISNUMBER(VALUE(SUBSTITUTE($BE355:$AAQ355,"B",""))),FALSE),IF(ISNUMBER(VALUE(SUBSTITUTE($BE355:$AAQ355,"B",""))),1,0),0)))</f>
        <v>4</v>
      </c>
      <c r="AF355" t="str">
        <f t="shared" si="340"/>
        <v>C17</v>
      </c>
      <c r="AG355" t="str">
        <f t="shared" si="341"/>
        <v>B17</v>
      </c>
      <c r="AH355" t="str">
        <f t="shared" si="349"/>
        <v>A6.1</v>
      </c>
      <c r="AI355" s="69">
        <f t="array" ref="AI355">IF(COUNTIFS(AH$340:AH355,AH355)=1,"1",VALUE(SUBSTITUTE(INDEX(AI:AI,_xlfn.XMATCH(AH355,AH$1:AH354,0,-1)),"A",""))+INDEX(AJ:AJ,_xlfn.XMATCH(AH355,AH$1:AH354,0,-1))+1)</f>
        <v>13</v>
      </c>
      <c r="AJ355" s="69">
        <f t="array" ref="AJ355">SUM(IF(ISNUMBER(FIND("TmDo",$BE$1:$AAQ$1)),IF(IFERROR(ISNUMBER(VALUE(SUBSTITUTE($BE355:$AAQ355,"B",""))),FALSE),IF(ISNUMBER(VALUE(SUBSTITUTE($BE355:$AAQ355,"B",""))),1,0),0)))</f>
        <v>1</v>
      </c>
      <c r="AK355" t="str">
        <f t="shared" si="342"/>
        <v>13A</v>
      </c>
      <c r="AL355" t="str">
        <f t="shared" si="343"/>
        <v>13B</v>
      </c>
      <c r="AM355" t="s">
        <v>161</v>
      </c>
      <c r="AP355" t="s">
        <v>2116</v>
      </c>
      <c r="AQ355" t="s">
        <v>2134</v>
      </c>
      <c r="AS355" t="s">
        <v>396</v>
      </c>
      <c r="AT355" t="s">
        <v>139</v>
      </c>
      <c r="AU355" t="s">
        <v>140</v>
      </c>
      <c r="GT355" s="25" t="str">
        <f>CONCATENATE("XT",U355)</f>
        <v>XT7</v>
      </c>
      <c r="GU355" s="12" t="str">
        <f>CONCATENATE("C",REPLACE($AF355,1,1,"")+1)</f>
        <v>C18</v>
      </c>
      <c r="GV355" s="12" t="str">
        <f>CONCATENATE("B",REPLACE($AG355,1,1,"")+1)</f>
        <v>B18</v>
      </c>
      <c r="GW355" s="12" t="str">
        <f>CONCATENATE("C",REPLACE(GU355,1,1,"")+1)</f>
        <v>C19</v>
      </c>
      <c r="GX355" s="12" t="str">
        <f>CONCATENATE("B",REPLACE(GV355,1,1,"")+1)</f>
        <v>B19</v>
      </c>
      <c r="GY355" s="12" t="str">
        <f>CONCATENATE("C",REPLACE(GW355,1,1,"")+1)</f>
        <v>C20</v>
      </c>
      <c r="GZ355" s="12" t="str">
        <f>CONCATENATE("B",REPLACE(GX355,1,1,"")+1)</f>
        <v>B20</v>
      </c>
      <c r="HA355" s="12" t="str">
        <f>CONCATENATE("C",REPLACE(GY355,1,1,"")+1)</f>
        <v>C21</v>
      </c>
      <c r="HB355" s="12" t="str">
        <f>CONCATENATE("B",REPLACE(GZ355,1,1,"")+1)</f>
        <v>B21</v>
      </c>
      <c r="HC355" s="12"/>
      <c r="HD355" s="12"/>
      <c r="HE355" s="12" t="str">
        <f>CONCATENATE(REPLACE(AK355,LEN(AK355),1,"")+1,"A")</f>
        <v>14A</v>
      </c>
      <c r="HF355" s="12" t="str">
        <f>CONCATENATE(REPLACE(AL355,LEN(AL355),1,"")+1,"B")</f>
        <v>14B</v>
      </c>
      <c r="HG355" s="12" t="str">
        <f>CONCATENATE("AI",REPLACE($X355,1,3,""),"-",AA355)</f>
        <v>AI2-7A</v>
      </c>
      <c r="HH355" s="12" t="str">
        <f>CONCATENATE("AI",REPLACE($X355,1,3,""),"-",AB355)</f>
        <v>AI2-7B</v>
      </c>
      <c r="HI355" s="12" t="str">
        <f>CONCATENATE("DI",REPLACE($AC355,1,3,""),"-",AF355)</f>
        <v>DI1-C17</v>
      </c>
      <c r="HJ355" s="12" t="str">
        <f>CONCATENATE("DI",REPLACE($AC355,1,3,""),"-",AG355)</f>
        <v>DI1-B17</v>
      </c>
      <c r="HK355" s="12" t="str">
        <f t="shared" ref="HK355:HT356" si="350">CONCATENATE("DI",REPLACE($AC355,1,3,""),"-",GU355)</f>
        <v>DI1-C18</v>
      </c>
      <c r="HL355" s="12" t="str">
        <f t="shared" si="350"/>
        <v>DI1-B18</v>
      </c>
      <c r="HM355" s="12" t="str">
        <f t="shared" si="350"/>
        <v>DI1-C19</v>
      </c>
      <c r="HN355" s="12" t="str">
        <f t="shared" si="350"/>
        <v>DI1-B19</v>
      </c>
      <c r="HO355" s="12" t="str">
        <f t="shared" si="350"/>
        <v>DI1-C20</v>
      </c>
      <c r="HP355" s="12" t="str">
        <f t="shared" si="350"/>
        <v>DI1-B20</v>
      </c>
      <c r="HQ355" s="12" t="str">
        <f t="shared" si="350"/>
        <v>DI1-C21</v>
      </c>
      <c r="HR355" s="12" t="str">
        <f t="shared" si="350"/>
        <v>DI1-B21</v>
      </c>
      <c r="HS355" s="12" t="str">
        <f t="shared" si="350"/>
        <v>DI1-</v>
      </c>
      <c r="HT355" s="12" t="str">
        <f t="shared" si="350"/>
        <v>DI1-</v>
      </c>
      <c r="HU355" s="12" t="str">
        <f>CONCATENATE("DO",REPLACE($AH355,1,3,""),"-",AK355)</f>
        <v>DO1-13A</v>
      </c>
      <c r="HV355" s="12" t="str">
        <f>CONCATENATE("DO",REPLACE($AH355,1,3,""),"-",AL355)</f>
        <v>DO1-13B</v>
      </c>
      <c r="HW355" s="12" t="str">
        <f>CONCATENATE("DO",REPLACE($AH355,1,3,""),"-",HE355)</f>
        <v>DO1-14A</v>
      </c>
      <c r="HX355" s="12" t="str">
        <f>CONCATENATE("DO",REPLACE($AH355,1,3,""),"-",HF355)</f>
        <v>DO1-14B</v>
      </c>
      <c r="HY355" s="12" t="str">
        <f>CONCATENATE("K",$U355,"-01")</f>
        <v>K7-01</v>
      </c>
      <c r="HZ355" s="12" t="str">
        <f>CONCATENATE("K",$U355,"-02")</f>
        <v>K7-02</v>
      </c>
      <c r="IA355" s="12" t="str">
        <f>CONCATENATE("K",$U355,"-03")</f>
        <v>K7-03</v>
      </c>
      <c r="IB355" s="12" t="str">
        <f>CONCATENATE("K",$U355,"-04")</f>
        <v>K7-04</v>
      </c>
      <c r="IC355" s="12" t="str">
        <f>CONCATENATE("K",$U355,"-05")</f>
        <v>K7-05</v>
      </c>
      <c r="ID355" s="12" t="str">
        <f>CONCATENATE("K",$U355,"-06")</f>
        <v>K7-06</v>
      </c>
      <c r="IE355" s="12" t="str">
        <f>CONCATENATE("K",$U355,"-07")</f>
        <v>K7-07</v>
      </c>
      <c r="IF355" s="12" t="str">
        <f>CONCATENATE("K",$U355,"-08")</f>
        <v>K7-08</v>
      </c>
      <c r="IG355" s="12" t="str">
        <f>CONCATENATE($T355,"-M",$U355,"-AMS-12")</f>
        <v>E2-M7-AMS-12</v>
      </c>
      <c r="IH355" s="12" t="str">
        <f>CONCATENATE($T355,"-M",$U355,"-AMS-10")</f>
        <v>E2-M7-AMS-10</v>
      </c>
      <c r="II355" s="12" t="str">
        <f>CONCATENATE($T355,"-M",$U355,"-AMS-11")</f>
        <v>E2-M7-AMS-11</v>
      </c>
      <c r="IJ355" s="12" t="str">
        <f>CONCATENATE($T355,"-M",$U355,"-AMS-13")</f>
        <v>E2-M7-AMS-13</v>
      </c>
      <c r="IK355" s="12" t="str">
        <f>CONCATENATE($T355,"-M",$U355,"-AMS-9")</f>
        <v>E2-M7-AMS-9</v>
      </c>
      <c r="IL355" s="12" t="str">
        <f>CONCATENATE($T355,"-M",$U355,"-AMS-7")</f>
        <v>E2-M7-AMS-7</v>
      </c>
      <c r="IM355" s="12" t="str">
        <f>CONCATENATE($T355,"-M",$U355,"-AMS-18")</f>
        <v>E2-M7-AMS-18</v>
      </c>
      <c r="IN355" s="12" t="str">
        <f>CONCATENATE($T355,"-M",$U355,"-AMS-20")</f>
        <v>E2-M7-AMS-20</v>
      </c>
      <c r="IO355" s="12" t="str">
        <f>CONCATENATE($T355,"-M",$U355,"-AMS-17")</f>
        <v>E2-M7-AMS-17</v>
      </c>
      <c r="IP355" s="12" t="str">
        <f>CONCATENATE($T355,"-+24-M",$U355,)</f>
        <v>E2-+24-M7</v>
      </c>
      <c r="IQ355" s="12" t="str">
        <f>CONCATENATE($T355,"-M",$U355,"-XM01")</f>
        <v>E2-M7-XM01</v>
      </c>
      <c r="IR355" s="12" t="s">
        <v>142</v>
      </c>
      <c r="IS355" s="12" t="s">
        <v>143</v>
      </c>
      <c r="IT355" s="12">
        <v>11</v>
      </c>
      <c r="IU355" s="12">
        <v>14</v>
      </c>
      <c r="IV355" s="12" t="s">
        <v>413</v>
      </c>
      <c r="IW355" s="12" t="s">
        <v>414</v>
      </c>
      <c r="IX355" s="12">
        <v>1</v>
      </c>
      <c r="IY355" s="12">
        <v>2</v>
      </c>
      <c r="IZ355" s="12">
        <v>3</v>
      </c>
      <c r="JA355" s="12">
        <v>4</v>
      </c>
      <c r="JB355" s="12">
        <v>5</v>
      </c>
      <c r="JC355" s="12">
        <v>6</v>
      </c>
      <c r="JD355" s="12">
        <v>7</v>
      </c>
      <c r="JE355" s="12">
        <v>8</v>
      </c>
      <c r="JF355" s="12">
        <v>9</v>
      </c>
      <c r="JG355" s="12">
        <v>10</v>
      </c>
      <c r="JH355" s="12">
        <v>11</v>
      </c>
      <c r="JI355" s="12">
        <v>12</v>
      </c>
      <c r="JJ355" s="12">
        <v>13</v>
      </c>
      <c r="JK355" s="12">
        <v>14</v>
      </c>
      <c r="JL355" s="12">
        <v>17</v>
      </c>
      <c r="JM355" s="12">
        <v>15</v>
      </c>
      <c r="JN355" s="12">
        <v>18</v>
      </c>
      <c r="JO355" s="12">
        <v>11</v>
      </c>
      <c r="JP355" s="12">
        <v>9</v>
      </c>
      <c r="JQ355" s="12">
        <v>6</v>
      </c>
      <c r="JR355" s="12">
        <v>20</v>
      </c>
      <c r="JS355" s="12">
        <v>7</v>
      </c>
      <c r="JT355" s="12">
        <v>10</v>
      </c>
      <c r="JU355" s="12">
        <v>22</v>
      </c>
      <c r="JV355" s="12">
        <v>23</v>
      </c>
      <c r="JW355" s="12">
        <v>26</v>
      </c>
      <c r="JX355" s="12">
        <v>27</v>
      </c>
      <c r="JY355" s="13">
        <v>30</v>
      </c>
      <c r="MA355" t="str">
        <f t="shared" si="348"/>
        <v>DI1-B17</v>
      </c>
    </row>
    <row r="356" spans="1:615" ht="15.75" thickBot="1" x14ac:dyDescent="0.3">
      <c r="A356" s="83" t="s">
        <v>2109</v>
      </c>
      <c r="B356" s="83" t="s">
        <v>2088</v>
      </c>
      <c r="P356" t="s">
        <v>1785</v>
      </c>
      <c r="T356" s="14" t="s">
        <v>2114</v>
      </c>
      <c r="U356">
        <v>8</v>
      </c>
      <c r="V356" t="s">
        <v>2142</v>
      </c>
      <c r="W356" t="s">
        <v>2140</v>
      </c>
      <c r="X356" t="str">
        <f>IF(COUNTIF(X$340:X355,X355)&gt;7,REPLACE(X355,LEN(X355),1,VALUE(RIGHT(X355,1))+1),X355)</f>
        <v>A3.2</v>
      </c>
      <c r="Y356" s="61">
        <f t="array" ref="Y356">IF(COUNTIFS($X$340:$X356,$X356)=1,"1",VALUE(SUBSTITUTE(INDEX(Y:Y,_xlfn.XMATCH($X356,$X$1:$X355,0,-1)),"A",""))+INDEX(Z:Z,_xlfn.XMATCH($X356,$X$1:$X355,0,-1))+1)</f>
        <v>5</v>
      </c>
      <c r="Z356">
        <f t="array" ref="Z356">SUM(IF(ISNUMBER(FIND("TmAi",$BE$1:$AAQ$1)),IF(IFERROR(ISODD(SUBSTITUTE($BE356:$AAQ356,"A","")),FALSE),IF(ISODD(SUBSTITUTE($BE356:$AAQ356,"A","")),1,0),0)))</f>
        <v>0</v>
      </c>
      <c r="AA356" t="str">
        <f>CONCATENATE($Y356*2-1,"A")</f>
        <v>9A</v>
      </c>
      <c r="AB356" t="str">
        <f>CONCATENATE($Y356*2-1,"B")</f>
        <v>9B</v>
      </c>
      <c r="AC356" t="str">
        <f t="shared" ref="AC356:AC364" si="351">IF(AD355+AE355&gt;31,REPLACE(AC355,LEN(AC355),1,VALUE(RIGHT(AC355,1))+1),AC355)</f>
        <v>A5.1</v>
      </c>
      <c r="AD356" s="46">
        <f t="array" ref="AD356">IF(COUNTIFS(AC$340:AC356,AC356)=1,"1",VALUE(SUBSTITUTE(INDEX(AD:AD,_xlfn.XMATCH(AC356,AC$1:AC355,0,-1)),"A",""))+INDEX(AE:AE,_xlfn.XMATCH(AC356,AC$1:AC355,0,-1))+1)</f>
        <v>22</v>
      </c>
      <c r="AE356" s="46">
        <f t="array" ref="AE356">SUM(IF(ISNUMBER(FIND("TmDi",$BE$1:$AAQ$1)),IF(IFERROR(ISNUMBER(VALUE(SUBSTITUTE($BE356:$AAQ356,"B",""))),FALSE),IF(ISNUMBER(VALUE(SUBSTITUTE($BE356:$AAQ356,"B",""))),1,0),0)))</f>
        <v>4</v>
      </c>
      <c r="AF356" t="str">
        <f t="shared" si="340"/>
        <v>C22</v>
      </c>
      <c r="AG356" t="str">
        <f t="shared" si="341"/>
        <v>B22</v>
      </c>
      <c r="AH356" t="str">
        <f t="shared" si="349"/>
        <v>A6.1</v>
      </c>
      <c r="AI356" s="69">
        <f t="array" ref="AI356">IF(COUNTIFS(AH$340:AH356,AH356)=1,"1",VALUE(SUBSTITUTE(INDEX(AI:AI,_xlfn.XMATCH(AH356,AH$1:AH355,0,-1)),"A",""))+INDEX(AJ:AJ,_xlfn.XMATCH(AH356,AH$1:AH355,0,-1))+1)</f>
        <v>15</v>
      </c>
      <c r="AJ356" s="69">
        <f t="array" ref="AJ356">SUM(IF(ISNUMBER(FIND("TmDo",$BE$1:$AAQ$1)),IF(IFERROR(ISNUMBER(VALUE(SUBSTITUTE($BE356:$AAQ356,"B",""))),FALSE),IF(ISNUMBER(VALUE(SUBSTITUTE($BE356:$AAQ356,"B",""))),1,0),0)))</f>
        <v>1</v>
      </c>
      <c r="AK356" t="str">
        <f t="shared" si="342"/>
        <v>15A</v>
      </c>
      <c r="AL356" t="str">
        <f t="shared" si="343"/>
        <v>15B</v>
      </c>
      <c r="AM356" t="s">
        <v>163</v>
      </c>
      <c r="AP356" t="s">
        <v>2116</v>
      </c>
      <c r="AQ356" t="s">
        <v>2134</v>
      </c>
      <c r="AS356" t="s">
        <v>396</v>
      </c>
      <c r="AT356" t="s">
        <v>139</v>
      </c>
      <c r="AU356" t="s">
        <v>140</v>
      </c>
      <c r="GT356" s="28" t="str">
        <f>CONCATENATE("XT",U356)</f>
        <v>XT8</v>
      </c>
      <c r="GU356" s="19" t="str">
        <f>CONCATENATE("C",REPLACE(AF356,1,1,"")+1)</f>
        <v>C23</v>
      </c>
      <c r="GV356" s="19" t="str">
        <f>CONCATENATE("B",REPLACE(AG356,1,1,"")+1)</f>
        <v>B23</v>
      </c>
      <c r="GW356" s="19" t="str">
        <f>CONCATENATE("C",REPLACE(GU356,1,1,"")+1)</f>
        <v>C24</v>
      </c>
      <c r="GX356" s="19" t="str">
        <f>CONCATENATE("B",REPLACE(GV356,1,1,"")+1)</f>
        <v>B24</v>
      </c>
      <c r="GY356" s="19" t="str">
        <f>CONCATENATE("C",REPLACE(GW356,1,1,"")+1)</f>
        <v>C25</v>
      </c>
      <c r="GZ356" s="19" t="str">
        <f>CONCATENATE("B",REPLACE(GX356,1,1,"")+1)</f>
        <v>B25</v>
      </c>
      <c r="HA356" s="19" t="str">
        <f>CONCATENATE("C",REPLACE(GY356,1,1,"")+1)</f>
        <v>C26</v>
      </c>
      <c r="HB356" s="19" t="str">
        <f>CONCATENATE("B",REPLACE(GZ356,1,1,"")+1)</f>
        <v>B26</v>
      </c>
      <c r="HC356" s="19"/>
      <c r="HD356" s="19"/>
      <c r="HE356" s="19" t="str">
        <f>CONCATENATE(REPLACE(AK356,LEN(AK356),1,"")+1,"A")</f>
        <v>16A</v>
      </c>
      <c r="HF356" s="19" t="str">
        <f>CONCATENATE(REPLACE(AL356,LEN(AL356),1,"")+1,"B")</f>
        <v>16B</v>
      </c>
      <c r="HG356" s="19" t="str">
        <f>CONCATENATE("AI",REPLACE($X356,1,3,""),"-",AA356)</f>
        <v>AI2-9A</v>
      </c>
      <c r="HH356" s="19" t="str">
        <f>CONCATENATE("AI",REPLACE($X356,1,3,""),"-",AB356)</f>
        <v>AI2-9B</v>
      </c>
      <c r="HI356" s="19" t="str">
        <f>CONCATENATE("DI",REPLACE($AC356,1,3,""),"-",AF356)</f>
        <v>DI1-C22</v>
      </c>
      <c r="HJ356" s="19" t="str">
        <f>CONCATENATE("DI",REPLACE($AC356,1,3,""),"-",AG356)</f>
        <v>DI1-B22</v>
      </c>
      <c r="HK356" s="19" t="str">
        <f t="shared" si="350"/>
        <v>DI1-C23</v>
      </c>
      <c r="HL356" s="19" t="str">
        <f t="shared" si="350"/>
        <v>DI1-B23</v>
      </c>
      <c r="HM356" s="19" t="str">
        <f t="shared" si="350"/>
        <v>DI1-C24</v>
      </c>
      <c r="HN356" s="19" t="str">
        <f t="shared" si="350"/>
        <v>DI1-B24</v>
      </c>
      <c r="HO356" s="19" t="str">
        <f t="shared" si="350"/>
        <v>DI1-C25</v>
      </c>
      <c r="HP356" s="19" t="str">
        <f t="shared" si="350"/>
        <v>DI1-B25</v>
      </c>
      <c r="HQ356" s="19" t="str">
        <f t="shared" si="350"/>
        <v>DI1-C26</v>
      </c>
      <c r="HR356" s="19" t="str">
        <f t="shared" si="350"/>
        <v>DI1-B26</v>
      </c>
      <c r="HS356" s="19" t="str">
        <f t="shared" si="350"/>
        <v>DI1-</v>
      </c>
      <c r="HT356" s="19" t="str">
        <f t="shared" si="350"/>
        <v>DI1-</v>
      </c>
      <c r="HU356" s="19" t="str">
        <f>CONCATENATE("DO",REPLACE($AH356,1,3,""),"-",AK356)</f>
        <v>DO1-15A</v>
      </c>
      <c r="HV356" s="19" t="str">
        <f>CONCATENATE("DO",REPLACE($AH356,1,3,""),"-",AL356)</f>
        <v>DO1-15B</v>
      </c>
      <c r="HW356" s="19" t="str">
        <f>CONCATENATE("DO",REPLACE($AH356,1,3,""),"-",HE356)</f>
        <v>DO1-16A</v>
      </c>
      <c r="HX356" s="19" t="str">
        <f>CONCATENATE("DO",REPLACE($AH356,1,3,""),"-",HF356)</f>
        <v>DO1-16B</v>
      </c>
      <c r="HY356" s="19" t="str">
        <f>CONCATENATE("K",$U356,"-01")</f>
        <v>K8-01</v>
      </c>
      <c r="HZ356" s="19" t="str">
        <f>CONCATENATE("K",$U356,"-02")</f>
        <v>K8-02</v>
      </c>
      <c r="IA356" s="19" t="str">
        <f>CONCATENATE("K",$U356,"-03")</f>
        <v>K8-03</v>
      </c>
      <c r="IB356" s="19" t="str">
        <f>CONCATENATE("K",$U356,"-04")</f>
        <v>K8-04</v>
      </c>
      <c r="IC356" s="19" t="str">
        <f>CONCATENATE("K",$U356,"-05")</f>
        <v>K8-05</v>
      </c>
      <c r="ID356" s="19" t="str">
        <f>CONCATENATE("K",$U356,"-06")</f>
        <v>K8-06</v>
      </c>
      <c r="IE356" s="19" t="str">
        <f>CONCATENATE("K",$U356,"-07")</f>
        <v>K8-07</v>
      </c>
      <c r="IF356" s="19" t="str">
        <f>CONCATENATE("K",$U356,"-08")</f>
        <v>K8-08</v>
      </c>
      <c r="IG356" s="19" t="str">
        <f>CONCATENATE($T356,"-M",$U356,"-AMS-12")</f>
        <v>E2-M8-AMS-12</v>
      </c>
      <c r="IH356" s="19" t="str">
        <f>CONCATENATE($T356,"-M",$U356,"-AMS-10")</f>
        <v>E2-M8-AMS-10</v>
      </c>
      <c r="II356" s="19" t="str">
        <f>CONCATENATE($T356,"-M",$U356,"-AMS-11")</f>
        <v>E2-M8-AMS-11</v>
      </c>
      <c r="IJ356" s="19" t="str">
        <f>CONCATENATE($T356,"-M",$U356,"-AMS-13")</f>
        <v>E2-M8-AMS-13</v>
      </c>
      <c r="IK356" s="19" t="str">
        <f>CONCATENATE($T356,"-M",$U356,"-AMS-9")</f>
        <v>E2-M8-AMS-9</v>
      </c>
      <c r="IL356" s="19" t="str">
        <f>CONCATENATE($T356,"-M",$U356,"-AMS-7")</f>
        <v>E2-M8-AMS-7</v>
      </c>
      <c r="IM356" s="19" t="str">
        <f>CONCATENATE($T356,"-M",$U356,"-AMS-18")</f>
        <v>E2-M8-AMS-18</v>
      </c>
      <c r="IN356" s="19" t="str">
        <f>CONCATENATE($T356,"-M",$U356,"-AMS-20")</f>
        <v>E2-M8-AMS-20</v>
      </c>
      <c r="IO356" s="19" t="str">
        <f>CONCATENATE($T356,"-M",$U356,"-AMS-17")</f>
        <v>E2-M8-AMS-17</v>
      </c>
      <c r="IP356" s="19" t="str">
        <f>CONCATENATE($T356,"-+24-M",$U356,)</f>
        <v>E2-+24-M8</v>
      </c>
      <c r="IQ356" s="19" t="str">
        <f>CONCATENATE($T356,"-M",$U356,"-XM01")</f>
        <v>E2-M8-XM01</v>
      </c>
      <c r="IR356" s="19" t="s">
        <v>142</v>
      </c>
      <c r="IS356" s="19" t="s">
        <v>143</v>
      </c>
      <c r="IT356" s="19">
        <v>11</v>
      </c>
      <c r="IU356" s="19">
        <v>14</v>
      </c>
      <c r="IV356" s="19" t="s">
        <v>413</v>
      </c>
      <c r="IW356" s="19" t="s">
        <v>414</v>
      </c>
      <c r="IX356" s="19">
        <v>1</v>
      </c>
      <c r="IY356" s="19">
        <v>2</v>
      </c>
      <c r="IZ356" s="19">
        <v>3</v>
      </c>
      <c r="JA356" s="19">
        <v>4</v>
      </c>
      <c r="JB356" s="19">
        <v>5</v>
      </c>
      <c r="JC356" s="19">
        <v>6</v>
      </c>
      <c r="JD356" s="19">
        <v>7</v>
      </c>
      <c r="JE356" s="19">
        <v>8</v>
      </c>
      <c r="JF356" s="19">
        <v>9</v>
      </c>
      <c r="JG356" s="19">
        <v>10</v>
      </c>
      <c r="JH356" s="19">
        <v>11</v>
      </c>
      <c r="JI356" s="19">
        <v>12</v>
      </c>
      <c r="JJ356" s="19">
        <v>13</v>
      </c>
      <c r="JK356" s="19">
        <v>14</v>
      </c>
      <c r="JL356" s="19">
        <v>17</v>
      </c>
      <c r="JM356" s="19">
        <v>15</v>
      </c>
      <c r="JN356" s="19">
        <v>18</v>
      </c>
      <c r="JO356" s="19">
        <v>11</v>
      </c>
      <c r="JP356" s="19">
        <v>9</v>
      </c>
      <c r="JQ356" s="19">
        <v>6</v>
      </c>
      <c r="JR356" s="19">
        <v>20</v>
      </c>
      <c r="JS356" s="19">
        <v>7</v>
      </c>
      <c r="JT356" s="19">
        <v>10</v>
      </c>
      <c r="JU356" s="19">
        <v>22</v>
      </c>
      <c r="JV356" s="19">
        <v>23</v>
      </c>
      <c r="JW356" s="19">
        <v>26</v>
      </c>
      <c r="JX356" s="19">
        <v>27</v>
      </c>
      <c r="JY356" s="20">
        <v>30</v>
      </c>
      <c r="MA356" t="str">
        <f t="shared" si="348"/>
        <v>DI1-B22</v>
      </c>
    </row>
    <row r="357" spans="1:615" x14ac:dyDescent="0.25">
      <c r="A357" s="83" t="s">
        <v>2100</v>
      </c>
      <c r="B357" s="83" t="s">
        <v>2097</v>
      </c>
      <c r="P357" t="s">
        <v>2137</v>
      </c>
      <c r="Q357" s="1"/>
      <c r="S357" s="1" t="s">
        <v>130</v>
      </c>
      <c r="T357" s="14" t="s">
        <v>2114</v>
      </c>
      <c r="U357" s="59">
        <v>9</v>
      </c>
      <c r="V357" s="15" t="s">
        <v>2143</v>
      </c>
      <c r="W357" s="15"/>
      <c r="AC357" t="s">
        <v>261</v>
      </c>
      <c r="AD357" s="46" t="str">
        <f t="array" ref="AD357">IF(COUNTIFS(AC$340:AC357,AC357)=1,"1",VALUE(SUBSTITUTE(INDEX(AD:AD,_xlfn.XMATCH(AC357,AC$1:AC356,0,-1)),"A",""))+INDEX(AE:AE,_xlfn.XMATCH(AC357,AC$1:AC356,0,-1))+1)</f>
        <v>1</v>
      </c>
      <c r="AE357" s="46">
        <f t="array" ref="AE357">SUM(IF(ISNUMBER(FIND("TmDi",$BE$1:$AAQ$1)),IF(IFERROR(ISNUMBER(VALUE(SUBSTITUTE($BE357:$AAQ357,"B",""))),FALSE),IF(ISNUMBER(VALUE(SUBSTITUTE($BE357:$AAQ357,"B",""))),1,0),0)))</f>
        <v>5</v>
      </c>
      <c r="AF357" t="str">
        <f t="shared" si="340"/>
        <v>C1</v>
      </c>
      <c r="AG357" t="str">
        <f t="shared" si="341"/>
        <v>B1</v>
      </c>
      <c r="AH357" t="str">
        <f t="shared" si="349"/>
        <v>A6.1</v>
      </c>
      <c r="AI357" s="69">
        <f t="array" ref="AI357">IF(COUNTIFS(AH$340:AH357,AH357)=1,"1",VALUE(SUBSTITUTE(INDEX(AI:AI,_xlfn.XMATCH(AH357,AH$1:AH356,0,-1)),"A",""))+INDEX(AJ:AJ,_xlfn.XMATCH(AH357,AH$1:AH356,0,-1))+1)</f>
        <v>17</v>
      </c>
      <c r="AJ357" s="69">
        <f t="array" ref="AJ357">SUM(IF(ISNUMBER(FIND("TmDo",$BE$1:$AAQ$1)),IF(IFERROR(ISNUMBER(VALUE(SUBSTITUTE($BE357:$AAQ357,"B",""))),FALSE),IF(ISNUMBER(VALUE(SUBSTITUTE($BE357:$AAQ357,"B",""))),1,0),0)))</f>
        <v>2</v>
      </c>
      <c r="AK357" t="str">
        <f t="shared" si="342"/>
        <v>17A</v>
      </c>
      <c r="AL357" t="str">
        <f t="shared" si="343"/>
        <v>17B</v>
      </c>
      <c r="AM357" t="s">
        <v>166</v>
      </c>
      <c r="AP357" t="s">
        <v>2116</v>
      </c>
      <c r="AQ357" t="s">
        <v>2134</v>
      </c>
      <c r="AT357" t="s">
        <v>139</v>
      </c>
      <c r="AU357" t="s">
        <v>140</v>
      </c>
      <c r="BD357" s="16"/>
      <c r="BE357" t="str">
        <f t="shared" ref="BE357:BE363" si="352">CONCATENATE("XT",U357)</f>
        <v>XT9</v>
      </c>
      <c r="BF357" t="str">
        <f t="shared" ref="BF357:BF363" si="353">CONCATENATE("C",REPLACE(AF357,1,1,"")+1)</f>
        <v>C2</v>
      </c>
      <c r="BG357" t="str">
        <f t="shared" ref="BG357:BG363" si="354">CONCATENATE("B",REPLACE(AG357,1,1,"")+1)</f>
        <v>B2</v>
      </c>
      <c r="BH357" t="str">
        <f t="shared" ref="BH357:BH363" si="355">CONCATENATE("C",REPLACE(BF357,1,1,"")+1)</f>
        <v>C3</v>
      </c>
      <c r="BI357" t="str">
        <f t="shared" ref="BI357:BI363" si="356">CONCATENATE("B",REPLACE(BG357,1,1,"")+1)</f>
        <v>B3</v>
      </c>
      <c r="BJ357" t="str">
        <f t="shared" ref="BJ357:BJ363" si="357">CONCATENATE("C",REPLACE(BH357,1,1,"")+1)</f>
        <v>C4</v>
      </c>
      <c r="BK357" t="str">
        <f t="shared" ref="BK357:BK363" si="358">CONCATENATE("B",REPLACE(BI357,1,1,"")+1)</f>
        <v>B4</v>
      </c>
      <c r="BL357" t="str">
        <f>CONCATENATE("C",REPLACE(BJ357,1,1,"")+1)</f>
        <v>C5</v>
      </c>
      <c r="BM357" t="str">
        <f>CONCATENATE("B",REPLACE(BK357,1,1,"")+1)</f>
        <v>B5</v>
      </c>
      <c r="BN357" t="str">
        <f>CONCATENATE("C",REPLACE(BL357,1,1,"")+1)</f>
        <v>C6</v>
      </c>
      <c r="BO357" t="str">
        <f>CONCATENATE("B",REPLACE(BM357,1,1,"")+1)</f>
        <v>B6</v>
      </c>
      <c r="BP357" t="str">
        <f t="shared" ref="BP357:BP363" si="359">CONCATENATE(REPLACE(AK357,LEN(AK357),1,"")+1,"A")</f>
        <v>18A</v>
      </c>
      <c r="BQ357" t="str">
        <f t="shared" ref="BQ357:BQ363" si="360">CONCATENATE(REPLACE(AL357,LEN(AL357),1,"")+1,"B")</f>
        <v>18B</v>
      </c>
      <c r="BR357" t="str">
        <f t="shared" ref="BR357:BR363" si="361">CONCATENATE(REPLACE(BP357,LEN(BP357),1,"")+1,"A")</f>
        <v>19A</v>
      </c>
      <c r="BS357" t="str">
        <f t="shared" ref="BS357:BS363" si="362">CONCATENATE(REPLACE(BQ357,LEN(BQ357),1,"")+1,"B")</f>
        <v>19B</v>
      </c>
      <c r="BT357" t="str">
        <f t="shared" ref="BT357:BU363" si="363">CONCATENATE("DI",REPLACE($AC357,1,3,""),"-",AF357)</f>
        <v>DI2-C1</v>
      </c>
      <c r="BU357" t="str">
        <f t="shared" si="363"/>
        <v>DI2-B1</v>
      </c>
      <c r="BV357" t="str">
        <f t="shared" ref="BV357:CE363" si="364">CONCATENATE("DI",REPLACE($AC357,1,3,""),"-",BF357)</f>
        <v>DI2-C2</v>
      </c>
      <c r="BW357" t="str">
        <f t="shared" si="364"/>
        <v>DI2-B2</v>
      </c>
      <c r="BX357" t="str">
        <f t="shared" si="364"/>
        <v>DI2-C3</v>
      </c>
      <c r="BY357" t="str">
        <f t="shared" si="364"/>
        <v>DI2-B3</v>
      </c>
      <c r="BZ357" t="str">
        <f t="shared" si="364"/>
        <v>DI2-C4</v>
      </c>
      <c r="CA357" t="str">
        <f t="shared" si="364"/>
        <v>DI2-B4</v>
      </c>
      <c r="CB357" t="str">
        <f t="shared" si="364"/>
        <v>DI2-C5</v>
      </c>
      <c r="CC357" t="str">
        <f t="shared" si="364"/>
        <v>DI2-B5</v>
      </c>
      <c r="CD357" t="str">
        <f t="shared" si="364"/>
        <v>DI2-C6</v>
      </c>
      <c r="CE357" t="str">
        <f t="shared" si="364"/>
        <v>DI2-B6</v>
      </c>
      <c r="CF357" t="str">
        <f t="shared" ref="CF357:CG363" si="365">CONCATENATE("DO",REPLACE($AH357,1,3,""),"-",AK357)</f>
        <v>DO1-17A</v>
      </c>
      <c r="CG357" t="str">
        <f t="shared" si="365"/>
        <v>DO1-17B</v>
      </c>
      <c r="CH357" t="str">
        <f t="shared" ref="CH357:CK363" si="366">CONCATENATE("DO",REPLACE($AH357,1,3,""),"-",BP357)</f>
        <v>DO1-18A</v>
      </c>
      <c r="CI357" t="str">
        <f t="shared" si="366"/>
        <v>DO1-18B</v>
      </c>
      <c r="CJ357" t="str">
        <f t="shared" si="366"/>
        <v>DO1-19A</v>
      </c>
      <c r="CK357" t="str">
        <f t="shared" si="366"/>
        <v>DO1-19B</v>
      </c>
      <c r="CL357" t="str">
        <f>CONCATENATE("K",$U357,"-01")</f>
        <v>K9-01</v>
      </c>
      <c r="CM357" t="str">
        <f>CONCATENATE("K",$U357,"-02")</f>
        <v>K9-02</v>
      </c>
      <c r="CN357" t="str">
        <f>CONCATENATE("K",$U357,"-05")</f>
        <v>K9-05</v>
      </c>
      <c r="CO357" t="str">
        <f>CONCATENATE("K",$U357,"-06")</f>
        <v>K9-06</v>
      </c>
      <c r="CP357" t="str">
        <f>CONCATENATE("K",$U357,"-07")</f>
        <v>K9-07</v>
      </c>
      <c r="CQ357" t="str">
        <f>CONCATENATE("K",$U357,"-11")</f>
        <v>K9-11</v>
      </c>
      <c r="CR357" t="str">
        <f>CONCATENATE("K",$U357,"-10")</f>
        <v>K9-10</v>
      </c>
      <c r="CS357" t="str">
        <f>CONCATENATE("K",$U357,"-03")</f>
        <v>K9-03</v>
      </c>
      <c r="CT357" t="str">
        <f>CONCATENATE("K",$U357,"-04")</f>
        <v>K9-04</v>
      </c>
      <c r="CU357" t="str">
        <f t="shared" ref="CU357:CU363" si="367">CONCATENATE($T357,"-M",$U357,"-A9")</f>
        <v>E2-M9-A9</v>
      </c>
      <c r="CV357" t="str">
        <f>CONCATENATE($T357,"-M",$U357,"-A8")</f>
        <v>E2-M9-A8</v>
      </c>
      <c r="CW357" t="str">
        <f>CONCATENATE($T357,"-M",$U357,"-A7")</f>
        <v>E2-M9-A7</v>
      </c>
      <c r="CX357" t="str">
        <f t="shared" ref="CX357:CX363" si="368">CONCATENATE($T357,"-M",$U357,"-A6")</f>
        <v>E2-M9-A6</v>
      </c>
      <c r="CY357" t="str">
        <f t="shared" ref="CY357:CY363" si="369">CONCATENATE($T357,"-M",$U357,"-A30")</f>
        <v>E2-M9-A30</v>
      </c>
      <c r="CZ357" t="str">
        <f>CONCATENATE($T357,"-M",$U357,"-N")</f>
        <v>E2-M9-N</v>
      </c>
      <c r="DA357" t="str">
        <f t="shared" ref="DA357:DA363" si="370">CONCATENATE($T357,"-A220-M",U357)</f>
        <v>E2-A220-M9</v>
      </c>
      <c r="DB357" t="str">
        <f t="shared" ref="DB357:DB363" si="371">CONCATENATE($T357,"-M",$U357,"-XM01")</f>
        <v>E2-M9-XM01</v>
      </c>
      <c r="DC357" t="str">
        <f t="shared" ref="DC357:DC363" si="372">CONCATENATE($T357,"-M",$U357,"-A1")</f>
        <v>E2-M9-A1</v>
      </c>
      <c r="DD357" t="str">
        <f t="shared" ref="DD357:DD363" si="373">CONCATENATE($T357,"-M",$U357,"-A5")</f>
        <v>E2-M9-A5</v>
      </c>
      <c r="DE357" t="str">
        <f t="shared" ref="DE357:DE363" si="374">CONCATENATE($T357,"-M",$U357,"-A11")</f>
        <v>E2-M9-A11</v>
      </c>
      <c r="DF357" t="str">
        <f t="shared" ref="DF357:DF363" si="375">CONCATENATE($T357,"-M",$U357,"-A12")</f>
        <v>E2-M9-A12</v>
      </c>
      <c r="DG357" t="str">
        <f t="shared" ref="DG357:DG363" si="376">CONCATENATE($T357,"-M",$U357,"-A19")</f>
        <v>E2-M9-A19</v>
      </c>
      <c r="DH357" t="str">
        <f t="shared" ref="DH357:DH363" si="377">CONCATENATE($T357,"-M",$U357,"-A20")</f>
        <v>E2-M9-A20</v>
      </c>
      <c r="DI357" t="s">
        <v>142</v>
      </c>
      <c r="DJ357" t="s">
        <v>143</v>
      </c>
      <c r="DK357">
        <v>11</v>
      </c>
      <c r="DL357">
        <v>14</v>
      </c>
      <c r="DM357">
        <v>12</v>
      </c>
      <c r="DN357" t="s">
        <v>144</v>
      </c>
      <c r="DO357" t="s">
        <v>145</v>
      </c>
      <c r="DP357">
        <v>1</v>
      </c>
      <c r="DQ357">
        <v>2</v>
      </c>
      <c r="DR357">
        <v>3</v>
      </c>
      <c r="DS357">
        <v>4</v>
      </c>
      <c r="DT357">
        <v>5</v>
      </c>
      <c r="DU357">
        <v>6</v>
      </c>
      <c r="DV357">
        <v>7</v>
      </c>
      <c r="DW357">
        <v>8</v>
      </c>
      <c r="DX357">
        <v>9</v>
      </c>
      <c r="DY357">
        <v>10</v>
      </c>
      <c r="DZ357">
        <v>11</v>
      </c>
      <c r="EA357">
        <v>12</v>
      </c>
      <c r="EB357">
        <v>13</v>
      </c>
      <c r="EC357">
        <v>14</v>
      </c>
      <c r="ED357">
        <v>1</v>
      </c>
      <c r="EE357">
        <v>3</v>
      </c>
      <c r="EF357">
        <v>4</v>
      </c>
      <c r="EG357">
        <v>7</v>
      </c>
      <c r="EH357">
        <v>8</v>
      </c>
      <c r="EI357">
        <v>9</v>
      </c>
      <c r="EJ357">
        <v>10</v>
      </c>
      <c r="EK357">
        <v>13</v>
      </c>
      <c r="EL357">
        <v>14</v>
      </c>
      <c r="EM357">
        <v>15</v>
      </c>
      <c r="EN357">
        <v>16</v>
      </c>
      <c r="EO357">
        <v>22</v>
      </c>
      <c r="EP357">
        <v>23</v>
      </c>
      <c r="EQ357" s="16">
        <v>24</v>
      </c>
      <c r="MA357" t="str">
        <f t="shared" si="348"/>
        <v>DI2-B1</v>
      </c>
    </row>
    <row r="358" spans="1:615" x14ac:dyDescent="0.25">
      <c r="A358" s="83" t="s">
        <v>2103</v>
      </c>
      <c r="B358" s="90" t="s">
        <v>2094</v>
      </c>
      <c r="P358" t="s">
        <v>3064</v>
      </c>
      <c r="T358" s="14" t="s">
        <v>2114</v>
      </c>
      <c r="U358">
        <v>10</v>
      </c>
      <c r="V358" t="s">
        <v>2158</v>
      </c>
      <c r="AC358" t="str">
        <f t="shared" si="351"/>
        <v>A5.2</v>
      </c>
      <c r="AD358" s="46">
        <f t="array" ref="AD358">IF(COUNTIFS(AC$340:AC358,AC358)=1,"1",VALUE(SUBSTITUTE(INDEX(AD:AD,_xlfn.XMATCH(AC358,AC$1:AC357,0,-1)),"A",""))+INDEX(AE:AE,_xlfn.XMATCH(AC358,AC$1:AC357,0,-1))+1)</f>
        <v>7</v>
      </c>
      <c r="AE358" s="46">
        <f t="array" ref="AE358">SUM(IF(ISNUMBER(FIND("TmDi",$BE$1:$AAQ$1)),IF(IFERROR(ISNUMBER(VALUE(SUBSTITUTE($BE358:$AAQ358,"B",""))),FALSE),IF(ISNUMBER(VALUE(SUBSTITUTE($BE358:$AAQ358,"B",""))),1,0),0)))</f>
        <v>4</v>
      </c>
      <c r="AF358" t="str">
        <f t="shared" ref="AF358:AF366" si="378">CONCATENATE("C",$AD358)</f>
        <v>C7</v>
      </c>
      <c r="AG358" t="str">
        <f t="shared" ref="AG358:AG366" si="379">CONCATENATE("B",$AD358)</f>
        <v>B7</v>
      </c>
      <c r="AH358" t="str">
        <f t="shared" si="349"/>
        <v>A6.1</v>
      </c>
      <c r="AI358" s="69">
        <f t="array" ref="AI358">IF(COUNTIFS(AH$340:AH358,AH358)=1,"1",VALUE(SUBSTITUTE(INDEX(AI:AI,_xlfn.XMATCH(AH358,AH$1:AH357,0,-1)),"A",""))+INDEX(AJ:AJ,_xlfn.XMATCH(AH358,AH$1:AH357,0,-1))+1)</f>
        <v>20</v>
      </c>
      <c r="AJ358" s="69">
        <f t="array" ref="AJ358">SUM(IF(ISNUMBER(FIND("TmDo",$BE$1:$AAQ$1)),IF(IFERROR(ISNUMBER(VALUE(SUBSTITUTE($BE358:$AAQ358,"B",""))),FALSE),IF(ISNUMBER(VALUE(SUBSTITUTE($BE358:$AAQ358,"B",""))),1,0),0)))</f>
        <v>2</v>
      </c>
      <c r="AK358" t="str">
        <f t="shared" si="342"/>
        <v>20A</v>
      </c>
      <c r="AL358" t="str">
        <f t="shared" si="343"/>
        <v>20B</v>
      </c>
      <c r="AM358" t="s">
        <v>169</v>
      </c>
      <c r="AP358" t="s">
        <v>2116</v>
      </c>
      <c r="AQ358" t="s">
        <v>2134</v>
      </c>
      <c r="AT358" t="s">
        <v>139</v>
      </c>
      <c r="AU358" t="s">
        <v>140</v>
      </c>
      <c r="BE358" t="str">
        <f t="shared" si="352"/>
        <v>XT10</v>
      </c>
      <c r="BF358" t="str">
        <f t="shared" si="353"/>
        <v>C8</v>
      </c>
      <c r="BG358" t="str">
        <f t="shared" si="354"/>
        <v>B8</v>
      </c>
      <c r="BH358" t="str">
        <f t="shared" si="355"/>
        <v>C9</v>
      </c>
      <c r="BI358" t="str">
        <f t="shared" si="356"/>
        <v>B9</v>
      </c>
      <c r="BJ358" t="str">
        <f t="shared" si="357"/>
        <v>C10</v>
      </c>
      <c r="BK358" t="str">
        <f t="shared" si="358"/>
        <v>B10</v>
      </c>
      <c r="BL358" t="str">
        <f>CONCATENATE("C",REPLACE(BJ358,1,1,"")+1)</f>
        <v>C11</v>
      </c>
      <c r="BM358" t="str">
        <f>CONCATENATE("B",REPLACE(BK358,1,1,"")+1)</f>
        <v>B11</v>
      </c>
      <c r="BP358" t="str">
        <f t="shared" si="359"/>
        <v>21A</v>
      </c>
      <c r="BQ358" t="str">
        <f t="shared" si="360"/>
        <v>21B</v>
      </c>
      <c r="BR358" t="str">
        <f t="shared" si="361"/>
        <v>22A</v>
      </c>
      <c r="BS358" t="str">
        <f t="shared" si="362"/>
        <v>22B</v>
      </c>
      <c r="BT358" t="str">
        <f t="shared" si="363"/>
        <v>DI2-C7</v>
      </c>
      <c r="BU358" t="str">
        <f t="shared" si="363"/>
        <v>DI2-B7</v>
      </c>
      <c r="BV358" t="str">
        <f t="shared" si="364"/>
        <v>DI2-C8</v>
      </c>
      <c r="BW358" t="str">
        <f t="shared" si="364"/>
        <v>DI2-B8</v>
      </c>
      <c r="BX358" t="str">
        <f t="shared" si="364"/>
        <v>DI2-C9</v>
      </c>
      <c r="BY358" t="str">
        <f t="shared" si="364"/>
        <v>DI2-B9</v>
      </c>
      <c r="BZ358" t="str">
        <f t="shared" si="364"/>
        <v>DI2-C10</v>
      </c>
      <c r="CA358" t="str">
        <f t="shared" si="364"/>
        <v>DI2-B10</v>
      </c>
      <c r="CB358" t="str">
        <f t="shared" si="364"/>
        <v>DI2-C11</v>
      </c>
      <c r="CC358" t="str">
        <f t="shared" si="364"/>
        <v>DI2-B11</v>
      </c>
      <c r="CD358" t="str">
        <f t="shared" si="364"/>
        <v>DI2-</v>
      </c>
      <c r="CE358" t="str">
        <f t="shared" si="364"/>
        <v>DI2-</v>
      </c>
      <c r="CF358" t="str">
        <f t="shared" si="365"/>
        <v>DO1-20A</v>
      </c>
      <c r="CG358" t="str">
        <f t="shared" si="365"/>
        <v>DO1-20B</v>
      </c>
      <c r="CH358" t="str">
        <f t="shared" si="366"/>
        <v>DO1-21A</v>
      </c>
      <c r="CI358" t="str">
        <f t="shared" si="366"/>
        <v>DO1-21B</v>
      </c>
      <c r="CJ358" t="str">
        <f t="shared" si="366"/>
        <v>DO1-22A</v>
      </c>
      <c r="CK358" t="str">
        <f t="shared" si="366"/>
        <v>DO1-22B</v>
      </c>
      <c r="CL358" t="str">
        <f t="shared" ref="CL358:CL363" si="380">CONCATENATE("K",$U358,"-10")</f>
        <v>K10-10</v>
      </c>
      <c r="CM358" t="str">
        <f t="shared" ref="CM358:CM363" si="381">CONCATENATE("K",$U358,"-03")</f>
        <v>K10-03</v>
      </c>
      <c r="CN358" t="str">
        <f t="shared" ref="CN358:CN363" si="382">CONCATENATE("K",$U358,"-04")</f>
        <v>K10-04</v>
      </c>
      <c r="CO358" t="str">
        <f t="shared" ref="CO358:CO363" si="383">CONCATENATE("K",$U358,"-01")</f>
        <v>K10-01</v>
      </c>
      <c r="CP358" t="str">
        <f t="shared" ref="CP358:CP363" si="384">CONCATENATE("K",$U358,"-08")</f>
        <v>K10-08</v>
      </c>
      <c r="CQ358" t="str">
        <f t="shared" ref="CQ358:CQ363" si="385">CONCATENATE("K",$U358,"-02")</f>
        <v>K10-02</v>
      </c>
      <c r="CR358" t="str">
        <f t="shared" ref="CR358:CR363" si="386">CONCATENATE("K",$U358,"-09")</f>
        <v>K10-09</v>
      </c>
      <c r="CS358" t="str">
        <f t="shared" ref="CS358:CS363" si="387">CONCATENATE("K",$U358,"-05")</f>
        <v>K10-05</v>
      </c>
      <c r="CT358" t="str">
        <f t="shared" ref="CT358:CT363" si="388">CONCATENATE("K",$U358,"-11")</f>
        <v>K10-11</v>
      </c>
      <c r="CU358" t="str">
        <f t="shared" si="367"/>
        <v>E2-M10-A9</v>
      </c>
      <c r="CV358" t="str">
        <f t="shared" ref="CV358:CV363" si="389">CONCATENATE($T358,"-M",$U358,"-A7")</f>
        <v>E2-M10-A7</v>
      </c>
      <c r="CW358" t="str">
        <f t="shared" ref="CW358:CW363" si="390">CONCATENATE($T358,"-M",$U358,"-A8")</f>
        <v>E2-M10-A8</v>
      </c>
      <c r="CX358" t="str">
        <f t="shared" si="368"/>
        <v>E2-M10-A6</v>
      </c>
      <c r="CY358" t="str">
        <f t="shared" si="369"/>
        <v>E2-M10-A30</v>
      </c>
      <c r="CZ358" t="str">
        <f t="shared" ref="CZ358:CZ363" si="391">CONCATENATE($T358,"-M",$U358,"-N")</f>
        <v>E2-M10-N</v>
      </c>
      <c r="DA358" t="str">
        <f t="shared" si="370"/>
        <v>E2-A220-M10</v>
      </c>
      <c r="DB358" t="str">
        <f t="shared" si="371"/>
        <v>E2-M10-XM01</v>
      </c>
      <c r="DC358" t="str">
        <f t="shared" si="372"/>
        <v>E2-M10-A1</v>
      </c>
      <c r="DD358" t="str">
        <f t="shared" si="373"/>
        <v>E2-M10-A5</v>
      </c>
      <c r="DE358" t="str">
        <f t="shared" si="374"/>
        <v>E2-M10-A11</v>
      </c>
      <c r="DF358" t="str">
        <f t="shared" si="375"/>
        <v>E2-M10-A12</v>
      </c>
      <c r="DG358" t="str">
        <f t="shared" si="376"/>
        <v>E2-M10-A19</v>
      </c>
      <c r="DH358" t="str">
        <f t="shared" si="377"/>
        <v>E2-M10-A20</v>
      </c>
      <c r="DI358" t="s">
        <v>142</v>
      </c>
      <c r="DJ358" t="s">
        <v>143</v>
      </c>
      <c r="DK358">
        <v>11</v>
      </c>
      <c r="DL358">
        <v>14</v>
      </c>
      <c r="DM358">
        <v>12</v>
      </c>
      <c r="DN358" t="s">
        <v>144</v>
      </c>
      <c r="DO358" t="s">
        <v>145</v>
      </c>
      <c r="DP358">
        <v>1</v>
      </c>
      <c r="DQ358">
        <v>2</v>
      </c>
      <c r="DR358">
        <v>3</v>
      </c>
      <c r="DS358">
        <v>4</v>
      </c>
      <c r="DT358">
        <v>5</v>
      </c>
      <c r="DU358">
        <v>6</v>
      </c>
      <c r="DV358">
        <v>7</v>
      </c>
      <c r="DX358">
        <v>8</v>
      </c>
      <c r="DY358">
        <v>9</v>
      </c>
      <c r="DZ358">
        <v>10</v>
      </c>
      <c r="EA358">
        <v>11</v>
      </c>
      <c r="EB358">
        <v>12</v>
      </c>
      <c r="EC358">
        <v>13</v>
      </c>
      <c r="ED358" t="s">
        <v>3065</v>
      </c>
      <c r="EE358" t="s">
        <v>3065</v>
      </c>
      <c r="EF358" t="s">
        <v>3065</v>
      </c>
      <c r="EG358" t="s">
        <v>3065</v>
      </c>
      <c r="EH358" t="s">
        <v>3065</v>
      </c>
      <c r="EI358" t="s">
        <v>3065</v>
      </c>
      <c r="EJ358" t="s">
        <v>3065</v>
      </c>
      <c r="EK358" t="s">
        <v>3065</v>
      </c>
      <c r="EL358" t="s">
        <v>3065</v>
      </c>
      <c r="EM358" t="s">
        <v>3065</v>
      </c>
      <c r="EN358" t="s">
        <v>3065</v>
      </c>
      <c r="EO358" t="s">
        <v>3065</v>
      </c>
      <c r="EP358" t="s">
        <v>3065</v>
      </c>
      <c r="EQ358" s="16" t="s">
        <v>3065</v>
      </c>
      <c r="MA358" t="str">
        <f t="shared" si="348"/>
        <v>DI2-B7</v>
      </c>
    </row>
    <row r="359" spans="1:615" x14ac:dyDescent="0.25">
      <c r="A359" s="83" t="s">
        <v>2102</v>
      </c>
      <c r="B359" s="90" t="s">
        <v>2095</v>
      </c>
      <c r="P359" t="s">
        <v>3064</v>
      </c>
      <c r="T359" s="14" t="s">
        <v>2114</v>
      </c>
      <c r="U359">
        <v>11</v>
      </c>
      <c r="V359" t="s">
        <v>2159</v>
      </c>
      <c r="AC359" t="str">
        <f t="shared" si="351"/>
        <v>A5.2</v>
      </c>
      <c r="AD359" s="46">
        <f t="array" ref="AD359">IF(COUNTIFS(AC$340:AC359,AC359)=1,"1",VALUE(SUBSTITUTE(INDEX(AD:AD,_xlfn.XMATCH(AC359,AC$1:AC358,0,-1)),"A",""))+INDEX(AE:AE,_xlfn.XMATCH(AC359,AC$1:AC358,0,-1))+1)</f>
        <v>12</v>
      </c>
      <c r="AE359" s="46">
        <f t="array" ref="AE359">SUM(IF(ISNUMBER(FIND("TmDi",$BE$1:$AAQ$1)),IF(IFERROR(ISNUMBER(VALUE(SUBSTITUTE($BE359:$AAQ359,"B",""))),FALSE),IF(ISNUMBER(VALUE(SUBSTITUTE($BE359:$AAQ359,"B",""))),1,0),0)))</f>
        <v>4</v>
      </c>
      <c r="AF359" t="str">
        <f t="shared" si="378"/>
        <v>C12</v>
      </c>
      <c r="AG359" t="str">
        <f t="shared" si="379"/>
        <v>B12</v>
      </c>
      <c r="AH359" t="str">
        <f t="shared" si="349"/>
        <v>A6.1</v>
      </c>
      <c r="AI359" s="69">
        <f t="array" ref="AI359">IF(COUNTIFS(AH$340:AH359,AH359)=1,"1",VALUE(SUBSTITUTE(INDEX(AI:AI,_xlfn.XMATCH(AH359,AH$1:AH358,0,-1)),"A",""))+INDEX(AJ:AJ,_xlfn.XMATCH(AH359,AH$1:AH358,0,-1))+1)</f>
        <v>23</v>
      </c>
      <c r="AJ359" s="69">
        <f t="array" ref="AJ359">SUM(IF(ISNUMBER(FIND("TmDo",$BE$1:$AAQ$1)),IF(IFERROR(ISNUMBER(VALUE(SUBSTITUTE($BE359:$AAQ359,"B",""))),FALSE),IF(ISNUMBER(VALUE(SUBSTITUTE($BE359:$AAQ359,"B",""))),1,0),0)))</f>
        <v>2</v>
      </c>
      <c r="AK359" t="str">
        <f t="shared" si="342"/>
        <v>23A</v>
      </c>
      <c r="AL359" t="str">
        <f t="shared" si="343"/>
        <v>23B</v>
      </c>
      <c r="AM359" t="s">
        <v>172</v>
      </c>
      <c r="AP359" t="s">
        <v>2116</v>
      </c>
      <c r="AQ359" t="s">
        <v>2134</v>
      </c>
      <c r="AT359" t="s">
        <v>139</v>
      </c>
      <c r="AU359" t="s">
        <v>140</v>
      </c>
      <c r="BE359" t="str">
        <f t="shared" si="352"/>
        <v>XT11</v>
      </c>
      <c r="BF359" t="str">
        <f t="shared" si="353"/>
        <v>C13</v>
      </c>
      <c r="BG359" t="str">
        <f t="shared" si="354"/>
        <v>B13</v>
      </c>
      <c r="BH359" t="str">
        <f t="shared" si="355"/>
        <v>C14</v>
      </c>
      <c r="BI359" t="str">
        <f t="shared" si="356"/>
        <v>B14</v>
      </c>
      <c r="BJ359" t="str">
        <f t="shared" si="357"/>
        <v>C15</v>
      </c>
      <c r="BK359" t="str">
        <f t="shared" si="358"/>
        <v>B15</v>
      </c>
      <c r="BL359" t="str">
        <f>CONCATENATE("C",REPLACE(BJ359,1,1,"")+1)</f>
        <v>C16</v>
      </c>
      <c r="BM359" t="str">
        <f>CONCATENATE("B",REPLACE(BK359,1,1,"")+1)</f>
        <v>B16</v>
      </c>
      <c r="BP359" t="str">
        <f t="shared" si="359"/>
        <v>24A</v>
      </c>
      <c r="BQ359" t="str">
        <f t="shared" si="360"/>
        <v>24B</v>
      </c>
      <c r="BR359" t="str">
        <f t="shared" si="361"/>
        <v>25A</v>
      </c>
      <c r="BS359" t="str">
        <f t="shared" si="362"/>
        <v>25B</v>
      </c>
      <c r="BT359" t="str">
        <f t="shared" si="363"/>
        <v>DI2-C12</v>
      </c>
      <c r="BU359" t="str">
        <f t="shared" si="363"/>
        <v>DI2-B12</v>
      </c>
      <c r="BV359" t="str">
        <f t="shared" si="364"/>
        <v>DI2-C13</v>
      </c>
      <c r="BW359" t="str">
        <f t="shared" si="364"/>
        <v>DI2-B13</v>
      </c>
      <c r="BX359" t="str">
        <f t="shared" si="364"/>
        <v>DI2-C14</v>
      </c>
      <c r="BY359" t="str">
        <f t="shared" si="364"/>
        <v>DI2-B14</v>
      </c>
      <c r="BZ359" t="str">
        <f t="shared" si="364"/>
        <v>DI2-C15</v>
      </c>
      <c r="CA359" t="str">
        <f t="shared" si="364"/>
        <v>DI2-B15</v>
      </c>
      <c r="CB359" t="str">
        <f t="shared" si="364"/>
        <v>DI2-C16</v>
      </c>
      <c r="CC359" t="str">
        <f t="shared" si="364"/>
        <v>DI2-B16</v>
      </c>
      <c r="CD359" t="str">
        <f t="shared" si="364"/>
        <v>DI2-</v>
      </c>
      <c r="CE359" t="str">
        <f t="shared" si="364"/>
        <v>DI2-</v>
      </c>
      <c r="CF359" t="str">
        <f t="shared" si="365"/>
        <v>DO1-23A</v>
      </c>
      <c r="CG359" t="str">
        <f t="shared" si="365"/>
        <v>DO1-23B</v>
      </c>
      <c r="CH359" t="str">
        <f t="shared" si="366"/>
        <v>DO1-24A</v>
      </c>
      <c r="CI359" t="str">
        <f t="shared" si="366"/>
        <v>DO1-24B</v>
      </c>
      <c r="CJ359" t="str">
        <f t="shared" si="366"/>
        <v>DO1-25A</v>
      </c>
      <c r="CK359" t="str">
        <f t="shared" si="366"/>
        <v>DO1-25B</v>
      </c>
      <c r="CL359" t="str">
        <f t="shared" si="380"/>
        <v>K11-10</v>
      </c>
      <c r="CM359" t="str">
        <f t="shared" si="381"/>
        <v>K11-03</v>
      </c>
      <c r="CN359" t="str">
        <f t="shared" si="382"/>
        <v>K11-04</v>
      </c>
      <c r="CO359" t="str">
        <f t="shared" si="383"/>
        <v>K11-01</v>
      </c>
      <c r="CP359" t="str">
        <f t="shared" si="384"/>
        <v>K11-08</v>
      </c>
      <c r="CQ359" t="str">
        <f t="shared" si="385"/>
        <v>K11-02</v>
      </c>
      <c r="CR359" t="str">
        <f t="shared" si="386"/>
        <v>K11-09</v>
      </c>
      <c r="CS359" t="str">
        <f t="shared" si="387"/>
        <v>K11-05</v>
      </c>
      <c r="CT359" t="str">
        <f t="shared" si="388"/>
        <v>K11-11</v>
      </c>
      <c r="CU359" t="str">
        <f t="shared" si="367"/>
        <v>E2-M11-A9</v>
      </c>
      <c r="CV359" t="str">
        <f t="shared" si="389"/>
        <v>E2-M11-A7</v>
      </c>
      <c r="CW359" t="str">
        <f t="shared" si="390"/>
        <v>E2-M11-A8</v>
      </c>
      <c r="CX359" t="str">
        <f t="shared" si="368"/>
        <v>E2-M11-A6</v>
      </c>
      <c r="CY359" t="str">
        <f t="shared" si="369"/>
        <v>E2-M11-A30</v>
      </c>
      <c r="CZ359" t="str">
        <f t="shared" si="391"/>
        <v>E2-M11-N</v>
      </c>
      <c r="DA359" t="str">
        <f t="shared" si="370"/>
        <v>E2-A220-M11</v>
      </c>
      <c r="DB359" t="str">
        <f t="shared" si="371"/>
        <v>E2-M11-XM01</v>
      </c>
      <c r="DC359" t="str">
        <f t="shared" si="372"/>
        <v>E2-M11-A1</v>
      </c>
      <c r="DD359" t="str">
        <f t="shared" si="373"/>
        <v>E2-M11-A5</v>
      </c>
      <c r="DE359" t="str">
        <f t="shared" si="374"/>
        <v>E2-M11-A11</v>
      </c>
      <c r="DF359" t="str">
        <f t="shared" si="375"/>
        <v>E2-M11-A12</v>
      </c>
      <c r="DG359" t="str">
        <f t="shared" si="376"/>
        <v>E2-M11-A19</v>
      </c>
      <c r="DH359" t="str">
        <f t="shared" si="377"/>
        <v>E2-M11-A20</v>
      </c>
      <c r="DI359" t="s">
        <v>142</v>
      </c>
      <c r="DJ359" t="s">
        <v>143</v>
      </c>
      <c r="DK359">
        <v>11</v>
      </c>
      <c r="DL359">
        <v>14</v>
      </c>
      <c r="DM359">
        <v>12</v>
      </c>
      <c r="DN359" t="s">
        <v>144</v>
      </c>
      <c r="DO359" t="str">
        <f>DO358</f>
        <v>L6</v>
      </c>
      <c r="DP359">
        <v>1</v>
      </c>
      <c r="DQ359">
        <v>2</v>
      </c>
      <c r="DR359">
        <v>3</v>
      </c>
      <c r="DS359">
        <v>4</v>
      </c>
      <c r="DT359">
        <v>5</v>
      </c>
      <c r="DU359">
        <v>6</v>
      </c>
      <c r="DV359">
        <v>7</v>
      </c>
      <c r="DX359">
        <v>8</v>
      </c>
      <c r="DY359">
        <v>9</v>
      </c>
      <c r="DZ359">
        <v>10</v>
      </c>
      <c r="EA359">
        <v>11</v>
      </c>
      <c r="EB359">
        <v>12</v>
      </c>
      <c r="EC359">
        <v>13</v>
      </c>
      <c r="ED359" t="s">
        <v>3065</v>
      </c>
      <c r="EE359" t="s">
        <v>3065</v>
      </c>
      <c r="EF359" t="s">
        <v>3065</v>
      </c>
      <c r="EG359" t="s">
        <v>3065</v>
      </c>
      <c r="EH359" t="s">
        <v>3065</v>
      </c>
      <c r="EI359" t="s">
        <v>3065</v>
      </c>
      <c r="EJ359" t="s">
        <v>3065</v>
      </c>
      <c r="EK359" t="s">
        <v>3065</v>
      </c>
      <c r="EL359" t="s">
        <v>3065</v>
      </c>
      <c r="EM359" t="s">
        <v>3065</v>
      </c>
      <c r="EN359" t="s">
        <v>3065</v>
      </c>
      <c r="EO359" t="s">
        <v>3065</v>
      </c>
      <c r="EP359" t="s">
        <v>3065</v>
      </c>
      <c r="EQ359" s="16" t="s">
        <v>3065</v>
      </c>
      <c r="MA359" t="str">
        <f t="shared" si="348"/>
        <v>DI2-B12</v>
      </c>
    </row>
    <row r="360" spans="1:615" x14ac:dyDescent="0.25">
      <c r="A360" s="83" t="s">
        <v>2101</v>
      </c>
      <c r="B360" s="90" t="s">
        <v>2096</v>
      </c>
      <c r="P360" t="s">
        <v>3064</v>
      </c>
      <c r="T360" s="14" t="s">
        <v>2114</v>
      </c>
      <c r="U360">
        <v>12</v>
      </c>
      <c r="V360" t="s">
        <v>2160</v>
      </c>
      <c r="AC360" t="str">
        <f t="shared" si="351"/>
        <v>A5.2</v>
      </c>
      <c r="AD360" s="46">
        <f t="array" ref="AD360">IF(COUNTIFS(AC$340:AC360,AC360)=1,"1",VALUE(SUBSTITUTE(INDEX(AD:AD,_xlfn.XMATCH(AC360,AC$1:AC359,0,-1)),"A",""))+INDEX(AE:AE,_xlfn.XMATCH(AC360,AC$1:AC359,0,-1))+1)</f>
        <v>17</v>
      </c>
      <c r="AE360" s="46">
        <f t="array" ref="AE360">SUM(IF(ISNUMBER(FIND("TmDi",$BE$1:$AAQ$1)),IF(IFERROR(ISNUMBER(VALUE(SUBSTITUTE($BE360:$AAQ360,"B",""))),FALSE),IF(ISNUMBER(VALUE(SUBSTITUTE($BE360:$AAQ360,"B",""))),1,0),0)))</f>
        <v>4</v>
      </c>
      <c r="AF360" t="str">
        <f t="shared" si="378"/>
        <v>C17</v>
      </c>
      <c r="AG360" t="str">
        <f t="shared" si="379"/>
        <v>B17</v>
      </c>
      <c r="AH360" t="str">
        <f t="shared" si="349"/>
        <v>A6.1</v>
      </c>
      <c r="AI360" s="69">
        <f t="array" ref="AI360">IF(COUNTIFS(AH$340:AH360,AH360)=1,"1",VALUE(SUBSTITUTE(INDEX(AI:AI,_xlfn.XMATCH(AH360,AH$1:AH359,0,-1)),"A",""))+INDEX(AJ:AJ,_xlfn.XMATCH(AH360,AH$1:AH359,0,-1))+1)</f>
        <v>26</v>
      </c>
      <c r="AJ360" s="69">
        <f t="array" ref="AJ360">SUM(IF(ISNUMBER(FIND("TmDo",$BE$1:$AAQ$1)),IF(IFERROR(ISNUMBER(VALUE(SUBSTITUTE($BE360:$AAQ360,"B",""))),FALSE),IF(ISNUMBER(VALUE(SUBSTITUTE($BE360:$AAQ360,"B",""))),1,0),0)))</f>
        <v>2</v>
      </c>
      <c r="AK360" t="str">
        <f t="shared" si="342"/>
        <v>26A</v>
      </c>
      <c r="AL360" t="str">
        <f t="shared" si="343"/>
        <v>26B</v>
      </c>
      <c r="AM360" t="s">
        <v>175</v>
      </c>
      <c r="AP360" t="s">
        <v>2116</v>
      </c>
      <c r="AQ360" t="s">
        <v>2134</v>
      </c>
      <c r="AT360" t="s">
        <v>139</v>
      </c>
      <c r="AU360" t="s">
        <v>140</v>
      </c>
      <c r="BE360" t="str">
        <f t="shared" si="352"/>
        <v>XT12</v>
      </c>
      <c r="BF360" t="str">
        <f t="shared" si="353"/>
        <v>C18</v>
      </c>
      <c r="BG360" t="str">
        <f t="shared" si="354"/>
        <v>B18</v>
      </c>
      <c r="BH360" t="str">
        <f t="shared" si="355"/>
        <v>C19</v>
      </c>
      <c r="BI360" t="str">
        <f t="shared" si="356"/>
        <v>B19</v>
      </c>
      <c r="BJ360" t="str">
        <f t="shared" si="357"/>
        <v>C20</v>
      </c>
      <c r="BK360" t="str">
        <f t="shared" si="358"/>
        <v>B20</v>
      </c>
      <c r="BL360" t="str">
        <f>CONCATENATE("C",REPLACE(BJ360,1,1,"")+1)</f>
        <v>C21</v>
      </c>
      <c r="BM360" t="str">
        <f>CONCATENATE("B",REPLACE(BK360,1,1,"")+1)</f>
        <v>B21</v>
      </c>
      <c r="BP360" t="str">
        <f t="shared" si="359"/>
        <v>27A</v>
      </c>
      <c r="BQ360" t="str">
        <f t="shared" si="360"/>
        <v>27B</v>
      </c>
      <c r="BR360" t="str">
        <f t="shared" si="361"/>
        <v>28A</v>
      </c>
      <c r="BS360" t="str">
        <f t="shared" si="362"/>
        <v>28B</v>
      </c>
      <c r="BT360" t="str">
        <f t="shared" si="363"/>
        <v>DI2-C17</v>
      </c>
      <c r="BU360" t="str">
        <f t="shared" si="363"/>
        <v>DI2-B17</v>
      </c>
      <c r="BV360" t="str">
        <f t="shared" si="364"/>
        <v>DI2-C18</v>
      </c>
      <c r="BW360" t="str">
        <f t="shared" si="364"/>
        <v>DI2-B18</v>
      </c>
      <c r="BX360" t="str">
        <f t="shared" si="364"/>
        <v>DI2-C19</v>
      </c>
      <c r="BY360" t="str">
        <f t="shared" si="364"/>
        <v>DI2-B19</v>
      </c>
      <c r="BZ360" t="str">
        <f t="shared" si="364"/>
        <v>DI2-C20</v>
      </c>
      <c r="CA360" t="str">
        <f t="shared" si="364"/>
        <v>DI2-B20</v>
      </c>
      <c r="CB360" t="str">
        <f t="shared" si="364"/>
        <v>DI2-C21</v>
      </c>
      <c r="CC360" t="str">
        <f t="shared" si="364"/>
        <v>DI2-B21</v>
      </c>
      <c r="CD360" t="str">
        <f t="shared" si="364"/>
        <v>DI2-</v>
      </c>
      <c r="CE360" t="str">
        <f t="shared" si="364"/>
        <v>DI2-</v>
      </c>
      <c r="CF360" t="str">
        <f t="shared" si="365"/>
        <v>DO1-26A</v>
      </c>
      <c r="CG360" t="str">
        <f t="shared" si="365"/>
        <v>DO1-26B</v>
      </c>
      <c r="CH360" t="str">
        <f t="shared" si="366"/>
        <v>DO1-27A</v>
      </c>
      <c r="CI360" t="str">
        <f t="shared" si="366"/>
        <v>DO1-27B</v>
      </c>
      <c r="CJ360" t="str">
        <f t="shared" si="366"/>
        <v>DO1-28A</v>
      </c>
      <c r="CK360" t="str">
        <f t="shared" si="366"/>
        <v>DO1-28B</v>
      </c>
      <c r="CL360" t="str">
        <f t="shared" si="380"/>
        <v>K12-10</v>
      </c>
      <c r="CM360" t="str">
        <f t="shared" si="381"/>
        <v>K12-03</v>
      </c>
      <c r="CN360" t="str">
        <f t="shared" si="382"/>
        <v>K12-04</v>
      </c>
      <c r="CO360" t="str">
        <f t="shared" si="383"/>
        <v>K12-01</v>
      </c>
      <c r="CP360" t="str">
        <f t="shared" si="384"/>
        <v>K12-08</v>
      </c>
      <c r="CQ360" t="str">
        <f t="shared" si="385"/>
        <v>K12-02</v>
      </c>
      <c r="CR360" t="str">
        <f t="shared" si="386"/>
        <v>K12-09</v>
      </c>
      <c r="CS360" t="str">
        <f t="shared" si="387"/>
        <v>K12-05</v>
      </c>
      <c r="CT360" t="str">
        <f t="shared" si="388"/>
        <v>K12-11</v>
      </c>
      <c r="CU360" t="str">
        <f t="shared" si="367"/>
        <v>E2-M12-A9</v>
      </c>
      <c r="CV360" t="str">
        <f t="shared" si="389"/>
        <v>E2-M12-A7</v>
      </c>
      <c r="CW360" t="str">
        <f t="shared" si="390"/>
        <v>E2-M12-A8</v>
      </c>
      <c r="CX360" t="str">
        <f t="shared" si="368"/>
        <v>E2-M12-A6</v>
      </c>
      <c r="CY360" t="str">
        <f t="shared" si="369"/>
        <v>E2-M12-A30</v>
      </c>
      <c r="CZ360" t="str">
        <f t="shared" si="391"/>
        <v>E2-M12-N</v>
      </c>
      <c r="DA360" t="str">
        <f t="shared" si="370"/>
        <v>E2-A220-M12</v>
      </c>
      <c r="DB360" t="str">
        <f t="shared" si="371"/>
        <v>E2-M12-XM01</v>
      </c>
      <c r="DC360" t="str">
        <f t="shared" si="372"/>
        <v>E2-M12-A1</v>
      </c>
      <c r="DD360" t="str">
        <f t="shared" si="373"/>
        <v>E2-M12-A5</v>
      </c>
      <c r="DE360" t="str">
        <f t="shared" si="374"/>
        <v>E2-M12-A11</v>
      </c>
      <c r="DF360" t="str">
        <f t="shared" si="375"/>
        <v>E2-M12-A12</v>
      </c>
      <c r="DG360" t="str">
        <f t="shared" si="376"/>
        <v>E2-M12-A19</v>
      </c>
      <c r="DH360" t="str">
        <f t="shared" si="377"/>
        <v>E2-M12-A20</v>
      </c>
      <c r="DI360" t="s">
        <v>142</v>
      </c>
      <c r="DJ360" t="s">
        <v>143</v>
      </c>
      <c r="DK360">
        <v>11</v>
      </c>
      <c r="DL360">
        <v>14</v>
      </c>
      <c r="DM360">
        <v>12</v>
      </c>
      <c r="DN360" t="s">
        <v>144</v>
      </c>
      <c r="DO360" t="str">
        <f>DO359</f>
        <v>L6</v>
      </c>
      <c r="DP360">
        <v>1</v>
      </c>
      <c r="DQ360">
        <v>2</v>
      </c>
      <c r="DR360">
        <v>3</v>
      </c>
      <c r="DS360">
        <v>4</v>
      </c>
      <c r="DT360">
        <v>5</v>
      </c>
      <c r="DU360">
        <v>6</v>
      </c>
      <c r="DV360">
        <v>7</v>
      </c>
      <c r="DX360">
        <v>8</v>
      </c>
      <c r="DY360">
        <v>9</v>
      </c>
      <c r="DZ360">
        <v>10</v>
      </c>
      <c r="EA360">
        <v>11</v>
      </c>
      <c r="EB360">
        <v>12</v>
      </c>
      <c r="EC360">
        <v>13</v>
      </c>
      <c r="ED360" t="s">
        <v>3065</v>
      </c>
      <c r="EE360" t="s">
        <v>3065</v>
      </c>
      <c r="EF360" t="s">
        <v>3065</v>
      </c>
      <c r="EG360" t="s">
        <v>3065</v>
      </c>
      <c r="EH360" t="s">
        <v>3065</v>
      </c>
      <c r="EI360" t="s">
        <v>3065</v>
      </c>
      <c r="EJ360" t="s">
        <v>3065</v>
      </c>
      <c r="EK360" t="s">
        <v>3065</v>
      </c>
      <c r="EL360" t="s">
        <v>3065</v>
      </c>
      <c r="EM360" t="s">
        <v>3065</v>
      </c>
      <c r="EN360" t="s">
        <v>3065</v>
      </c>
      <c r="EO360" t="s">
        <v>3065</v>
      </c>
      <c r="EP360" t="s">
        <v>3065</v>
      </c>
      <c r="EQ360" s="16" t="s">
        <v>3065</v>
      </c>
      <c r="MA360" t="str">
        <f t="shared" si="348"/>
        <v>DI2-B17</v>
      </c>
    </row>
    <row r="361" spans="1:615" x14ac:dyDescent="0.25">
      <c r="A361" s="83" t="s">
        <v>2104</v>
      </c>
      <c r="B361" s="90" t="s">
        <v>2093</v>
      </c>
      <c r="P361" t="s">
        <v>3064</v>
      </c>
      <c r="T361" s="14" t="s">
        <v>2114</v>
      </c>
      <c r="U361">
        <v>13</v>
      </c>
      <c r="V361" t="s">
        <v>2161</v>
      </c>
      <c r="AC361" t="str">
        <f t="shared" si="351"/>
        <v>A5.2</v>
      </c>
      <c r="AD361" s="46">
        <f t="array" ref="AD361">IF(COUNTIFS(AC$340:AC361,AC361)=1,"1",VALUE(SUBSTITUTE(INDEX(AD:AD,_xlfn.XMATCH(AC361,AC$1:AC360,0,-1)),"A",""))+INDEX(AE:AE,_xlfn.XMATCH(AC361,AC$1:AC360,0,-1))+1)</f>
        <v>22</v>
      </c>
      <c r="AE361" s="46">
        <f t="array" ref="AE361">SUM(IF(ISNUMBER(FIND("TmDi",$BE$1:$AAQ$1)),IF(IFERROR(ISNUMBER(VALUE(SUBSTITUTE($BE361:$AAQ361,"B",""))),FALSE),IF(ISNUMBER(VALUE(SUBSTITUTE($BE361:$AAQ361,"B",""))),1,0),0)))</f>
        <v>4</v>
      </c>
      <c r="AF361" t="str">
        <f t="shared" si="378"/>
        <v>C22</v>
      </c>
      <c r="AG361" t="str">
        <f t="shared" si="379"/>
        <v>B22</v>
      </c>
      <c r="AH361" t="str">
        <f>IF(AI360+AJ360&gt;27,REPLACE(AH360,LEN(AH360),1,VALUE(RIGHT(AH360,1))+1),AH360)</f>
        <v>A6.2</v>
      </c>
      <c r="AI361" s="69" t="str">
        <f t="array" ref="AI361">IF(COUNTIFS(AH$340:AH361,AH361)=1,"1",VALUE(SUBSTITUTE(INDEX(AI:AI,_xlfn.XMATCH(AH361,AH$1:AH360,0,-1)),"A",""))+INDEX(AJ:AJ,_xlfn.XMATCH(AH361,AH$1:AH360,0,-1))+1)</f>
        <v>1</v>
      </c>
      <c r="AJ361" s="69">
        <f t="array" ref="AJ361">SUM(IF(ISNUMBER(FIND("TmDo",$BE$1:$AAQ$1)),IF(IFERROR(ISNUMBER(VALUE(SUBSTITUTE($BE361:$AAQ361,"B",""))),FALSE),IF(ISNUMBER(VALUE(SUBSTITUTE($BE361:$AAQ361,"B",""))),1,0),0)))</f>
        <v>2</v>
      </c>
      <c r="AK361" t="str">
        <f t="shared" si="342"/>
        <v>1A</v>
      </c>
      <c r="AL361" t="str">
        <f t="shared" si="343"/>
        <v>1B</v>
      </c>
      <c r="AM361" t="s">
        <v>178</v>
      </c>
      <c r="AP361" t="s">
        <v>2116</v>
      </c>
      <c r="AQ361" t="s">
        <v>2134</v>
      </c>
      <c r="AT361" t="s">
        <v>139</v>
      </c>
      <c r="AU361" t="s">
        <v>140</v>
      </c>
      <c r="BE361" t="str">
        <f t="shared" si="352"/>
        <v>XT13</v>
      </c>
      <c r="BF361" t="str">
        <f t="shared" si="353"/>
        <v>C23</v>
      </c>
      <c r="BG361" t="str">
        <f t="shared" si="354"/>
        <v>B23</v>
      </c>
      <c r="BH361" t="str">
        <f t="shared" si="355"/>
        <v>C24</v>
      </c>
      <c r="BI361" t="str">
        <f t="shared" si="356"/>
        <v>B24</v>
      </c>
      <c r="BJ361" t="str">
        <f t="shared" si="357"/>
        <v>C25</v>
      </c>
      <c r="BK361" t="str">
        <f t="shared" si="358"/>
        <v>B25</v>
      </c>
      <c r="BL361" t="str">
        <f>CONCATENATE("C",REPLACE(BJ361,1,1,"")+1)</f>
        <v>C26</v>
      </c>
      <c r="BM361" t="str">
        <f>CONCATENATE("B",REPLACE(BK361,1,1,"")+1)</f>
        <v>B26</v>
      </c>
      <c r="BP361" t="str">
        <f t="shared" si="359"/>
        <v>2A</v>
      </c>
      <c r="BQ361" t="str">
        <f t="shared" si="360"/>
        <v>2B</v>
      </c>
      <c r="BR361" t="str">
        <f t="shared" si="361"/>
        <v>3A</v>
      </c>
      <c r="BS361" t="str">
        <f t="shared" si="362"/>
        <v>3B</v>
      </c>
      <c r="BT361" t="str">
        <f t="shared" si="363"/>
        <v>DI2-C22</v>
      </c>
      <c r="BU361" t="str">
        <f t="shared" si="363"/>
        <v>DI2-B22</v>
      </c>
      <c r="BV361" t="str">
        <f t="shared" si="364"/>
        <v>DI2-C23</v>
      </c>
      <c r="BW361" t="str">
        <f t="shared" si="364"/>
        <v>DI2-B23</v>
      </c>
      <c r="BX361" t="str">
        <f t="shared" si="364"/>
        <v>DI2-C24</v>
      </c>
      <c r="BY361" t="str">
        <f t="shared" si="364"/>
        <v>DI2-B24</v>
      </c>
      <c r="BZ361" t="str">
        <f t="shared" si="364"/>
        <v>DI2-C25</v>
      </c>
      <c r="CA361" t="str">
        <f t="shared" si="364"/>
        <v>DI2-B25</v>
      </c>
      <c r="CB361" t="str">
        <f t="shared" si="364"/>
        <v>DI2-C26</v>
      </c>
      <c r="CC361" t="str">
        <f t="shared" si="364"/>
        <v>DI2-B26</v>
      </c>
      <c r="CD361" t="str">
        <f t="shared" si="364"/>
        <v>DI2-</v>
      </c>
      <c r="CE361" t="str">
        <f t="shared" si="364"/>
        <v>DI2-</v>
      </c>
      <c r="CF361" t="str">
        <f t="shared" si="365"/>
        <v>DO2-1A</v>
      </c>
      <c r="CG361" t="str">
        <f t="shared" si="365"/>
        <v>DO2-1B</v>
      </c>
      <c r="CH361" t="str">
        <f t="shared" si="366"/>
        <v>DO2-2A</v>
      </c>
      <c r="CI361" t="str">
        <f t="shared" si="366"/>
        <v>DO2-2B</v>
      </c>
      <c r="CJ361" t="str">
        <f t="shared" si="366"/>
        <v>DO2-3A</v>
      </c>
      <c r="CK361" t="str">
        <f t="shared" si="366"/>
        <v>DO2-3B</v>
      </c>
      <c r="CL361" t="str">
        <f t="shared" si="380"/>
        <v>K13-10</v>
      </c>
      <c r="CM361" t="str">
        <f t="shared" si="381"/>
        <v>K13-03</v>
      </c>
      <c r="CN361" t="str">
        <f t="shared" si="382"/>
        <v>K13-04</v>
      </c>
      <c r="CO361" t="str">
        <f t="shared" si="383"/>
        <v>K13-01</v>
      </c>
      <c r="CP361" t="str">
        <f t="shared" si="384"/>
        <v>K13-08</v>
      </c>
      <c r="CQ361" t="str">
        <f t="shared" si="385"/>
        <v>K13-02</v>
      </c>
      <c r="CR361" t="str">
        <f t="shared" si="386"/>
        <v>K13-09</v>
      </c>
      <c r="CS361" t="str">
        <f t="shared" si="387"/>
        <v>K13-05</v>
      </c>
      <c r="CT361" t="str">
        <f t="shared" si="388"/>
        <v>K13-11</v>
      </c>
      <c r="CU361" t="str">
        <f t="shared" si="367"/>
        <v>E2-M13-A9</v>
      </c>
      <c r="CV361" t="str">
        <f t="shared" si="389"/>
        <v>E2-M13-A7</v>
      </c>
      <c r="CW361" t="str">
        <f t="shared" si="390"/>
        <v>E2-M13-A8</v>
      </c>
      <c r="CX361" t="str">
        <f t="shared" si="368"/>
        <v>E2-M13-A6</v>
      </c>
      <c r="CY361" t="str">
        <f t="shared" si="369"/>
        <v>E2-M13-A30</v>
      </c>
      <c r="CZ361" t="str">
        <f t="shared" si="391"/>
        <v>E2-M13-N</v>
      </c>
      <c r="DA361" t="str">
        <f t="shared" si="370"/>
        <v>E2-A220-M13</v>
      </c>
      <c r="DB361" t="str">
        <f t="shared" si="371"/>
        <v>E2-M13-XM01</v>
      </c>
      <c r="DC361" t="str">
        <f t="shared" si="372"/>
        <v>E2-M13-A1</v>
      </c>
      <c r="DD361" t="str">
        <f t="shared" si="373"/>
        <v>E2-M13-A5</v>
      </c>
      <c r="DE361" t="str">
        <f t="shared" si="374"/>
        <v>E2-M13-A11</v>
      </c>
      <c r="DF361" t="str">
        <f t="shared" si="375"/>
        <v>E2-M13-A12</v>
      </c>
      <c r="DG361" t="str">
        <f t="shared" si="376"/>
        <v>E2-M13-A19</v>
      </c>
      <c r="DH361" t="str">
        <f t="shared" si="377"/>
        <v>E2-M13-A20</v>
      </c>
      <c r="DI361" t="s">
        <v>142</v>
      </c>
      <c r="DJ361" t="s">
        <v>143</v>
      </c>
      <c r="DK361">
        <v>11</v>
      </c>
      <c r="DL361">
        <v>14</v>
      </c>
      <c r="DM361">
        <v>12</v>
      </c>
      <c r="DN361" t="s">
        <v>144</v>
      </c>
      <c r="DO361" t="str">
        <f>DO360</f>
        <v>L6</v>
      </c>
      <c r="DP361">
        <v>1</v>
      </c>
      <c r="DQ361">
        <v>2</v>
      </c>
      <c r="DR361">
        <v>3</v>
      </c>
      <c r="DS361">
        <v>4</v>
      </c>
      <c r="DT361">
        <v>5</v>
      </c>
      <c r="DU361">
        <v>6</v>
      </c>
      <c r="DV361">
        <v>7</v>
      </c>
      <c r="DX361">
        <v>8</v>
      </c>
      <c r="DY361">
        <v>9</v>
      </c>
      <c r="DZ361">
        <v>10</v>
      </c>
      <c r="EA361">
        <v>11</v>
      </c>
      <c r="EB361">
        <v>12</v>
      </c>
      <c r="EC361">
        <v>13</v>
      </c>
      <c r="ED361" t="s">
        <v>3065</v>
      </c>
      <c r="EE361" t="s">
        <v>3065</v>
      </c>
      <c r="EF361" t="s">
        <v>3065</v>
      </c>
      <c r="EG361" t="s">
        <v>3065</v>
      </c>
      <c r="EH361" t="s">
        <v>3065</v>
      </c>
      <c r="EI361" t="s">
        <v>3065</v>
      </c>
      <c r="EJ361" t="s">
        <v>3065</v>
      </c>
      <c r="EK361" t="s">
        <v>3065</v>
      </c>
      <c r="EL361" t="s">
        <v>3065</v>
      </c>
      <c r="EM361" t="s">
        <v>3065</v>
      </c>
      <c r="EN361" t="s">
        <v>3065</v>
      </c>
      <c r="EO361" t="s">
        <v>3065</v>
      </c>
      <c r="EP361" t="s">
        <v>3065</v>
      </c>
      <c r="EQ361" s="16" t="s">
        <v>3065</v>
      </c>
      <c r="MA361" t="str">
        <f t="shared" si="348"/>
        <v>DI2-B22</v>
      </c>
    </row>
    <row r="362" spans="1:615" x14ac:dyDescent="0.25">
      <c r="A362" s="83" t="s">
        <v>2145</v>
      </c>
      <c r="B362" s="90" t="s">
        <v>2144</v>
      </c>
      <c r="P362" t="s">
        <v>2727</v>
      </c>
      <c r="T362" s="14" t="s">
        <v>2114</v>
      </c>
      <c r="U362">
        <v>14</v>
      </c>
      <c r="V362" t="s">
        <v>2162</v>
      </c>
      <c r="AC362" t="str">
        <f t="shared" si="351"/>
        <v>A5.2</v>
      </c>
      <c r="AD362" s="46">
        <f t="array" ref="AD362">IF(COUNTIFS(AC$340:AC362,AC362)=1,"1",VALUE(SUBSTITUTE(INDEX(AD:AD,_xlfn.XMATCH(AC362,AC$1:AC361,0,-1)),"A",""))+INDEX(AE:AE,_xlfn.XMATCH(AC362,AC$1:AC361,0,-1))+1)</f>
        <v>27</v>
      </c>
      <c r="AE362" s="46">
        <f t="array" ref="AE362">SUM(IF(ISNUMBER(FIND("TmDi",$BE$1:$AAQ$1)),IF(IFERROR(ISNUMBER(VALUE(SUBSTITUTE($BE362:$AAQ362,"B",""))),FALSE),IF(ISNUMBER(VALUE(SUBSTITUTE($BE362:$AAQ362,"B",""))),1,0),0)))</f>
        <v>3</v>
      </c>
      <c r="AF362" t="str">
        <f t="shared" si="378"/>
        <v>C27</v>
      </c>
      <c r="AG362" t="str">
        <f t="shared" si="379"/>
        <v>B27</v>
      </c>
      <c r="AH362" t="str">
        <f>IF(AI361+AJ361&gt;27,REPLACE(AH361,LEN(AH361),1,VALUE(RIGHT(AH361,1))+1),AH361)</f>
        <v>A6.2</v>
      </c>
      <c r="AI362" s="69">
        <f t="array" ref="AI362">IF(COUNTIFS(AH$340:AH362,AH362)=1,"1",VALUE(SUBSTITUTE(INDEX(AI:AI,_xlfn.XMATCH(AH362,AH$1:AH361,0,-1)),"A",""))+INDEX(AJ:AJ,_xlfn.XMATCH(AH362,AH$1:AH361,0,-1))+1)</f>
        <v>4</v>
      </c>
      <c r="AJ362" s="69">
        <f t="array" ref="AJ362">SUM(IF(ISNUMBER(FIND("TmDo",$BE$1:$AAQ$1)),IF(IFERROR(ISNUMBER(VALUE(SUBSTITUTE($BE362:$AAQ362,"B",""))),FALSE),IF(ISNUMBER(VALUE(SUBSTITUTE($BE362:$AAQ362,"B",""))),1,0),0)))</f>
        <v>2</v>
      </c>
      <c r="AK362" t="str">
        <f t="shared" si="342"/>
        <v>4A</v>
      </c>
      <c r="AL362" t="str">
        <f t="shared" si="343"/>
        <v>4B</v>
      </c>
      <c r="AM362" t="s">
        <v>141</v>
      </c>
      <c r="AP362" t="s">
        <v>2116</v>
      </c>
      <c r="AQ362" t="s">
        <v>2167</v>
      </c>
      <c r="AT362" t="s">
        <v>139</v>
      </c>
      <c r="AU362" t="s">
        <v>140</v>
      </c>
      <c r="BE362" s="27" t="str">
        <f t="shared" si="352"/>
        <v>XT14</v>
      </c>
      <c r="BF362" t="str">
        <f t="shared" si="353"/>
        <v>C28</v>
      </c>
      <c r="BG362" t="str">
        <f t="shared" si="354"/>
        <v>B28</v>
      </c>
      <c r="BH362" t="str">
        <f t="shared" si="355"/>
        <v>C29</v>
      </c>
      <c r="BI362" t="str">
        <f t="shared" si="356"/>
        <v>B29</v>
      </c>
      <c r="BJ362" t="str">
        <f t="shared" si="357"/>
        <v>C30</v>
      </c>
      <c r="BK362" t="str">
        <f t="shared" si="358"/>
        <v>B30</v>
      </c>
      <c r="BP362" t="str">
        <f t="shared" si="359"/>
        <v>5A</v>
      </c>
      <c r="BQ362" t="str">
        <f t="shared" si="360"/>
        <v>5B</v>
      </c>
      <c r="BR362" t="str">
        <f t="shared" si="361"/>
        <v>6A</v>
      </c>
      <c r="BS362" t="str">
        <f t="shared" si="362"/>
        <v>6B</v>
      </c>
      <c r="BT362" t="str">
        <f t="shared" si="363"/>
        <v>DI2-C27</v>
      </c>
      <c r="BU362" t="str">
        <f t="shared" si="363"/>
        <v>DI2-B27</v>
      </c>
      <c r="BV362" t="str">
        <f t="shared" si="364"/>
        <v>DI2-C28</v>
      </c>
      <c r="BW362" t="str">
        <f t="shared" si="364"/>
        <v>DI2-B28</v>
      </c>
      <c r="BX362" t="str">
        <f t="shared" si="364"/>
        <v>DI2-C29</v>
      </c>
      <c r="BY362" t="str">
        <f t="shared" si="364"/>
        <v>DI2-B29</v>
      </c>
      <c r="BZ362" t="str">
        <f t="shared" si="364"/>
        <v>DI2-C30</v>
      </c>
      <c r="CA362" t="str">
        <f t="shared" si="364"/>
        <v>DI2-B30</v>
      </c>
      <c r="CB362" t="str">
        <f t="shared" si="364"/>
        <v>DI2-</v>
      </c>
      <c r="CC362" t="str">
        <f t="shared" si="364"/>
        <v>DI2-</v>
      </c>
      <c r="CD362" t="str">
        <f t="shared" si="364"/>
        <v>DI2-</v>
      </c>
      <c r="CE362" t="str">
        <f t="shared" si="364"/>
        <v>DI2-</v>
      </c>
      <c r="CF362" t="str">
        <f t="shared" si="365"/>
        <v>DO2-4A</v>
      </c>
      <c r="CG362" t="str">
        <f t="shared" si="365"/>
        <v>DO2-4B</v>
      </c>
      <c r="CH362" t="str">
        <f t="shared" si="366"/>
        <v>DO2-5A</v>
      </c>
      <c r="CI362" t="str">
        <f t="shared" si="366"/>
        <v>DO2-5B</v>
      </c>
      <c r="CJ362" t="str">
        <f t="shared" si="366"/>
        <v>DO2-6A</v>
      </c>
      <c r="CK362" t="str">
        <f t="shared" si="366"/>
        <v>DO2-6B</v>
      </c>
      <c r="CL362" t="str">
        <f t="shared" si="380"/>
        <v>K14-10</v>
      </c>
      <c r="CM362" t="str">
        <f t="shared" si="381"/>
        <v>K14-03</v>
      </c>
      <c r="CN362" t="str">
        <f t="shared" si="382"/>
        <v>K14-04</v>
      </c>
      <c r="CO362" t="str">
        <f t="shared" si="383"/>
        <v>K14-01</v>
      </c>
      <c r="CP362" t="str">
        <f t="shared" si="384"/>
        <v>K14-08</v>
      </c>
      <c r="CQ362" t="str">
        <f t="shared" si="385"/>
        <v>K14-02</v>
      </c>
      <c r="CR362" t="str">
        <f t="shared" si="386"/>
        <v>K14-09</v>
      </c>
      <c r="CS362" t="str">
        <f t="shared" si="387"/>
        <v>K14-05</v>
      </c>
      <c r="CT362" t="str">
        <f t="shared" si="388"/>
        <v>K14-11</v>
      </c>
      <c r="CU362" t="str">
        <f t="shared" si="367"/>
        <v>E2-M14-A9</v>
      </c>
      <c r="CV362" t="str">
        <f t="shared" si="389"/>
        <v>E2-M14-A7</v>
      </c>
      <c r="CW362" t="str">
        <f t="shared" si="390"/>
        <v>E2-M14-A8</v>
      </c>
      <c r="CX362" t="str">
        <f t="shared" si="368"/>
        <v>E2-M14-A6</v>
      </c>
      <c r="CY362" t="str">
        <f t="shared" si="369"/>
        <v>E2-M14-A30</v>
      </c>
      <c r="CZ362" t="str">
        <f t="shared" si="391"/>
        <v>E2-M14-N</v>
      </c>
      <c r="DA362" t="str">
        <f t="shared" si="370"/>
        <v>E2-A220-M14</v>
      </c>
      <c r="DB362" t="str">
        <f t="shared" si="371"/>
        <v>E2-M14-XM01</v>
      </c>
      <c r="DC362" t="str">
        <f t="shared" si="372"/>
        <v>E2-M14-A1</v>
      </c>
      <c r="DD362" t="str">
        <f t="shared" si="373"/>
        <v>E2-M14-A5</v>
      </c>
      <c r="DE362" t="str">
        <f t="shared" si="374"/>
        <v>E2-M14-A11</v>
      </c>
      <c r="DF362" t="str">
        <f t="shared" si="375"/>
        <v>E2-M14-A12</v>
      </c>
      <c r="DG362" t="str">
        <f t="shared" si="376"/>
        <v>E2-M14-A19</v>
      </c>
      <c r="DH362" t="str">
        <f t="shared" si="377"/>
        <v>E2-M14-A20</v>
      </c>
      <c r="DI362" t="s">
        <v>142</v>
      </c>
      <c r="DJ362" t="s">
        <v>143</v>
      </c>
      <c r="DK362">
        <v>11</v>
      </c>
      <c r="DL362">
        <v>14</v>
      </c>
      <c r="DM362">
        <v>12</v>
      </c>
      <c r="DN362" t="s">
        <v>144</v>
      </c>
      <c r="DO362" t="s">
        <v>145</v>
      </c>
      <c r="DP362">
        <v>1</v>
      </c>
      <c r="DQ362">
        <v>2</v>
      </c>
      <c r="DR362">
        <v>3</v>
      </c>
      <c r="DS362">
        <v>4</v>
      </c>
      <c r="DT362">
        <v>5</v>
      </c>
      <c r="DU362">
        <v>6</v>
      </c>
      <c r="DV362">
        <v>7</v>
      </c>
      <c r="DW362">
        <v>8</v>
      </c>
      <c r="DX362">
        <v>9</v>
      </c>
      <c r="DY362">
        <v>10</v>
      </c>
      <c r="DZ362">
        <v>11</v>
      </c>
      <c r="EA362">
        <v>12</v>
      </c>
      <c r="EB362">
        <v>13</v>
      </c>
      <c r="EC362">
        <v>14</v>
      </c>
      <c r="ED362">
        <v>1</v>
      </c>
      <c r="EE362">
        <v>3</v>
      </c>
      <c r="EF362">
        <v>4</v>
      </c>
      <c r="EG362">
        <v>7</v>
      </c>
      <c r="EH362">
        <v>8</v>
      </c>
      <c r="EI362">
        <v>9</v>
      </c>
      <c r="EJ362">
        <v>10</v>
      </c>
      <c r="EK362">
        <v>13</v>
      </c>
      <c r="EL362">
        <v>15</v>
      </c>
      <c r="EM362">
        <v>16</v>
      </c>
      <c r="EN362">
        <v>16</v>
      </c>
      <c r="EO362">
        <v>22</v>
      </c>
      <c r="EP362">
        <v>23</v>
      </c>
      <c r="EQ362" s="16">
        <v>24</v>
      </c>
      <c r="MA362" t="str">
        <f t="shared" si="348"/>
        <v>DI2-B27</v>
      </c>
    </row>
    <row r="363" spans="1:615" x14ac:dyDescent="0.25">
      <c r="A363" s="83" t="s">
        <v>2147</v>
      </c>
      <c r="B363" s="90" t="s">
        <v>2146</v>
      </c>
      <c r="P363" t="s">
        <v>2727</v>
      </c>
      <c r="T363" s="14" t="s">
        <v>2114</v>
      </c>
      <c r="U363">
        <v>15</v>
      </c>
      <c r="V363" t="s">
        <v>2163</v>
      </c>
      <c r="AC363" t="s">
        <v>262</v>
      </c>
      <c r="AD363" s="46" t="str">
        <f t="array" ref="AD363">IF(COUNTIFS(AC$340:AC363,AC363)=1,"1",VALUE(SUBSTITUTE(INDEX(AD:AD,_xlfn.XMATCH(AC363,AC$1:AC362,0,-1)),"A",""))+INDEX(AE:AE,_xlfn.XMATCH(AC363,AC$1:AC362,0,-1))+1)</f>
        <v>1</v>
      </c>
      <c r="AE363" s="46">
        <f t="array" ref="AE363">SUM(IF(ISNUMBER(FIND("TmDi",$BE$1:$AAQ$1)),IF(IFERROR(ISNUMBER(VALUE(SUBSTITUTE($BE363:$AAQ363,"B",""))),FALSE),IF(ISNUMBER(VALUE(SUBSTITUTE($BE363:$AAQ363,"B",""))),1,0),0)))</f>
        <v>3</v>
      </c>
      <c r="AF363" t="str">
        <f t="shared" si="378"/>
        <v>C1</v>
      </c>
      <c r="AG363" t="str">
        <f t="shared" si="379"/>
        <v>B1</v>
      </c>
      <c r="AH363" t="str">
        <f>IF(AI362+AJ362&gt;27,REPLACE(AH362,LEN(AH362),1,VALUE(RIGHT(AH362,1))+1),AH362)</f>
        <v>A6.2</v>
      </c>
      <c r="AI363" s="69">
        <f t="array" ref="AI363">IF(COUNTIFS(AH$340:AH363,AH363)=1,"1",VALUE(SUBSTITUTE(INDEX(AI:AI,_xlfn.XMATCH(AH363,AH$1:AH362,0,-1)),"A",""))+INDEX(AJ:AJ,_xlfn.XMATCH(AH363,AH$1:AH362,0,-1))+1)</f>
        <v>7</v>
      </c>
      <c r="AJ363" s="69">
        <f t="array" ref="AJ363">SUM(IF(ISNUMBER(FIND("TmDo",$BE$1:$AAQ$1)),IF(IFERROR(ISNUMBER(VALUE(SUBSTITUTE($BE363:$AAQ363,"B",""))),FALSE),IF(ISNUMBER(VALUE(SUBSTITUTE($BE363:$AAQ363,"B",""))),1,0),0)))</f>
        <v>2</v>
      </c>
      <c r="AK363" t="str">
        <f t="shared" si="342"/>
        <v>7A</v>
      </c>
      <c r="AL363" t="str">
        <f t="shared" si="343"/>
        <v>7B</v>
      </c>
      <c r="AM363" t="s">
        <v>150</v>
      </c>
      <c r="AP363" t="s">
        <v>2116</v>
      </c>
      <c r="AQ363" t="s">
        <v>2167</v>
      </c>
      <c r="AT363" t="s">
        <v>139</v>
      </c>
      <c r="AU363" t="s">
        <v>140</v>
      </c>
      <c r="BE363" s="27" t="str">
        <f t="shared" si="352"/>
        <v>XT15</v>
      </c>
      <c r="BF363" t="str">
        <f t="shared" si="353"/>
        <v>C2</v>
      </c>
      <c r="BG363" t="str">
        <f t="shared" si="354"/>
        <v>B2</v>
      </c>
      <c r="BH363" t="str">
        <f t="shared" si="355"/>
        <v>C3</v>
      </c>
      <c r="BI363" t="str">
        <f t="shared" si="356"/>
        <v>B3</v>
      </c>
      <c r="BJ363" t="str">
        <f t="shared" si="357"/>
        <v>C4</v>
      </c>
      <c r="BK363" t="str">
        <f t="shared" si="358"/>
        <v>B4</v>
      </c>
      <c r="BP363" t="str">
        <f t="shared" si="359"/>
        <v>8A</v>
      </c>
      <c r="BQ363" t="str">
        <f t="shared" si="360"/>
        <v>8B</v>
      </c>
      <c r="BR363" t="str">
        <f t="shared" si="361"/>
        <v>9A</v>
      </c>
      <c r="BS363" t="str">
        <f t="shared" si="362"/>
        <v>9B</v>
      </c>
      <c r="BT363" t="str">
        <f t="shared" si="363"/>
        <v>DI3-C1</v>
      </c>
      <c r="BU363" t="str">
        <f t="shared" si="363"/>
        <v>DI3-B1</v>
      </c>
      <c r="BV363" t="str">
        <f t="shared" si="364"/>
        <v>DI3-C2</v>
      </c>
      <c r="BW363" t="str">
        <f t="shared" si="364"/>
        <v>DI3-B2</v>
      </c>
      <c r="BX363" t="str">
        <f t="shared" si="364"/>
        <v>DI3-C3</v>
      </c>
      <c r="BY363" t="str">
        <f t="shared" si="364"/>
        <v>DI3-B3</v>
      </c>
      <c r="BZ363" t="str">
        <f t="shared" si="364"/>
        <v>DI3-C4</v>
      </c>
      <c r="CA363" t="str">
        <f t="shared" si="364"/>
        <v>DI3-B4</v>
      </c>
      <c r="CB363" t="str">
        <f t="shared" si="364"/>
        <v>DI3-</v>
      </c>
      <c r="CC363" t="str">
        <f t="shared" si="364"/>
        <v>DI3-</v>
      </c>
      <c r="CD363" t="str">
        <f t="shared" si="364"/>
        <v>DI3-</v>
      </c>
      <c r="CE363" t="str">
        <f t="shared" si="364"/>
        <v>DI3-</v>
      </c>
      <c r="CF363" t="str">
        <f t="shared" si="365"/>
        <v>DO2-7A</v>
      </c>
      <c r="CG363" t="str">
        <f t="shared" si="365"/>
        <v>DO2-7B</v>
      </c>
      <c r="CH363" t="str">
        <f t="shared" si="366"/>
        <v>DO2-8A</v>
      </c>
      <c r="CI363" t="str">
        <f t="shared" si="366"/>
        <v>DO2-8B</v>
      </c>
      <c r="CJ363" t="str">
        <f t="shared" si="366"/>
        <v>DO2-9A</v>
      </c>
      <c r="CK363" t="str">
        <f t="shared" si="366"/>
        <v>DO2-9B</v>
      </c>
      <c r="CL363" t="str">
        <f t="shared" si="380"/>
        <v>K15-10</v>
      </c>
      <c r="CM363" t="str">
        <f t="shared" si="381"/>
        <v>K15-03</v>
      </c>
      <c r="CN363" t="str">
        <f t="shared" si="382"/>
        <v>K15-04</v>
      </c>
      <c r="CO363" t="str">
        <f t="shared" si="383"/>
        <v>K15-01</v>
      </c>
      <c r="CP363" t="str">
        <f t="shared" si="384"/>
        <v>K15-08</v>
      </c>
      <c r="CQ363" t="str">
        <f t="shared" si="385"/>
        <v>K15-02</v>
      </c>
      <c r="CR363" t="str">
        <f t="shared" si="386"/>
        <v>K15-09</v>
      </c>
      <c r="CS363" t="str">
        <f t="shared" si="387"/>
        <v>K15-05</v>
      </c>
      <c r="CT363" t="str">
        <f t="shared" si="388"/>
        <v>K15-11</v>
      </c>
      <c r="CU363" t="str">
        <f t="shared" si="367"/>
        <v>E2-M15-A9</v>
      </c>
      <c r="CV363" t="str">
        <f t="shared" si="389"/>
        <v>E2-M15-A7</v>
      </c>
      <c r="CW363" t="str">
        <f t="shared" si="390"/>
        <v>E2-M15-A8</v>
      </c>
      <c r="CX363" t="str">
        <f t="shared" si="368"/>
        <v>E2-M15-A6</v>
      </c>
      <c r="CY363" t="str">
        <f t="shared" si="369"/>
        <v>E2-M15-A30</v>
      </c>
      <c r="CZ363" t="str">
        <f t="shared" si="391"/>
        <v>E2-M15-N</v>
      </c>
      <c r="DA363" t="str">
        <f t="shared" si="370"/>
        <v>E2-A220-M15</v>
      </c>
      <c r="DB363" t="str">
        <f t="shared" si="371"/>
        <v>E2-M15-XM01</v>
      </c>
      <c r="DC363" t="str">
        <f t="shared" si="372"/>
        <v>E2-M15-A1</v>
      </c>
      <c r="DD363" t="str">
        <f t="shared" si="373"/>
        <v>E2-M15-A5</v>
      </c>
      <c r="DE363" t="str">
        <f t="shared" si="374"/>
        <v>E2-M15-A11</v>
      </c>
      <c r="DF363" t="str">
        <f t="shared" si="375"/>
        <v>E2-M15-A12</v>
      </c>
      <c r="DG363" t="str">
        <f t="shared" si="376"/>
        <v>E2-M15-A19</v>
      </c>
      <c r="DH363" t="str">
        <f t="shared" si="377"/>
        <v>E2-M15-A20</v>
      </c>
      <c r="DI363" t="s">
        <v>142</v>
      </c>
      <c r="DJ363" t="s">
        <v>143</v>
      </c>
      <c r="DK363">
        <v>11</v>
      </c>
      <c r="DL363">
        <v>14</v>
      </c>
      <c r="DM363">
        <v>12</v>
      </c>
      <c r="DN363" t="s">
        <v>144</v>
      </c>
      <c r="DO363" t="s">
        <v>145</v>
      </c>
      <c r="DP363">
        <v>1</v>
      </c>
      <c r="DQ363">
        <v>2</v>
      </c>
      <c r="DR363">
        <v>3</v>
      </c>
      <c r="DS363">
        <v>4</v>
      </c>
      <c r="DT363">
        <v>5</v>
      </c>
      <c r="DU363">
        <v>6</v>
      </c>
      <c r="DV363">
        <v>7</v>
      </c>
      <c r="DW363">
        <v>8</v>
      </c>
      <c r="DX363">
        <v>9</v>
      </c>
      <c r="DY363">
        <v>10</v>
      </c>
      <c r="DZ363">
        <v>11</v>
      </c>
      <c r="EA363">
        <v>12</v>
      </c>
      <c r="EB363">
        <v>13</v>
      </c>
      <c r="EC363">
        <v>14</v>
      </c>
      <c r="ED363">
        <v>1</v>
      </c>
      <c r="EE363">
        <v>3</v>
      </c>
      <c r="EF363">
        <v>4</v>
      </c>
      <c r="EG363">
        <v>7</v>
      </c>
      <c r="EH363">
        <v>8</v>
      </c>
      <c r="EI363">
        <v>9</v>
      </c>
      <c r="EJ363">
        <v>10</v>
      </c>
      <c r="EK363">
        <v>13</v>
      </c>
      <c r="EL363">
        <v>15</v>
      </c>
      <c r="EM363">
        <v>16</v>
      </c>
      <c r="EN363">
        <v>16</v>
      </c>
      <c r="EO363">
        <v>22</v>
      </c>
      <c r="EP363">
        <v>23</v>
      </c>
      <c r="EQ363" s="16">
        <v>24</v>
      </c>
      <c r="MA363" t="str">
        <f t="shared" si="348"/>
        <v>DI3-B1</v>
      </c>
    </row>
    <row r="364" spans="1:615" x14ac:dyDescent="0.25">
      <c r="A364" s="83" t="s">
        <v>2149</v>
      </c>
      <c r="B364" s="90" t="s">
        <v>2148</v>
      </c>
      <c r="P364" t="s">
        <v>281</v>
      </c>
      <c r="T364" s="14" t="s">
        <v>2114</v>
      </c>
      <c r="U364">
        <v>16</v>
      </c>
      <c r="V364" t="s">
        <v>2164</v>
      </c>
      <c r="W364" t="s">
        <v>2165</v>
      </c>
      <c r="AC364" t="str">
        <f t="shared" si="351"/>
        <v>A5.3</v>
      </c>
      <c r="AD364" s="46">
        <f t="array" ref="AD364">IF(COUNTIFS(AC$340:AC364,AC364)=1,"1",VALUE(SUBSTITUTE(INDEX(AD:AD,_xlfn.XMATCH(AC364,AC$1:AC363,0,-1)),"A",""))+INDEX(AE:AE,_xlfn.XMATCH(AC364,AC$1:AC363,0,-1))+1)</f>
        <v>5</v>
      </c>
      <c r="AE364" s="46">
        <f t="array" ref="AE364">SUM(IF(ISNUMBER(FIND("TmDi",$BE$1:$AAQ$1)),IF(IFERROR(ISNUMBER(VALUE(SUBSTITUTE($BE364:$AAQ364,"B",""))),FALSE),IF(ISNUMBER(VALUE(SUBSTITUTE($BE364:$AAQ364,"B",""))),1,0),0)))</f>
        <v>2</v>
      </c>
      <c r="AF364" t="str">
        <f t="shared" si="378"/>
        <v>C5</v>
      </c>
      <c r="AG364" t="str">
        <f t="shared" si="379"/>
        <v>B5</v>
      </c>
      <c r="AH364" t="str">
        <f>IF(AI363+AJ363&gt;27,REPLACE(AH363,LEN(AH363),1,VALUE(RIGHT(AH363,1))+1),AH363)</f>
        <v>A6.2</v>
      </c>
      <c r="AI364" s="69">
        <f t="array" ref="AI364">IF(COUNTIFS(AH$340:AH364,AH364)=1,"1",VALUE(SUBSTITUTE(INDEX(AI:AI,_xlfn.XMATCH(AH364,AH$1:AH363,0,-1)),"A",""))+INDEX(AJ:AJ,_xlfn.XMATCH(AH364,AH$1:AH363,0,-1))+1)</f>
        <v>10</v>
      </c>
      <c r="AJ364" s="69">
        <f t="array" ref="AJ364">SUM(IF(ISNUMBER(FIND("TmDo",$BE$1:$AAQ$1)),IF(IFERROR(ISNUMBER(VALUE(SUBSTITUTE($BE364:$AAQ364,"B",""))),FALSE),IF(ISNUMBER(VALUE(SUBSTITUTE($BE364:$AAQ364,"B",""))),1,0),0)))</f>
        <v>1</v>
      </c>
      <c r="AK364" t="str">
        <f t="shared" si="342"/>
        <v>10A</v>
      </c>
      <c r="AL364" t="str">
        <f t="shared" si="343"/>
        <v>10B</v>
      </c>
      <c r="AM364" t="s">
        <v>155</v>
      </c>
      <c r="AP364" t="s">
        <v>2116</v>
      </c>
      <c r="AQ364" t="s">
        <v>2167</v>
      </c>
      <c r="AT364" t="s">
        <v>139</v>
      </c>
      <c r="AU364" t="s">
        <v>140</v>
      </c>
      <c r="ER364" s="27" t="str">
        <f>CONCATENATE("XT",U364)</f>
        <v>XT16</v>
      </c>
      <c r="ES364" t="str">
        <f>CONCATENATE("C",REPLACE(AF364,1,1,"")+1)</f>
        <v>C6</v>
      </c>
      <c r="ET364" t="str">
        <f>CONCATENATE("B",REPLACE(AG364,1,1,"")+1)</f>
        <v>B6</v>
      </c>
      <c r="EU364" t="str">
        <f>CONCATENATE("C",REPLACE(ES364,1,1,"")+1)</f>
        <v>C7</v>
      </c>
      <c r="EV364" t="str">
        <f>CONCATENATE("B",REPLACE(ET364,1,1,"")+1)</f>
        <v>B7</v>
      </c>
      <c r="EW364" t="str">
        <f>CONCATENATE(REPLACE(AK364,LEN(AK364),1,"")+1,"A")</f>
        <v>11A</v>
      </c>
      <c r="EX364" t="str">
        <f>CONCATENATE(REPLACE(AL364,LEN(AL364),1,"")+1,"B")</f>
        <v>11B</v>
      </c>
      <c r="EY364" t="str">
        <f>CONCATENATE("DI",REPLACE($AC364,1,3,""),"-",AF364)</f>
        <v>DI3-C5</v>
      </c>
      <c r="EZ364" t="str">
        <f>CONCATENATE("DI",REPLACE($AC364,1,3,""),"-",AG364)</f>
        <v>DI3-B5</v>
      </c>
      <c r="FA364" t="str">
        <f>CONCATENATE("DI",REPLACE($AC364,1,3,""),"-",ES364)</f>
        <v>DI3-C6</v>
      </c>
      <c r="FB364" t="str">
        <f>CONCATENATE("DI",REPLACE($AC364,1,3,""),"-",ET364)</f>
        <v>DI3-B6</v>
      </c>
      <c r="FC364" t="str">
        <f>CONCATENATE("DI",REPLACE($AC364,1,3,""),"-",EU364)</f>
        <v>DI3-C7</v>
      </c>
      <c r="FD364" t="str">
        <f>CONCATENATE("DI",REPLACE($AC364,1,3,""),"-",EV364)</f>
        <v>DI3-B7</v>
      </c>
      <c r="FE364" t="str">
        <f>CONCATENATE("DO",REPLACE($AH364,1,3,""),"-",AK364)</f>
        <v>DO2-10A</v>
      </c>
      <c r="FF364" t="str">
        <f>CONCATENATE("DO",REPLACE($AH364,1,3,""),"-",AL364)</f>
        <v>DO2-10B</v>
      </c>
      <c r="FG364" t="str">
        <f>CONCATENATE("DO",REPLACE($AH364,1,3,""),"-",EW364)</f>
        <v>DO2-11A</v>
      </c>
      <c r="FH364" t="str">
        <f>CONCATENATE("DO",REPLACE($AH364,1,3,""),"-",EX364)</f>
        <v>DO2-11B</v>
      </c>
      <c r="FI364" t="str">
        <f>CONCATENATE("K",$U364,"-03")</f>
        <v>K16-03</v>
      </c>
      <c r="FJ364" t="str">
        <f>CONCATENATE("K",$U364,"-04")</f>
        <v>K16-04</v>
      </c>
      <c r="FK364" t="str">
        <f>CONCATENATE("K",$U364,"-01")</f>
        <v>K16-01</v>
      </c>
      <c r="FL364" t="str">
        <f>CONCATENATE("K",$U364,"-02")</f>
        <v>K16-02</v>
      </c>
      <c r="FM364" t="str">
        <f>CONCATENATE("K",$U364,"-05")</f>
        <v>K16-05</v>
      </c>
      <c r="FN364" t="str">
        <f>CONCATENATE($T364,"-M",$U364,"-H1")</f>
        <v>E2-M16-H1</v>
      </c>
      <c r="FO364" t="str">
        <f>CONCATENATE($T364,"-M",$U364,"-A1")</f>
        <v>E2-M16-A1</v>
      </c>
      <c r="FP364" t="str">
        <f>CONCATENATE($T364,"-M",$U364,"-3")</f>
        <v>E2-M16-3</v>
      </c>
      <c r="FQ364" t="str">
        <f>CONCATENATE($T364,"-M",$U364,"-2")</f>
        <v>E2-M16-2</v>
      </c>
      <c r="FR364" t="str">
        <f>CONCATENATE($T364,"-M",$U364,"-16")</f>
        <v>E2-M16-16</v>
      </c>
      <c r="FS364" t="str">
        <f>CONCATENATE($T364,"-M",$U364,"-15")</f>
        <v>E2-M16-15</v>
      </c>
      <c r="FT364" t="str">
        <f>CONCATENATE($T364,"-A220-M",$U364,)</f>
        <v>E2-A220-M16</v>
      </c>
      <c r="FU364" t="str">
        <f>CONCATENATE($T364,"-M",$U364,"-XM01")</f>
        <v>E2-M16-XM01</v>
      </c>
      <c r="FV364" t="s">
        <v>142</v>
      </c>
      <c r="FW364" t="s">
        <v>143</v>
      </c>
      <c r="FX364">
        <v>11</v>
      </c>
      <c r="FY364">
        <v>14</v>
      </c>
      <c r="FZ364" t="s">
        <v>145</v>
      </c>
      <c r="GA364" t="s">
        <v>144</v>
      </c>
      <c r="GB364">
        <v>1</v>
      </c>
      <c r="GC364">
        <v>2</v>
      </c>
      <c r="GD364">
        <v>3</v>
      </c>
      <c r="GE364">
        <v>4</v>
      </c>
      <c r="GF364">
        <v>5</v>
      </c>
      <c r="GG364">
        <v>6</v>
      </c>
      <c r="GH364">
        <v>7</v>
      </c>
      <c r="GI364">
        <v>8</v>
      </c>
      <c r="GJ364">
        <v>9</v>
      </c>
      <c r="GK364">
        <v>1</v>
      </c>
      <c r="GL364">
        <v>2</v>
      </c>
      <c r="GM364">
        <v>3</v>
      </c>
      <c r="GN364">
        <v>4</v>
      </c>
      <c r="GO364">
        <v>5</v>
      </c>
      <c r="GP364">
        <v>1</v>
      </c>
      <c r="GQ364">
        <v>2</v>
      </c>
      <c r="GR364">
        <v>4</v>
      </c>
      <c r="GS364" s="16">
        <v>5</v>
      </c>
      <c r="MA364" t="str">
        <f t="shared" si="348"/>
        <v>DI3-B5</v>
      </c>
    </row>
    <row r="365" spans="1:615" ht="15.75" thickBot="1" x14ac:dyDescent="0.3">
      <c r="A365" s="83" t="s">
        <v>2098</v>
      </c>
      <c r="B365" s="90" t="s">
        <v>2047</v>
      </c>
      <c r="P365" t="s">
        <v>1378</v>
      </c>
      <c r="T365" s="14" t="s">
        <v>2114</v>
      </c>
      <c r="U365">
        <v>17</v>
      </c>
      <c r="V365" t="s">
        <v>2157</v>
      </c>
      <c r="AC365" t="str">
        <f>IF(AD364+AE364&gt;31,REPLACE(AC364,LEN(AC364),1,VALUE(RIGHT(AC364,1))+1),AC364)</f>
        <v>A5.3</v>
      </c>
      <c r="AD365" s="46">
        <f t="array" ref="AD365">IF(COUNTIFS(AC$340:AC365,AC365)=1,"1",VALUE(SUBSTITUTE(INDEX(AD:AD,_xlfn.XMATCH(AC365,AC$1:AC364,0,-1)),"A",""))+INDEX(AE:AE,_xlfn.XMATCH(AC365,AC$1:AC364,0,-1))+1)</f>
        <v>8</v>
      </c>
      <c r="AE365" s="46">
        <f t="array" ref="AE365">SUM(IF(ISNUMBER(FIND("TmDi",$BE$1:$AAQ$1)),IF(IFERROR(ISNUMBER(VALUE(SUBSTITUTE($BE365:$AAQ365,"B",""))),FALSE),IF(ISNUMBER(VALUE(SUBSTITUTE($BE365:$AAQ365,"B",""))),1,0),0)))</f>
        <v>0</v>
      </c>
      <c r="AF365" t="str">
        <f t="shared" si="378"/>
        <v>C8</v>
      </c>
      <c r="AG365" t="str">
        <f t="shared" si="379"/>
        <v>B8</v>
      </c>
      <c r="AP365" t="s">
        <v>2116</v>
      </c>
      <c r="AQ365" t="s">
        <v>2168</v>
      </c>
      <c r="AT365" t="s">
        <v>139</v>
      </c>
      <c r="AU365" t="s">
        <v>140</v>
      </c>
      <c r="MA365" t="str">
        <f t="shared" si="348"/>
        <v>DI3-B8</v>
      </c>
    </row>
    <row r="366" spans="1:615" ht="15.75" thickBot="1" x14ac:dyDescent="0.3">
      <c r="A366" s="83" t="s">
        <v>2099</v>
      </c>
      <c r="B366" s="83" t="s">
        <v>2040</v>
      </c>
      <c r="P366" t="s">
        <v>2170</v>
      </c>
      <c r="T366" s="14" t="s">
        <v>2114</v>
      </c>
      <c r="U366">
        <v>17</v>
      </c>
      <c r="V366" t="s">
        <v>2166</v>
      </c>
      <c r="AC366" t="str">
        <f>IF(AD365+AE365&gt;31,REPLACE(AC365,LEN(AC365),1,VALUE(RIGHT(AC365,1))+1),AC365)</f>
        <v>A5.3</v>
      </c>
      <c r="AD366" s="46">
        <f t="array" ref="AD366">IF(COUNTIFS(AC$340:AC366,AC366)=1,"1",VALUE(SUBSTITUTE(INDEX(AD:AD,_xlfn.XMATCH(AC366,AC$1:AC365,0,-1)),"A",""))+INDEX(AE:AE,_xlfn.XMATCH(AC366,AC$1:AC365,0,-1))+1)</f>
        <v>9</v>
      </c>
      <c r="AE366" s="46">
        <f t="array" ref="AE366">SUM(IF(ISNUMBER(FIND("TmDi",$BE$1:$AAQ$1)),IF(IFERROR(ISNUMBER(VALUE(SUBSTITUTE($BE366:$AAQ366,"B",""))),FALSE),IF(ISNUMBER(VALUE(SUBSTITUTE($BE366:$AAQ366,"B",""))),1,0),0)))</f>
        <v>1</v>
      </c>
      <c r="AF366" t="str">
        <f t="shared" si="378"/>
        <v>C9</v>
      </c>
      <c r="AG366" t="str">
        <f t="shared" si="379"/>
        <v>B9</v>
      </c>
      <c r="AP366" t="s">
        <v>2116</v>
      </c>
      <c r="AQ366" t="s">
        <v>2169</v>
      </c>
      <c r="AT366" t="s">
        <v>139</v>
      </c>
      <c r="AU366" t="s">
        <v>140</v>
      </c>
      <c r="MA366" t="str">
        <f t="shared" si="348"/>
        <v>DI3-B9</v>
      </c>
      <c r="VO366" s="39" t="s">
        <v>2174</v>
      </c>
      <c r="VP366" s="23" t="s">
        <v>2175</v>
      </c>
      <c r="VQ366" s="23" t="str">
        <f>CONCATENATE("XT",U366)</f>
        <v>XT17</v>
      </c>
      <c r="VR366" s="23">
        <v>4</v>
      </c>
      <c r="VS366" s="23">
        <f>VR366+1</f>
        <v>5</v>
      </c>
      <c r="VT366" s="23">
        <f>VS366+1</f>
        <v>6</v>
      </c>
      <c r="VU366" s="23">
        <f>VT366+1</f>
        <v>7</v>
      </c>
      <c r="VV366" s="23" t="str">
        <f>CONCATENATE("B",REPLACE($AF366,1,1,"")+1)</f>
        <v>B10</v>
      </c>
      <c r="VW366" s="23" t="str">
        <f>CONCATENATE("C",REPLACE($AG366,1,1,"")+1)</f>
        <v>C10</v>
      </c>
      <c r="VX366" s="23" t="str">
        <f>CONCATENATE("DI",REPLACE($AC366,1,3,""),"-",$AG366)</f>
        <v>DI3-B9</v>
      </c>
      <c r="VY366" s="23" t="str">
        <f>CONCATENATE("DI",REPLACE($AC366,1,3,""),"-",$AF366)</f>
        <v>DI3-C9</v>
      </c>
      <c r="VZ366" s="23" t="str">
        <f>CONCATENATE("DI",REPLACE($AC366,1,3,""),"-",VV366)</f>
        <v>DI3-B10</v>
      </c>
      <c r="WA366" s="23" t="str">
        <f>CONCATENATE("DI",REPLACE($AC366,1,3,""),"-",VW366)</f>
        <v>DI3-C10</v>
      </c>
      <c r="WB366" s="23" t="str">
        <f>CONCATENATE($T366,"-DI",REPLACE($AC366,1,3,""),"-",$AF366)</f>
        <v>E2-DI3-C9</v>
      </c>
      <c r="WC366" s="23" t="str">
        <f>CONCATENATE($T366,"-DI",REPLACE($AC366,1,3,""),"-",VW366)</f>
        <v>E2-DI3-C10</v>
      </c>
      <c r="WD366" s="23" t="s">
        <v>2178</v>
      </c>
      <c r="WE366" s="23" t="s">
        <v>2179</v>
      </c>
      <c r="WF366" s="23">
        <v>11</v>
      </c>
      <c r="WG366" s="23">
        <v>14</v>
      </c>
      <c r="WH366" s="23" t="s">
        <v>142</v>
      </c>
      <c r="WI366" s="23" t="s">
        <v>143</v>
      </c>
      <c r="WJ366" s="23" t="s">
        <v>414</v>
      </c>
      <c r="WK366" s="23" t="s">
        <v>413</v>
      </c>
      <c r="WL366" s="23">
        <v>21</v>
      </c>
      <c r="WM366" s="23">
        <v>24</v>
      </c>
      <c r="WN366" s="23">
        <v>21</v>
      </c>
      <c r="WO366" s="23">
        <v>24</v>
      </c>
      <c r="WP366" s="23" t="s">
        <v>2176</v>
      </c>
      <c r="WQ366" s="24" t="s">
        <v>2177</v>
      </c>
    </row>
    <row r="367" spans="1:615" ht="30.75" thickBot="1" x14ac:dyDescent="0.3">
      <c r="A367" s="83" t="s">
        <v>2150</v>
      </c>
      <c r="B367" s="83" t="s">
        <v>2151</v>
      </c>
      <c r="P367" t="s">
        <v>1939</v>
      </c>
      <c r="T367" s="27" t="s">
        <v>2114</v>
      </c>
      <c r="U367">
        <v>2</v>
      </c>
      <c r="V367" t="s">
        <v>2152</v>
      </c>
      <c r="AP367" t="s">
        <v>2116</v>
      </c>
      <c r="AQ367" t="s">
        <v>2153</v>
      </c>
      <c r="MA367" t="str">
        <f t="shared" si="348"/>
        <v>DI-</v>
      </c>
      <c r="TX367" s="63" t="s">
        <v>1947</v>
      </c>
      <c r="TY367" s="23" t="s">
        <v>1948</v>
      </c>
      <c r="TZ367" s="23" t="s">
        <v>1949</v>
      </c>
      <c r="UA367" s="23" t="s">
        <v>1950</v>
      </c>
      <c r="UB367" s="23" t="s">
        <v>1951</v>
      </c>
      <c r="UC367" s="23" t="s">
        <v>1952</v>
      </c>
      <c r="UD367" s="23" t="s">
        <v>1953</v>
      </c>
      <c r="UE367" s="23" t="s">
        <v>1954</v>
      </c>
      <c r="UF367" s="23" t="str">
        <f>CONCATENATE("XT",$U367)</f>
        <v>XT2</v>
      </c>
      <c r="UG367" s="23">
        <v>13</v>
      </c>
      <c r="UH367" s="23">
        <f>UG367+1</f>
        <v>14</v>
      </c>
      <c r="UI367" s="24">
        <f>UH367+1</f>
        <v>15</v>
      </c>
    </row>
    <row r="368" spans="1:615" ht="15.75" thickBot="1" x14ac:dyDescent="0.3">
      <c r="A368" s="83" t="s">
        <v>2154</v>
      </c>
      <c r="B368" s="83" t="s">
        <v>2151</v>
      </c>
      <c r="C368" t="s">
        <v>2156</v>
      </c>
      <c r="P368" t="s">
        <v>482</v>
      </c>
      <c r="T368" s="14" t="s">
        <v>2114</v>
      </c>
      <c r="U368">
        <v>2</v>
      </c>
      <c r="V368" t="s">
        <v>2155</v>
      </c>
      <c r="X368" t="s">
        <v>2015</v>
      </c>
      <c r="Y368" s="61">
        <f t="array" ref="Y368">IF(COUNTIFS($X$340:$X368,$X368)=1,"1",VALUE(SUBSTITUTE(INDEX(Y:Y,_xlfn.XMATCH($X368,$X$1:$X367,0,-1)),"A",""))+INDEX(Z:Z,_xlfn.XMATCH($X368,$X$1:$X367,0,-1))+1)</f>
        <v>6</v>
      </c>
      <c r="Z368">
        <f t="array" ref="Z368">SUM(IF(ISNUMBER(FIND("TmAi",$BE$1:$AAQ$1)),IF(IFERROR(ISODD(SUBSTITUTE($BE368:$AAQ368,"A","")),FALSE),IF(ISODD(SUBSTITUTE($BE368:$AAQ368,"A","")),1,0),0)))</f>
        <v>0</v>
      </c>
      <c r="AA368" t="str">
        <f>CONCATENATE($Y368*2-1,"B")</f>
        <v>11B</v>
      </c>
      <c r="AB368" t="str">
        <f>CONCATENATE($Y368*2,"B")</f>
        <v>12B</v>
      </c>
      <c r="AP368" t="s">
        <v>2116</v>
      </c>
      <c r="AS368" t="s">
        <v>396</v>
      </c>
      <c r="JZ368" s="28" t="str">
        <f>CONCATENATE("XT",U368)</f>
        <v>XT2</v>
      </c>
      <c r="KA368" s="19"/>
      <c r="KB368" s="19"/>
      <c r="KC368" s="19" t="str">
        <f>CONCATENATE($T368,"-AI",REPLACE($X368,1,3,""),"-",$AA368)</f>
        <v>E2-AI2-11B</v>
      </c>
      <c r="KD368" s="19" t="str">
        <f>CONCATENATE(T368,"-AI",REPLACE($X368,1,3,""),"-",AB368)</f>
        <v>E2-AI2-12B</v>
      </c>
      <c r="KE368" s="19"/>
      <c r="KF368" s="19"/>
      <c r="KG368" s="19"/>
      <c r="KH368" s="19"/>
      <c r="KI368" s="19">
        <v>1</v>
      </c>
      <c r="KJ368" s="19">
        <f>KI368+1</f>
        <v>2</v>
      </c>
      <c r="KK368" s="19">
        <f>KJ368+1</f>
        <v>3</v>
      </c>
      <c r="KL368" s="19"/>
      <c r="KM368" s="19"/>
      <c r="KN368" s="19">
        <v>1</v>
      </c>
      <c r="KO368" s="19">
        <v>2</v>
      </c>
      <c r="KP368" s="28"/>
      <c r="KQ368" s="19"/>
      <c r="KR368" s="19"/>
      <c r="KS368" s="20"/>
      <c r="MA368" t="str">
        <f t="shared" si="348"/>
        <v>DI-</v>
      </c>
    </row>
    <row r="369" spans="1:358" x14ac:dyDescent="0.25">
      <c r="A369" s="83" t="s">
        <v>2686</v>
      </c>
      <c r="B369" s="83" t="s">
        <v>3115</v>
      </c>
      <c r="P369" t="s">
        <v>1873</v>
      </c>
      <c r="T369" s="14" t="s">
        <v>2114</v>
      </c>
      <c r="AC369" t="s">
        <v>262</v>
      </c>
      <c r="AD369" s="46">
        <f t="array" ref="AD369">IF(COUNTIFS(AC$340:AC369,AC369)=1,"1",VALUE(SUBSTITUTE(INDEX(AD:AD,_xlfn.XMATCH(AC369,AC$1:AC368,0,-1)),"A",""))+INDEX(AE:AE,_xlfn.XMATCH(AC369,AC$1:AC368,0,-1))+1)</f>
        <v>11</v>
      </c>
      <c r="AE369" s="43">
        <f t="array" ref="AE369">SUM(IF(ISNUMBER(FIND("TmDi",$BE$1:$AAQ$1)),IF(IFERROR(ISNUMBER(VALUE(SUBSTITUTE($BE369:$AAQ369,"B",""))),FALSE),IF(ISNUMBER(VALUE(SUBSTITUTE($BE369:$AAQ369,"B",""))),1,0),0)))</f>
        <v>0</v>
      </c>
      <c r="AF369" t="str">
        <f t="shared" ref="AF369:AF376" si="392">CONCATENATE("C",$AD369)</f>
        <v>C11</v>
      </c>
      <c r="AG369" t="str">
        <f t="shared" ref="AG369:AG376" si="393">CONCATENATE("B",$AD369)</f>
        <v>B11</v>
      </c>
      <c r="AP369" t="s">
        <v>2116</v>
      </c>
      <c r="AT369" t="s">
        <v>854</v>
      </c>
      <c r="AU369" t="s">
        <v>1399</v>
      </c>
      <c r="LZ369" s="25" t="str">
        <f>CONCATENATE("DI",REPLACE($AC369,1,3,""),"-",$AF369)</f>
        <v>DI3-C11</v>
      </c>
      <c r="MA369" s="12" t="str">
        <f t="shared" si="348"/>
        <v>DI3-B11</v>
      </c>
      <c r="MB369" s="12" t="s">
        <v>1884</v>
      </c>
      <c r="MC369" s="12" t="s">
        <v>1883</v>
      </c>
      <c r="MD369" s="12">
        <v>11</v>
      </c>
      <c r="ME369" s="12">
        <v>14</v>
      </c>
      <c r="MF369" s="12" t="s">
        <v>142</v>
      </c>
      <c r="MG369" s="12" t="s">
        <v>143</v>
      </c>
      <c r="MH369" s="12" t="s">
        <v>488</v>
      </c>
      <c r="MI369" s="12" t="s">
        <v>487</v>
      </c>
      <c r="MJ369" s="12" t="s">
        <v>414</v>
      </c>
      <c r="MK369" s="12" t="s">
        <v>413</v>
      </c>
      <c r="ML369" s="12"/>
      <c r="MM369" s="12"/>
      <c r="MN369" s="12"/>
      <c r="MO369" s="12"/>
      <c r="MP369" s="12"/>
      <c r="MQ369" s="12"/>
      <c r="MR369" s="12">
        <v>1</v>
      </c>
      <c r="MS369" s="13">
        <v>2</v>
      </c>
      <c r="MT369" s="27"/>
    </row>
    <row r="370" spans="1:358" x14ac:dyDescent="0.25">
      <c r="A370" s="83" t="s">
        <v>2687</v>
      </c>
      <c r="B370" s="83" t="s">
        <v>3116</v>
      </c>
      <c r="P370" t="s">
        <v>1873</v>
      </c>
      <c r="T370" s="14" t="s">
        <v>2114</v>
      </c>
      <c r="AC370" t="str">
        <f t="shared" ref="AC370:AC376" si="394">IF(AD369+AE369&gt;31,REPLACE(AC369,LEN(AC369),1,VALUE(RIGHT(AC369,1))+1),AC369)</f>
        <v>A5.3</v>
      </c>
      <c r="AD370" s="43">
        <f t="array" ref="AD370">IF(COUNTIFS(AC$2:AC370,AC370)=1,"1",VALUE(SUBSTITUTE(INDEX(AD:AD,_xlfn.XMATCH(AC370,AC$1:AC369,0,-1)),"A",""))+INDEX(AE:AE,_xlfn.XMATCH(AC370,AC$1:AC369,0,-1))+1)</f>
        <v>12</v>
      </c>
      <c r="AE370" s="43">
        <f t="array" ref="AE370">SUM(IF(ISNUMBER(FIND("TmDi",$BE$1:$AAQ$1)),IF(IFERROR(ISNUMBER(VALUE(SUBSTITUTE($BE370:$AAQ370,"B",""))),FALSE),IF(ISNUMBER(VALUE(SUBSTITUTE($BE370:$AAQ370,"B",""))),1,0),0)))</f>
        <v>0</v>
      </c>
      <c r="AF370" t="str">
        <f t="shared" si="392"/>
        <v>C12</v>
      </c>
      <c r="AG370" t="str">
        <f t="shared" si="393"/>
        <v>B12</v>
      </c>
      <c r="AP370" t="s">
        <v>2116</v>
      </c>
      <c r="AT370" t="s">
        <v>854</v>
      </c>
      <c r="AU370" t="s">
        <v>1399</v>
      </c>
      <c r="LZ370" s="27" t="str">
        <f>CONCATENATE("DI",REPLACE($AC370,1,3,""),"-",$AF370)</f>
        <v>DI3-C12</v>
      </c>
      <c r="MA370" t="str">
        <f t="shared" si="348"/>
        <v>DI3-B12</v>
      </c>
      <c r="MB370" t="s">
        <v>1885</v>
      </c>
      <c r="MC370" t="s">
        <v>1886</v>
      </c>
      <c r="MD370">
        <f t="shared" ref="MD370:MK370" si="395">MD369</f>
        <v>11</v>
      </c>
      <c r="ME370">
        <f t="shared" si="395"/>
        <v>14</v>
      </c>
      <c r="MF370" t="str">
        <f t="shared" si="395"/>
        <v>A1</v>
      </c>
      <c r="MG370" t="str">
        <f t="shared" si="395"/>
        <v>A2</v>
      </c>
      <c r="MH370" t="str">
        <f t="shared" si="395"/>
        <v>0v3</v>
      </c>
      <c r="MI370" t="str">
        <f t="shared" si="395"/>
        <v>24v3</v>
      </c>
      <c r="MJ370" t="str">
        <f t="shared" si="395"/>
        <v>0v6</v>
      </c>
      <c r="MK370" t="str">
        <f t="shared" si="395"/>
        <v>24v6</v>
      </c>
      <c r="MR370">
        <f t="shared" ref="MR370:MS376" si="396">MR369</f>
        <v>1</v>
      </c>
      <c r="MS370" s="16">
        <f t="shared" si="396"/>
        <v>2</v>
      </c>
    </row>
    <row r="371" spans="1:358" x14ac:dyDescent="0.25">
      <c r="A371" s="83" t="s">
        <v>2688</v>
      </c>
      <c r="B371" s="83" t="s">
        <v>3117</v>
      </c>
      <c r="P371" t="s">
        <v>1873</v>
      </c>
      <c r="T371" s="14" t="s">
        <v>2114</v>
      </c>
      <c r="AC371" t="str">
        <f t="shared" si="394"/>
        <v>A5.3</v>
      </c>
      <c r="AD371" s="43">
        <f t="array" ref="AD371">IF(COUNTIFS(AC$2:AC371,AC371)=1,"1",VALUE(SUBSTITUTE(INDEX(AD:AD,_xlfn.XMATCH(AC371,AC$1:AC370,0,-1)),"A",""))+INDEX(AE:AE,_xlfn.XMATCH(AC371,AC$1:AC370,0,-1))+1)</f>
        <v>13</v>
      </c>
      <c r="AE371" s="43">
        <f t="array" ref="AE371">SUM(IF(ISNUMBER(FIND("TmDi",$BE$1:$AAQ$1)),IF(IFERROR(ISNUMBER(VALUE(SUBSTITUTE($BE371:$AAQ371,"B",""))),FALSE),IF(ISNUMBER(VALUE(SUBSTITUTE($BE371:$AAQ371,"B",""))),1,0),0)))</f>
        <v>0</v>
      </c>
      <c r="AF371" t="str">
        <f t="shared" si="392"/>
        <v>C13</v>
      </c>
      <c r="AG371" t="str">
        <f t="shared" si="393"/>
        <v>B13</v>
      </c>
      <c r="AP371" t="s">
        <v>2116</v>
      </c>
      <c r="AT371" t="s">
        <v>854</v>
      </c>
      <c r="AU371" t="s">
        <v>1399</v>
      </c>
      <c r="LZ371" s="27" t="str">
        <f t="shared" ref="LZ371:LZ376" si="397">CONCATENATE("DI",REPLACE($AC371,1,3,""),"-",$AF371)</f>
        <v>DI3-C13</v>
      </c>
      <c r="MA371" t="str">
        <f t="shared" si="348"/>
        <v>DI3-B13</v>
      </c>
      <c r="MB371" t="s">
        <v>1887</v>
      </c>
      <c r="MC371" t="s">
        <v>1888</v>
      </c>
      <c r="MD371">
        <f t="shared" ref="MD371:MK371" si="398">MD370</f>
        <v>11</v>
      </c>
      <c r="ME371">
        <f t="shared" si="398"/>
        <v>14</v>
      </c>
      <c r="MF371" t="str">
        <f t="shared" si="398"/>
        <v>A1</v>
      </c>
      <c r="MG371" t="str">
        <f t="shared" si="398"/>
        <v>A2</v>
      </c>
      <c r="MH371" t="str">
        <f t="shared" si="398"/>
        <v>0v3</v>
      </c>
      <c r="MI371" t="str">
        <f t="shared" si="398"/>
        <v>24v3</v>
      </c>
      <c r="MJ371" t="str">
        <f t="shared" si="398"/>
        <v>0v6</v>
      </c>
      <c r="MK371" t="str">
        <f t="shared" si="398"/>
        <v>24v6</v>
      </c>
      <c r="MR371">
        <f t="shared" si="396"/>
        <v>1</v>
      </c>
      <c r="MS371" s="16">
        <f t="shared" si="396"/>
        <v>2</v>
      </c>
    </row>
    <row r="372" spans="1:358" x14ac:dyDescent="0.25">
      <c r="A372" s="83" t="s">
        <v>2689</v>
      </c>
      <c r="B372" s="83" t="s">
        <v>3118</v>
      </c>
      <c r="P372" t="s">
        <v>1873</v>
      </c>
      <c r="T372" s="14" t="s">
        <v>2114</v>
      </c>
      <c r="AC372" t="str">
        <f t="shared" si="394"/>
        <v>A5.3</v>
      </c>
      <c r="AD372" s="43">
        <f t="array" ref="AD372">IF(COUNTIFS(AC$2:AC372,AC372)=1,"1",VALUE(SUBSTITUTE(INDEX(AD:AD,_xlfn.XMATCH(AC372,AC$1:AC371,0,-1)),"A",""))+INDEX(AE:AE,_xlfn.XMATCH(AC372,AC$1:AC371,0,-1))+1)</f>
        <v>14</v>
      </c>
      <c r="AE372" s="43">
        <f t="array" ref="AE372">SUM(IF(ISNUMBER(FIND("TmDi",$BE$1:$AAQ$1)),IF(IFERROR(ISNUMBER(VALUE(SUBSTITUTE($BE372:$AAQ372,"B",""))),FALSE),IF(ISNUMBER(VALUE(SUBSTITUTE($BE372:$AAQ372,"B",""))),1,0),0)))</f>
        <v>0</v>
      </c>
      <c r="AF372" t="str">
        <f t="shared" si="392"/>
        <v>C14</v>
      </c>
      <c r="AG372" t="str">
        <f t="shared" si="393"/>
        <v>B14</v>
      </c>
      <c r="AP372" t="s">
        <v>2116</v>
      </c>
      <c r="AT372" t="s">
        <v>854</v>
      </c>
      <c r="AU372" t="s">
        <v>1399</v>
      </c>
      <c r="LZ372" s="27" t="str">
        <f t="shared" si="397"/>
        <v>DI3-C14</v>
      </c>
      <c r="MA372" t="str">
        <f t="shared" si="348"/>
        <v>DI3-B14</v>
      </c>
      <c r="MB372" t="s">
        <v>1889</v>
      </c>
      <c r="MC372" t="s">
        <v>1890</v>
      </c>
      <c r="MD372">
        <f t="shared" ref="MD372:MK372" si="399">MD371</f>
        <v>11</v>
      </c>
      <c r="ME372">
        <f t="shared" si="399"/>
        <v>14</v>
      </c>
      <c r="MF372" t="str">
        <f t="shared" si="399"/>
        <v>A1</v>
      </c>
      <c r="MG372" t="str">
        <f t="shared" si="399"/>
        <v>A2</v>
      </c>
      <c r="MH372" t="str">
        <f t="shared" si="399"/>
        <v>0v3</v>
      </c>
      <c r="MI372" t="str">
        <f t="shared" si="399"/>
        <v>24v3</v>
      </c>
      <c r="MJ372" t="str">
        <f t="shared" si="399"/>
        <v>0v6</v>
      </c>
      <c r="MK372" t="str">
        <f t="shared" si="399"/>
        <v>24v6</v>
      </c>
      <c r="MR372">
        <f t="shared" si="396"/>
        <v>1</v>
      </c>
      <c r="MS372" s="16">
        <f t="shared" si="396"/>
        <v>2</v>
      </c>
    </row>
    <row r="373" spans="1:358" x14ac:dyDescent="0.25">
      <c r="A373" s="83" t="s">
        <v>2690</v>
      </c>
      <c r="B373" s="83" t="s">
        <v>3119</v>
      </c>
      <c r="P373" t="s">
        <v>1873</v>
      </c>
      <c r="T373" s="14" t="s">
        <v>2114</v>
      </c>
      <c r="AC373" t="str">
        <f t="shared" si="394"/>
        <v>A5.3</v>
      </c>
      <c r="AD373" s="43">
        <f t="array" ref="AD373">IF(COUNTIFS(AC$2:AC373,AC373)=1,"1",VALUE(SUBSTITUTE(INDEX(AD:AD,_xlfn.XMATCH(AC373,AC$1:AC372,0,-1)),"A",""))+INDEX(AE:AE,_xlfn.XMATCH(AC373,AC$1:AC372,0,-1))+1)</f>
        <v>15</v>
      </c>
      <c r="AE373" s="43">
        <f t="array" ref="AE373">SUM(IF(ISNUMBER(FIND("TmDi",$BE$1:$AAQ$1)),IF(IFERROR(ISNUMBER(VALUE(SUBSTITUTE($BE373:$AAQ373,"B",""))),FALSE),IF(ISNUMBER(VALUE(SUBSTITUTE($BE373:$AAQ373,"B",""))),1,0),0)))</f>
        <v>0</v>
      </c>
      <c r="AF373" t="str">
        <f t="shared" si="392"/>
        <v>C15</v>
      </c>
      <c r="AG373" t="str">
        <f t="shared" si="393"/>
        <v>B15</v>
      </c>
      <c r="AP373" t="s">
        <v>2116</v>
      </c>
      <c r="AT373" t="s">
        <v>854</v>
      </c>
      <c r="AU373" t="s">
        <v>1399</v>
      </c>
      <c r="LZ373" s="27" t="str">
        <f t="shared" si="397"/>
        <v>DI3-C15</v>
      </c>
      <c r="MA373" t="str">
        <f t="shared" si="348"/>
        <v>DI3-B15</v>
      </c>
      <c r="MB373" t="s">
        <v>1891</v>
      </c>
      <c r="MC373" t="s">
        <v>1892</v>
      </c>
      <c r="MD373">
        <f t="shared" ref="MD373:MK374" si="400">MD372</f>
        <v>11</v>
      </c>
      <c r="ME373">
        <f t="shared" si="400"/>
        <v>14</v>
      </c>
      <c r="MF373" t="str">
        <f t="shared" si="400"/>
        <v>A1</v>
      </c>
      <c r="MG373" t="str">
        <f t="shared" si="400"/>
        <v>A2</v>
      </c>
      <c r="MH373" t="str">
        <f t="shared" si="400"/>
        <v>0v3</v>
      </c>
      <c r="MI373" t="str">
        <f t="shared" si="400"/>
        <v>24v3</v>
      </c>
      <c r="MJ373" t="str">
        <f t="shared" si="400"/>
        <v>0v6</v>
      </c>
      <c r="MK373" t="str">
        <f t="shared" si="400"/>
        <v>24v6</v>
      </c>
      <c r="MR373">
        <f t="shared" si="396"/>
        <v>1</v>
      </c>
      <c r="MS373" s="16">
        <f t="shared" si="396"/>
        <v>2</v>
      </c>
    </row>
    <row r="374" spans="1:358" x14ac:dyDescent="0.25">
      <c r="A374" s="83" t="s">
        <v>2691</v>
      </c>
      <c r="B374" s="83" t="s">
        <v>3392</v>
      </c>
      <c r="P374" t="s">
        <v>1873</v>
      </c>
      <c r="T374" s="14" t="s">
        <v>2114</v>
      </c>
      <c r="AC374" t="str">
        <f t="shared" si="394"/>
        <v>A5.3</v>
      </c>
      <c r="AD374" s="43">
        <f t="array" ref="AD374">IF(COUNTIFS(AC$2:AC374,AC374)=1,"1",VALUE(SUBSTITUTE(INDEX(AD:AD,_xlfn.XMATCH(AC374,AC$1:AC373,0,-1)),"A",""))+INDEX(AE:AE,_xlfn.XMATCH(AC374,AC$1:AC373,0,-1))+1)</f>
        <v>16</v>
      </c>
      <c r="AE374" s="43">
        <f t="array" ref="AE374">SUM(IF(ISNUMBER(FIND("TmDi",$BE$1:$AAQ$1)),IF(IFERROR(ISNUMBER(VALUE(SUBSTITUTE($BE374:$AAQ374,"B",""))),FALSE),IF(ISNUMBER(VALUE(SUBSTITUTE($BE374:$AAQ374,"B",""))),1,0),0)))</f>
        <v>0</v>
      </c>
      <c r="AF374" t="str">
        <f t="shared" si="392"/>
        <v>C16</v>
      </c>
      <c r="AG374" t="str">
        <f t="shared" si="393"/>
        <v>B16</v>
      </c>
      <c r="AP374" t="s">
        <v>2116</v>
      </c>
      <c r="AT374" t="s">
        <v>854</v>
      </c>
      <c r="AU374" t="s">
        <v>1399</v>
      </c>
      <c r="LZ374" s="27" t="str">
        <f t="shared" si="397"/>
        <v>DI3-C16</v>
      </c>
      <c r="MA374" t="str">
        <f t="shared" si="348"/>
        <v>DI3-B16</v>
      </c>
      <c r="MB374" t="s">
        <v>1895</v>
      </c>
      <c r="MC374" t="s">
        <v>1896</v>
      </c>
      <c r="MD374">
        <f t="shared" si="400"/>
        <v>11</v>
      </c>
      <c r="ME374">
        <f t="shared" si="400"/>
        <v>14</v>
      </c>
      <c r="MF374" t="str">
        <f t="shared" si="400"/>
        <v>A1</v>
      </c>
      <c r="MG374" t="str">
        <f t="shared" si="400"/>
        <v>A2</v>
      </c>
      <c r="MH374" t="str">
        <f t="shared" si="400"/>
        <v>0v3</v>
      </c>
      <c r="MI374" t="str">
        <f t="shared" si="400"/>
        <v>24v3</v>
      </c>
      <c r="MJ374" t="str">
        <f t="shared" si="400"/>
        <v>0v6</v>
      </c>
      <c r="MK374" t="str">
        <f t="shared" si="400"/>
        <v>24v6</v>
      </c>
      <c r="MR374">
        <f t="shared" si="396"/>
        <v>1</v>
      </c>
      <c r="MS374" s="16">
        <f t="shared" si="396"/>
        <v>2</v>
      </c>
    </row>
    <row r="375" spans="1:358" x14ac:dyDescent="0.25">
      <c r="A375" s="83" t="s">
        <v>2692</v>
      </c>
      <c r="B375" s="83" t="s">
        <v>3120</v>
      </c>
      <c r="P375" t="s">
        <v>1873</v>
      </c>
      <c r="T375" s="14" t="s">
        <v>2114</v>
      </c>
      <c r="AC375" t="str">
        <f t="shared" si="394"/>
        <v>A5.3</v>
      </c>
      <c r="AD375" s="43">
        <f t="array" ref="AD375">IF(COUNTIFS(AC$2:AC375,AC375)=1,"1",VALUE(SUBSTITUTE(INDEX(AD:AD,_xlfn.XMATCH(AC375,AC$1:AC374,0,-1)),"A",""))+INDEX(AE:AE,_xlfn.XMATCH(AC375,AC$1:AC374,0,-1))+1)</f>
        <v>17</v>
      </c>
      <c r="AE375" s="43">
        <f t="array" ref="AE375">SUM(IF(ISNUMBER(FIND("TmDi",$BE$1:$AAQ$1)),IF(IFERROR(ISNUMBER(VALUE(SUBSTITUTE($BE375:$AAQ375,"B",""))),FALSE),IF(ISNUMBER(VALUE(SUBSTITUTE($BE375:$AAQ375,"B",""))),1,0),0)))</f>
        <v>0</v>
      </c>
      <c r="AF375" t="str">
        <f t="shared" si="392"/>
        <v>C17</v>
      </c>
      <c r="AG375" t="str">
        <f t="shared" si="393"/>
        <v>B17</v>
      </c>
      <c r="AP375" t="s">
        <v>2116</v>
      </c>
      <c r="AT375" t="s">
        <v>854</v>
      </c>
      <c r="AU375" t="s">
        <v>1399</v>
      </c>
      <c r="LZ375" s="27" t="str">
        <f t="shared" si="397"/>
        <v>DI3-C17</v>
      </c>
      <c r="MA375" t="str">
        <f t="shared" si="348"/>
        <v>DI3-B17</v>
      </c>
      <c r="MB375" t="s">
        <v>1897</v>
      </c>
      <c r="MC375" t="s">
        <v>1898</v>
      </c>
      <c r="MD375">
        <f t="shared" ref="MD375:MK375" si="401">MD374</f>
        <v>11</v>
      </c>
      <c r="ME375">
        <f t="shared" si="401"/>
        <v>14</v>
      </c>
      <c r="MF375" t="str">
        <f t="shared" si="401"/>
        <v>A1</v>
      </c>
      <c r="MG375" t="str">
        <f t="shared" si="401"/>
        <v>A2</v>
      </c>
      <c r="MH375" t="str">
        <f t="shared" si="401"/>
        <v>0v3</v>
      </c>
      <c r="MI375" t="str">
        <f t="shared" si="401"/>
        <v>24v3</v>
      </c>
      <c r="MJ375" t="str">
        <f t="shared" si="401"/>
        <v>0v6</v>
      </c>
      <c r="MK375" t="str">
        <f t="shared" si="401"/>
        <v>24v6</v>
      </c>
      <c r="MR375">
        <f t="shared" si="396"/>
        <v>1</v>
      </c>
      <c r="MS375" s="16">
        <f t="shared" si="396"/>
        <v>2</v>
      </c>
    </row>
    <row r="376" spans="1:358" s="19" customFormat="1" ht="15.75" thickBot="1" x14ac:dyDescent="0.3">
      <c r="A376" s="88" t="s">
        <v>2693</v>
      </c>
      <c r="B376" s="88" t="s">
        <v>3121</v>
      </c>
      <c r="P376" s="19" t="s">
        <v>1873</v>
      </c>
      <c r="T376" s="17" t="s">
        <v>2114</v>
      </c>
      <c r="AC376" s="19" t="str">
        <f t="shared" si="394"/>
        <v>A5.3</v>
      </c>
      <c r="AD376" s="44">
        <f t="array" ref="AD376">IF(COUNTIFS(AC$2:AC376,AC376)=1,"1",VALUE(SUBSTITUTE(INDEX(AD:AD,_xlfn.XMATCH(AC376,AC$1:AC375,0,-1)),"A",""))+INDEX(AE:AE,_xlfn.XMATCH(AC376,AC$1:AC375,0,-1))+1)</f>
        <v>18</v>
      </c>
      <c r="AE376" s="44">
        <f t="array" ref="AE376">SUM(IF(ISNUMBER(FIND("TmDi",$BE$1:$AAQ$1)),IF(IFERROR(ISNUMBER(VALUE(SUBSTITUTE($BE376:$AAQ376,"B",""))),FALSE),IF(ISNUMBER(VALUE(SUBSTITUTE($BE376:$AAQ376,"B",""))),1,0),0)))</f>
        <v>0</v>
      </c>
      <c r="AF376" s="19" t="str">
        <f t="shared" si="392"/>
        <v>C18</v>
      </c>
      <c r="AG376" s="19" t="str">
        <f t="shared" si="393"/>
        <v>B18</v>
      </c>
      <c r="AI376" s="70"/>
      <c r="AJ376" s="70"/>
      <c r="AP376" s="19" t="s">
        <v>2116</v>
      </c>
      <c r="AT376" s="19" t="s">
        <v>854</v>
      </c>
      <c r="AU376" s="19" t="s">
        <v>1399</v>
      </c>
      <c r="LZ376" s="28" t="str">
        <f t="shared" si="397"/>
        <v>DI3-C18</v>
      </c>
      <c r="MA376" s="19" t="str">
        <f t="shared" si="348"/>
        <v>DI3-B18</v>
      </c>
      <c r="MB376" s="19" t="s">
        <v>1899</v>
      </c>
      <c r="MC376" s="19" t="s">
        <v>1900</v>
      </c>
      <c r="MD376" s="19">
        <f t="shared" ref="MD376:MK376" si="402">MD375</f>
        <v>11</v>
      </c>
      <c r="ME376" s="19">
        <f t="shared" si="402"/>
        <v>14</v>
      </c>
      <c r="MF376" s="19" t="str">
        <f t="shared" si="402"/>
        <v>A1</v>
      </c>
      <c r="MG376" s="19" t="str">
        <f t="shared" si="402"/>
        <v>A2</v>
      </c>
      <c r="MH376" s="19" t="str">
        <f t="shared" si="402"/>
        <v>0v3</v>
      </c>
      <c r="MI376" s="19" t="str">
        <f t="shared" si="402"/>
        <v>24v3</v>
      </c>
      <c r="MJ376" s="19" t="str">
        <f t="shared" si="402"/>
        <v>0v6</v>
      </c>
      <c r="MK376" s="19" t="str">
        <f t="shared" si="402"/>
        <v>24v6</v>
      </c>
      <c r="MR376" s="19">
        <f t="shared" si="396"/>
        <v>1</v>
      </c>
      <c r="MS376" s="20">
        <f t="shared" si="396"/>
        <v>2</v>
      </c>
    </row>
    <row r="377" spans="1:358" x14ac:dyDescent="0.25">
      <c r="A377" s="83" t="s">
        <v>2181</v>
      </c>
      <c r="B377" s="83" t="s">
        <v>2180</v>
      </c>
      <c r="C377" t="s">
        <v>498</v>
      </c>
      <c r="P377" t="s">
        <v>482</v>
      </c>
      <c r="T377" s="14" t="s">
        <v>2182</v>
      </c>
      <c r="U377">
        <v>1</v>
      </c>
      <c r="V377" t="s">
        <v>2183</v>
      </c>
      <c r="X377" t="s">
        <v>400</v>
      </c>
      <c r="Y377" s="43">
        <v>1</v>
      </c>
      <c r="Z377" s="43">
        <f t="array" ref="Z377">SUM(IF(ISNUMBER(FIND("TmAi",$BE$1:$AAQ$1)),IF(IFERROR(ISODD(SUBSTITUTE($BE377:$AAQ377,"A","")),FALSE),IF(ISODD(SUBSTITUTE($BE377:$AAQ377,"A","")),1,0),0)))</f>
        <v>0</v>
      </c>
      <c r="AA377" t="str">
        <f t="shared" ref="AA377:AA423" si="403">CONCATENATE($Y377*2-1,"B")</f>
        <v>1B</v>
      </c>
      <c r="AB377" t="str">
        <f t="shared" ref="AB377:AB423" si="404">CONCATENATE($Y377*2,"B")</f>
        <v>2B</v>
      </c>
      <c r="AP377" t="s">
        <v>2184</v>
      </c>
      <c r="AS377" t="s">
        <v>396</v>
      </c>
      <c r="JZ377" s="27" t="str">
        <f>CONCATENATE("XT",U377)</f>
        <v>XT1</v>
      </c>
      <c r="KC377" t="str">
        <f>CONCATENATE(T377,"-AI",REPLACE($X377,1,3,""),"-",AA377)</f>
        <v>N1-AI1-1B</v>
      </c>
      <c r="KD377" t="str">
        <f>CONCATENATE(T377,"-AI",REPLACE($X377,1,3,""),"-",AB377)</f>
        <v>N1-AI1-2B</v>
      </c>
      <c r="KI377">
        <v>1</v>
      </c>
      <c r="KJ377">
        <f t="shared" ref="KJ377:KK396" si="405">KI377+1</f>
        <v>2</v>
      </c>
      <c r="KK377">
        <f t="shared" si="405"/>
        <v>3</v>
      </c>
      <c r="KN377">
        <v>1</v>
      </c>
      <c r="KO377" s="16">
        <v>2</v>
      </c>
      <c r="KS377" s="16"/>
      <c r="MA377" t="str">
        <f t="shared" si="348"/>
        <v>DI-</v>
      </c>
    </row>
    <row r="378" spans="1:358" x14ac:dyDescent="0.25">
      <c r="A378" s="83" t="s">
        <v>2186</v>
      </c>
      <c r="B378" s="83" t="s">
        <v>2185</v>
      </c>
      <c r="C378" t="s">
        <v>492</v>
      </c>
      <c r="P378" t="s">
        <v>482</v>
      </c>
      <c r="T378" s="14" t="s">
        <v>2182</v>
      </c>
      <c r="U378">
        <v>1</v>
      </c>
      <c r="V378" t="s">
        <v>2187</v>
      </c>
      <c r="X378" t="str">
        <f>IF(COUNTIF(X$377:X377,X377)&gt;7,REPLACE(X377,LEN(X377),1,VALUE(RIGHT(X377,1))+1),X377)</f>
        <v>A3.1</v>
      </c>
      <c r="Y378" s="43">
        <f t="array" ref="Y378">IF(COUNTIFS($X$377:$X378,$X378)=1,"1",VALUE(SUBSTITUTE(INDEX(Y:Y,_xlfn.XMATCH($X378,$X$1:$X377,0,-1)),"A",""))+INDEX(Z:Z,_xlfn.XMATCH($X378,$X$1:$X377,0,-1))+1)</f>
        <v>2</v>
      </c>
      <c r="Z378" s="43">
        <f t="array" ref="Z378">SUM(IF(ISNUMBER(FIND("TmAi",$BE$1:$AAQ$1)),IF(IFERROR(ISODD(SUBSTITUTE($BE378:$AAQ378,"A","")),FALSE),IF(ISODD(SUBSTITUTE($BE378:$AAQ378,"A","")),1,0),0)))</f>
        <v>0</v>
      </c>
      <c r="AA378" t="str">
        <f t="shared" si="403"/>
        <v>3B</v>
      </c>
      <c r="AB378" t="str">
        <f t="shared" si="404"/>
        <v>4B</v>
      </c>
      <c r="AP378" t="s">
        <v>2184</v>
      </c>
      <c r="AS378" t="s">
        <v>396</v>
      </c>
      <c r="JZ378" s="27" t="str">
        <f>CONCATENATE("XT",U378)</f>
        <v>XT1</v>
      </c>
      <c r="KC378" t="str">
        <f>CONCATENATE(T378,"-AI",REPLACE($X378,1,3,""),"-",AA378)</f>
        <v>N1-AI1-3B</v>
      </c>
      <c r="KD378" t="str">
        <f>CONCATENATE(T378,"-AI",REPLACE($X378,1,3,""),"-",AB378)</f>
        <v>N1-AI1-4B</v>
      </c>
      <c r="KI378">
        <f t="array" ref="KI378">IF(COUNTIFS($U$2:$U378,$U378)=1,1,INDEX(KI:KI,_xlfn.XMATCH(U378,U$1:U377,0,-1))+COUNT(KI377:KM377))</f>
        <v>4</v>
      </c>
      <c r="KJ378">
        <f t="shared" si="405"/>
        <v>5</v>
      </c>
      <c r="KK378">
        <f t="shared" si="405"/>
        <v>6</v>
      </c>
      <c r="KN378">
        <v>1</v>
      </c>
      <c r="KO378" s="16">
        <v>2</v>
      </c>
      <c r="KS378" s="16"/>
      <c r="MA378" t="str">
        <f t="shared" si="348"/>
        <v>DI-</v>
      </c>
    </row>
    <row r="379" spans="1:358" x14ac:dyDescent="0.25">
      <c r="A379" s="83" t="s">
        <v>2188</v>
      </c>
      <c r="B379" s="83" t="s">
        <v>2189</v>
      </c>
      <c r="C379" t="s">
        <v>492</v>
      </c>
      <c r="P379" t="s">
        <v>482</v>
      </c>
      <c r="T379" s="14" t="s">
        <v>2182</v>
      </c>
      <c r="U379">
        <v>1</v>
      </c>
      <c r="V379" t="s">
        <v>2190</v>
      </c>
      <c r="X379" t="s">
        <v>2015</v>
      </c>
      <c r="Y379" s="43" t="str">
        <f t="array" ref="Y379">IF(COUNTIFS($X$377:$X379,$X379)=1,"1",VALUE(SUBSTITUTE(INDEX(Y:Y,_xlfn.XMATCH($X379,$X$1:$X378,0,-1)),"A",""))+INDEX(Z:Z,_xlfn.XMATCH($X379,$X$1:$X378,0,-1))+1)</f>
        <v>1</v>
      </c>
      <c r="Z379" s="43">
        <f t="array" ref="Z379">SUM(IF(ISNUMBER(FIND("TmAi",$BE$1:$AAQ$1)),IF(IFERROR(ISODD(SUBSTITUTE($BE379:$AAQ379,"A","")),FALSE),IF(ISODD(SUBSTITUTE($BE379:$AAQ379,"A","")),1,0),0)))</f>
        <v>0</v>
      </c>
      <c r="AA379" t="str">
        <f t="shared" si="403"/>
        <v>1B</v>
      </c>
      <c r="AB379" t="str">
        <f t="shared" si="404"/>
        <v>2B</v>
      </c>
      <c r="AP379" t="s">
        <v>2184</v>
      </c>
      <c r="AS379" t="s">
        <v>396</v>
      </c>
      <c r="JZ379" s="27" t="str">
        <f t="shared" ref="JZ379:JZ423" si="406">CONCATENATE("XT",U379)</f>
        <v>XT1</v>
      </c>
      <c r="KC379" t="str">
        <f t="shared" ref="KC379:KC423" si="407">CONCATENATE(T379,"-AI",REPLACE($X379,1,3,""),"-",AA379)</f>
        <v>N1-AI2-1B</v>
      </c>
      <c r="KD379" t="str">
        <f t="shared" ref="KD379:KD423" si="408">CONCATENATE(T379,"-AI",REPLACE($X379,1,3,""),"-",AB379)</f>
        <v>N1-AI2-2B</v>
      </c>
      <c r="KI379">
        <f t="array" ref="KI379">IF(COUNTIFS($U$2:$U379,$U379)=1,1,INDEX(KI:KI,_xlfn.XMATCH(U379,U$1:U378,0,-1))+COUNT(KI378:KM378))</f>
        <v>7</v>
      </c>
      <c r="KJ379">
        <f t="shared" si="405"/>
        <v>8</v>
      </c>
      <c r="KK379">
        <f t="shared" si="405"/>
        <v>9</v>
      </c>
      <c r="KN379">
        <v>1</v>
      </c>
      <c r="KO379" s="16">
        <v>2</v>
      </c>
      <c r="KS379" s="16"/>
      <c r="MA379" t="str">
        <f t="shared" si="348"/>
        <v>DI-</v>
      </c>
    </row>
    <row r="380" spans="1:358" x14ac:dyDescent="0.25">
      <c r="A380" s="83" t="s">
        <v>2237</v>
      </c>
      <c r="B380" s="83" t="s">
        <v>2236</v>
      </c>
      <c r="C380" t="s">
        <v>492</v>
      </c>
      <c r="P380" t="s">
        <v>482</v>
      </c>
      <c r="T380" s="14" t="s">
        <v>2182</v>
      </c>
      <c r="U380">
        <v>1</v>
      </c>
      <c r="V380" t="s">
        <v>2191</v>
      </c>
      <c r="X380" t="str">
        <f>IF(COUNTIF(X$377:X379,X379)&gt;7,REPLACE(X379,LEN(X379),1,VALUE(RIGHT(X379,1))+1),X379)</f>
        <v>A3.2</v>
      </c>
      <c r="Y380" s="43">
        <f t="array" ref="Y380">IF(COUNTIFS($X$377:$X380,$X380)=1,"1",VALUE(SUBSTITUTE(INDEX(Y:Y,_xlfn.XMATCH($X380,$X$1:$X379,0,-1)),"A",""))+INDEX(Z:Z,_xlfn.XMATCH($X380,$X$1:$X379,0,-1))+1)</f>
        <v>2</v>
      </c>
      <c r="Z380" s="43">
        <f t="array" ref="Z380">SUM(IF(ISNUMBER(FIND("TmAi",$BE$1:$AAQ$1)),IF(IFERROR(ISODD(SUBSTITUTE($BE380:$AAQ380,"A","")),FALSE),IF(ISODD(SUBSTITUTE($BE380:$AAQ380,"A","")),1,0),0)))</f>
        <v>0</v>
      </c>
      <c r="AA380" t="str">
        <f t="shared" si="403"/>
        <v>3B</v>
      </c>
      <c r="AB380" t="str">
        <f t="shared" si="404"/>
        <v>4B</v>
      </c>
      <c r="AP380" t="s">
        <v>2184</v>
      </c>
      <c r="AS380" t="s">
        <v>396</v>
      </c>
      <c r="JZ380" s="27" t="str">
        <f t="shared" si="406"/>
        <v>XT1</v>
      </c>
      <c r="KC380" t="str">
        <f t="shared" si="407"/>
        <v>N1-AI2-3B</v>
      </c>
      <c r="KD380" t="str">
        <f t="shared" si="408"/>
        <v>N1-AI2-4B</v>
      </c>
      <c r="KI380">
        <f t="array" ref="KI380">IF(COUNTIFS($U$2:$U380,$U380)=1,1,INDEX(KI:KI,_xlfn.XMATCH(U380,U$1:U379,0,-1))+COUNT(KI379:KM379))</f>
        <v>10</v>
      </c>
      <c r="KJ380">
        <f t="shared" si="405"/>
        <v>11</v>
      </c>
      <c r="KK380">
        <f t="shared" si="405"/>
        <v>12</v>
      </c>
      <c r="KN380">
        <v>1</v>
      </c>
      <c r="KO380" s="16">
        <v>2</v>
      </c>
      <c r="KS380" s="16"/>
      <c r="MA380" t="str">
        <f t="shared" si="348"/>
        <v>DI-</v>
      </c>
    </row>
    <row r="381" spans="1:358" x14ac:dyDescent="0.25">
      <c r="A381" s="83" t="s">
        <v>2239</v>
      </c>
      <c r="B381" s="83" t="s">
        <v>2238</v>
      </c>
      <c r="C381" t="s">
        <v>492</v>
      </c>
      <c r="P381" t="s">
        <v>482</v>
      </c>
      <c r="T381" s="14" t="s">
        <v>2182</v>
      </c>
      <c r="U381">
        <v>1</v>
      </c>
      <c r="V381" t="s">
        <v>2192</v>
      </c>
      <c r="X381" t="str">
        <f>IF(COUNTIF(X$377:X380,X380)&gt;7,REPLACE(X380,LEN(X380),1,VALUE(RIGHT(X380,1))+1),X380)</f>
        <v>A3.2</v>
      </c>
      <c r="Y381" s="43">
        <f t="array" ref="Y381">IF(COUNTIFS($X$377:$X381,$X381)=1,"1",VALUE(SUBSTITUTE(INDEX(Y:Y,_xlfn.XMATCH($X381,$X$1:$X380,0,-1)),"A",""))+INDEX(Z:Z,_xlfn.XMATCH($X381,$X$1:$X380,0,-1))+1)</f>
        <v>3</v>
      </c>
      <c r="Z381" s="43">
        <f t="array" ref="Z381">SUM(IF(ISNUMBER(FIND("TmAi",$BE$1:$AAQ$1)),IF(IFERROR(ISODD(SUBSTITUTE($BE381:$AAQ381,"A","")),FALSE),IF(ISODD(SUBSTITUTE($BE381:$AAQ381,"A","")),1,0),0)))</f>
        <v>0</v>
      </c>
      <c r="AA381" t="str">
        <f t="shared" si="403"/>
        <v>5B</v>
      </c>
      <c r="AB381" t="str">
        <f t="shared" si="404"/>
        <v>6B</v>
      </c>
      <c r="AP381" t="s">
        <v>2184</v>
      </c>
      <c r="AS381" t="s">
        <v>396</v>
      </c>
      <c r="JZ381" s="27" t="str">
        <f t="shared" si="406"/>
        <v>XT1</v>
      </c>
      <c r="KC381" t="str">
        <f t="shared" si="407"/>
        <v>N1-AI2-5B</v>
      </c>
      <c r="KD381" t="str">
        <f t="shared" si="408"/>
        <v>N1-AI2-6B</v>
      </c>
      <c r="KI381">
        <f t="array" ref="KI381">IF(COUNTIFS($U$2:$U381,$U381)=1,1,INDEX(KI:KI,_xlfn.XMATCH(U381,U$1:U380,0,-1))+COUNT(KI380:KM380))</f>
        <v>13</v>
      </c>
      <c r="KJ381">
        <f t="shared" si="405"/>
        <v>14</v>
      </c>
      <c r="KK381">
        <f t="shared" si="405"/>
        <v>15</v>
      </c>
      <c r="KN381">
        <v>1</v>
      </c>
      <c r="KO381" s="16">
        <v>2</v>
      </c>
      <c r="KS381" s="16"/>
      <c r="MA381" t="str">
        <f t="shared" si="348"/>
        <v>DI-</v>
      </c>
    </row>
    <row r="382" spans="1:358" x14ac:dyDescent="0.25">
      <c r="A382" s="83" t="s">
        <v>2241</v>
      </c>
      <c r="B382" s="83" t="s">
        <v>2240</v>
      </c>
      <c r="C382" t="s">
        <v>492</v>
      </c>
      <c r="P382" t="s">
        <v>482</v>
      </c>
      <c r="T382" s="14" t="s">
        <v>2182</v>
      </c>
      <c r="U382">
        <v>1</v>
      </c>
      <c r="V382" t="s">
        <v>2193</v>
      </c>
      <c r="X382" t="s">
        <v>484</v>
      </c>
      <c r="Y382" s="43" t="str">
        <f t="array" ref="Y382">IF(COUNTIFS($X$377:$X382,$X382)=1,"1",VALUE(SUBSTITUTE(INDEX(Y:Y,_xlfn.XMATCH($X382,$X$1:$X381,0,-1)),"A",""))+INDEX(Z:Z,_xlfn.XMATCH($X382,$X$1:$X381,0,-1))+1)</f>
        <v>1</v>
      </c>
      <c r="Z382" s="43">
        <f t="array" ref="Z382">SUM(IF(ISNUMBER(FIND("TmAi",$BE$1:$AAQ$1)),IF(IFERROR(ISODD(SUBSTITUTE($BE382:$AAQ382,"A","")),FALSE),IF(ISODD(SUBSTITUTE($BE382:$AAQ382,"A","")),1,0),0)))</f>
        <v>0</v>
      </c>
      <c r="AA382" t="str">
        <f t="shared" si="403"/>
        <v>1B</v>
      </c>
      <c r="AB382" t="str">
        <f t="shared" si="404"/>
        <v>2B</v>
      </c>
      <c r="AP382" t="s">
        <v>2184</v>
      </c>
      <c r="AS382" t="s">
        <v>396</v>
      </c>
      <c r="JZ382" s="27" t="str">
        <f t="shared" si="406"/>
        <v>XT1</v>
      </c>
      <c r="KC382" t="str">
        <f t="shared" si="407"/>
        <v>N1-AI3-1B</v>
      </c>
      <c r="KD382" t="str">
        <f t="shared" si="408"/>
        <v>N1-AI3-2B</v>
      </c>
      <c r="KI382">
        <f t="array" ref="KI382">IF(COUNTIFS($U$2:$U382,$U382)=1,1,INDEX(KI:KI,_xlfn.XMATCH(U382,U$1:U381,0,-1))+COUNT(KI381:KM381))</f>
        <v>16</v>
      </c>
      <c r="KJ382">
        <f t="shared" si="405"/>
        <v>17</v>
      </c>
      <c r="KK382">
        <f t="shared" si="405"/>
        <v>18</v>
      </c>
      <c r="KN382">
        <v>1</v>
      </c>
      <c r="KO382" s="16">
        <v>2</v>
      </c>
      <c r="KS382" s="16"/>
      <c r="MA382" t="str">
        <f t="shared" si="348"/>
        <v>DI-</v>
      </c>
    </row>
    <row r="383" spans="1:358" x14ac:dyDescent="0.25">
      <c r="A383" s="83" t="s">
        <v>2243</v>
      </c>
      <c r="B383" s="83" t="s">
        <v>2242</v>
      </c>
      <c r="C383" t="s">
        <v>492</v>
      </c>
      <c r="P383" t="s">
        <v>482</v>
      </c>
      <c r="T383" s="14" t="s">
        <v>2182</v>
      </c>
      <c r="U383">
        <v>1</v>
      </c>
      <c r="V383" t="s">
        <v>2194</v>
      </c>
      <c r="X383" t="str">
        <f>IF(COUNTIF(X$377:X382,X382)&gt;7,REPLACE(X382,LEN(X382),1,VALUE(RIGHT(X382,1))+1),X382)</f>
        <v>A3.3</v>
      </c>
      <c r="Y383" s="43">
        <f t="array" ref="Y383">IF(COUNTIFS($X$377:$X383,$X383)=1,"1",VALUE(SUBSTITUTE(INDEX(Y:Y,_xlfn.XMATCH($X383,$X$1:$X382,0,-1)),"A",""))+INDEX(Z:Z,_xlfn.XMATCH($X383,$X$1:$X382,0,-1))+1)</f>
        <v>2</v>
      </c>
      <c r="Z383" s="43">
        <f t="array" ref="Z383">SUM(IF(ISNUMBER(FIND("TmAi",$BE$1:$AAQ$1)),IF(IFERROR(ISODD(SUBSTITUTE($BE383:$AAQ383,"A","")),FALSE),IF(ISODD(SUBSTITUTE($BE383:$AAQ383,"A","")),1,0),0)))</f>
        <v>0</v>
      </c>
      <c r="AA383" t="str">
        <f t="shared" si="403"/>
        <v>3B</v>
      </c>
      <c r="AB383" t="str">
        <f t="shared" si="404"/>
        <v>4B</v>
      </c>
      <c r="AP383" t="s">
        <v>2184</v>
      </c>
      <c r="AS383" t="s">
        <v>396</v>
      </c>
      <c r="JZ383" s="27" t="str">
        <f t="shared" si="406"/>
        <v>XT1</v>
      </c>
      <c r="KC383" t="str">
        <f t="shared" si="407"/>
        <v>N1-AI3-3B</v>
      </c>
      <c r="KD383" t="str">
        <f t="shared" si="408"/>
        <v>N1-AI3-4B</v>
      </c>
      <c r="KI383">
        <f t="array" ref="KI383">IF(COUNTIFS($U$2:$U383,$U383)=1,1,INDEX(KI:KI,_xlfn.XMATCH(U383,U$1:U382,0,-1))+COUNT(KI382:KM382))</f>
        <v>19</v>
      </c>
      <c r="KJ383">
        <f t="shared" si="405"/>
        <v>20</v>
      </c>
      <c r="KK383">
        <f t="shared" si="405"/>
        <v>21</v>
      </c>
      <c r="KN383">
        <v>1</v>
      </c>
      <c r="KO383" s="16">
        <v>2</v>
      </c>
      <c r="KS383" s="16"/>
      <c r="MA383" t="str">
        <f t="shared" si="348"/>
        <v>DI-</v>
      </c>
    </row>
    <row r="384" spans="1:358" x14ac:dyDescent="0.25">
      <c r="A384" s="83" t="s">
        <v>2245</v>
      </c>
      <c r="B384" s="83" t="s">
        <v>2244</v>
      </c>
      <c r="C384" t="s">
        <v>492</v>
      </c>
      <c r="P384" t="s">
        <v>482</v>
      </c>
      <c r="T384" s="14" t="s">
        <v>2182</v>
      </c>
      <c r="U384">
        <v>1</v>
      </c>
      <c r="V384" t="s">
        <v>2195</v>
      </c>
      <c r="X384" t="str">
        <f>IF(COUNTIF(X$377:X383,X383)&gt;7,REPLACE(X383,LEN(X383),1,VALUE(RIGHT(X383,1))+1),X383)</f>
        <v>A3.3</v>
      </c>
      <c r="Y384" s="43">
        <f t="array" ref="Y384">IF(COUNTIFS($X$377:$X384,$X384)=1,"1",VALUE(SUBSTITUTE(INDEX(Y:Y,_xlfn.XMATCH($X384,$X$1:$X383,0,-1)),"A",""))+INDEX(Z:Z,_xlfn.XMATCH($X384,$X$1:$X383,0,-1))+1)</f>
        <v>3</v>
      </c>
      <c r="Z384" s="43">
        <f t="array" ref="Z384">SUM(IF(ISNUMBER(FIND("TmAi",$BE$1:$AAQ$1)),IF(IFERROR(ISODD(SUBSTITUTE($BE384:$AAQ384,"A","")),FALSE),IF(ISODD(SUBSTITUTE($BE384:$AAQ384,"A","")),1,0),0)))</f>
        <v>0</v>
      </c>
      <c r="AA384" t="str">
        <f t="shared" si="403"/>
        <v>5B</v>
      </c>
      <c r="AB384" t="str">
        <f t="shared" si="404"/>
        <v>6B</v>
      </c>
      <c r="AP384" t="s">
        <v>2184</v>
      </c>
      <c r="AS384" t="s">
        <v>396</v>
      </c>
      <c r="JZ384" s="27" t="str">
        <f t="shared" si="406"/>
        <v>XT1</v>
      </c>
      <c r="KC384" t="str">
        <f t="shared" si="407"/>
        <v>N1-AI3-5B</v>
      </c>
      <c r="KD384" t="str">
        <f t="shared" si="408"/>
        <v>N1-AI3-6B</v>
      </c>
      <c r="KI384">
        <f t="array" ref="KI384">IF(COUNTIFS($U$2:$U384,$U384)=1,1,INDEX(KI:KI,_xlfn.XMATCH(U384,U$1:U383,0,-1))+COUNT(KI383:KM383))</f>
        <v>22</v>
      </c>
      <c r="KJ384">
        <f t="shared" si="405"/>
        <v>23</v>
      </c>
      <c r="KK384">
        <f t="shared" si="405"/>
        <v>24</v>
      </c>
      <c r="KN384">
        <v>1</v>
      </c>
      <c r="KO384" s="16">
        <v>2</v>
      </c>
      <c r="KS384" s="16"/>
      <c r="MA384" t="str">
        <f t="shared" si="348"/>
        <v>DI-</v>
      </c>
    </row>
    <row r="385" spans="1:339" x14ac:dyDescent="0.25">
      <c r="A385" s="83" t="s">
        <v>2247</v>
      </c>
      <c r="B385" s="83" t="s">
        <v>2246</v>
      </c>
      <c r="C385" t="s">
        <v>492</v>
      </c>
      <c r="P385" t="s">
        <v>482</v>
      </c>
      <c r="T385" s="14" t="s">
        <v>2182</v>
      </c>
      <c r="U385">
        <v>1</v>
      </c>
      <c r="V385" t="s">
        <v>2196</v>
      </c>
      <c r="X385" t="s">
        <v>509</v>
      </c>
      <c r="Y385" s="43" t="str">
        <f t="array" ref="Y385">IF(COUNTIFS($X$377:$X385,$X385)=1,"1",VALUE(SUBSTITUTE(INDEX(Y:Y,_xlfn.XMATCH($X385,$X$1:$X384,0,-1)),"A",""))+INDEX(Z:Z,_xlfn.XMATCH($X385,$X$1:$X384,0,-1))+1)</f>
        <v>1</v>
      </c>
      <c r="Z385" s="43">
        <f t="array" ref="Z385">SUM(IF(ISNUMBER(FIND("TmAi",$BE$1:$AAQ$1)),IF(IFERROR(ISODD(SUBSTITUTE($BE385:$AAQ385,"A","")),FALSE),IF(ISODD(SUBSTITUTE($BE385:$AAQ385,"A","")),1,0),0)))</f>
        <v>0</v>
      </c>
      <c r="AA385" t="str">
        <f t="shared" si="403"/>
        <v>1B</v>
      </c>
      <c r="AB385" t="str">
        <f t="shared" si="404"/>
        <v>2B</v>
      </c>
      <c r="AP385" t="s">
        <v>2184</v>
      </c>
      <c r="AS385" t="s">
        <v>396</v>
      </c>
      <c r="JZ385" s="27" t="str">
        <f t="shared" si="406"/>
        <v>XT1</v>
      </c>
      <c r="KC385" t="str">
        <f t="shared" si="407"/>
        <v>N1-AI4-1B</v>
      </c>
      <c r="KD385" t="str">
        <f t="shared" si="408"/>
        <v>N1-AI4-2B</v>
      </c>
      <c r="KI385">
        <f t="array" ref="KI385">IF(COUNTIFS($U$2:$U385,$U385)=1,1,INDEX(KI:KI,_xlfn.XMATCH(U385,U$1:U384,0,-1))+COUNT(KI384:KM384))</f>
        <v>25</v>
      </c>
      <c r="KJ385">
        <f t="shared" si="405"/>
        <v>26</v>
      </c>
      <c r="KK385">
        <f t="shared" si="405"/>
        <v>27</v>
      </c>
      <c r="KN385">
        <v>1</v>
      </c>
      <c r="KO385" s="16">
        <v>2</v>
      </c>
      <c r="KS385" s="16"/>
      <c r="MA385" t="str">
        <f t="shared" si="348"/>
        <v>DI-</v>
      </c>
    </row>
    <row r="386" spans="1:339" x14ac:dyDescent="0.25">
      <c r="A386" s="83" t="s">
        <v>2249</v>
      </c>
      <c r="B386" s="83" t="s">
        <v>2248</v>
      </c>
      <c r="C386" t="s">
        <v>492</v>
      </c>
      <c r="P386" t="s">
        <v>482</v>
      </c>
      <c r="T386" s="14" t="s">
        <v>2182</v>
      </c>
      <c r="U386">
        <v>1</v>
      </c>
      <c r="V386" t="s">
        <v>2197</v>
      </c>
      <c r="X386" t="str">
        <f>IF(COUNTIF(X$377:X385,X385)&gt;7,REPLACE(X385,LEN(X385),1,VALUE(RIGHT(X385,1))+1),X385)</f>
        <v>A3.4</v>
      </c>
      <c r="Y386" s="43">
        <f t="array" ref="Y386">IF(COUNTIFS($X$377:$X386,$X386)=1,"1",VALUE(SUBSTITUTE(INDEX(Y:Y,_xlfn.XMATCH($X386,$X$1:$X385,0,-1)),"A",""))+INDEX(Z:Z,_xlfn.XMATCH($X386,$X$1:$X385,0,-1))+1)</f>
        <v>2</v>
      </c>
      <c r="Z386" s="43">
        <f t="array" ref="Z386">SUM(IF(ISNUMBER(FIND("TmAi",$BE$1:$AAQ$1)),IF(IFERROR(ISODD(SUBSTITUTE($BE386:$AAQ386,"A","")),FALSE),IF(ISODD(SUBSTITUTE($BE386:$AAQ386,"A","")),1,0),0)))</f>
        <v>0</v>
      </c>
      <c r="AA386" t="str">
        <f t="shared" si="403"/>
        <v>3B</v>
      </c>
      <c r="AB386" t="str">
        <f t="shared" si="404"/>
        <v>4B</v>
      </c>
      <c r="AP386" t="s">
        <v>2184</v>
      </c>
      <c r="AS386" t="s">
        <v>396</v>
      </c>
      <c r="JZ386" s="27" t="str">
        <f t="shared" si="406"/>
        <v>XT1</v>
      </c>
      <c r="KC386" t="str">
        <f t="shared" si="407"/>
        <v>N1-AI4-3B</v>
      </c>
      <c r="KD386" t="str">
        <f t="shared" si="408"/>
        <v>N1-AI4-4B</v>
      </c>
      <c r="KI386">
        <f t="array" ref="KI386">IF(COUNTIFS($U$2:$U386,$U386)=1,1,INDEX(KI:KI,_xlfn.XMATCH(U386,U$1:U385,0,-1))+COUNT(KI385:KM385))</f>
        <v>28</v>
      </c>
      <c r="KJ386">
        <f t="shared" si="405"/>
        <v>29</v>
      </c>
      <c r="KK386">
        <f t="shared" si="405"/>
        <v>30</v>
      </c>
      <c r="KN386">
        <v>1</v>
      </c>
      <c r="KO386" s="16">
        <v>2</v>
      </c>
      <c r="KS386" s="16"/>
      <c r="MA386" t="str">
        <f t="shared" si="348"/>
        <v>DI-</v>
      </c>
    </row>
    <row r="387" spans="1:339" x14ac:dyDescent="0.25">
      <c r="A387" s="83" t="s">
        <v>2251</v>
      </c>
      <c r="B387" s="83" t="s">
        <v>2250</v>
      </c>
      <c r="C387" t="s">
        <v>492</v>
      </c>
      <c r="P387" t="s">
        <v>482</v>
      </c>
      <c r="T387" s="14" t="s">
        <v>2182</v>
      </c>
      <c r="U387">
        <v>1</v>
      </c>
      <c r="V387" t="s">
        <v>2198</v>
      </c>
      <c r="X387" t="str">
        <f>IF(COUNTIF(X$377:X386,X386)&gt;7,REPLACE(X386,LEN(X386),1,VALUE(RIGHT(X386,1))+1),X386)</f>
        <v>A3.4</v>
      </c>
      <c r="Y387" s="43">
        <f t="array" ref="Y387">IF(COUNTIFS($X$377:$X387,$X387)=1,"1",VALUE(SUBSTITUTE(INDEX(Y:Y,_xlfn.XMATCH($X387,$X$1:$X386,0,-1)),"A",""))+INDEX(Z:Z,_xlfn.XMATCH($X387,$X$1:$X386,0,-1))+1)</f>
        <v>3</v>
      </c>
      <c r="Z387" s="43">
        <f t="array" ref="Z387">SUM(IF(ISNUMBER(FIND("TmAi",$BE$1:$AAQ$1)),IF(IFERROR(ISODD(SUBSTITUTE($BE387:$AAQ387,"A","")),FALSE),IF(ISODD(SUBSTITUTE($BE387:$AAQ387,"A","")),1,0),0)))</f>
        <v>0</v>
      </c>
      <c r="AA387" t="str">
        <f t="shared" si="403"/>
        <v>5B</v>
      </c>
      <c r="AB387" t="str">
        <f t="shared" si="404"/>
        <v>6B</v>
      </c>
      <c r="AP387" t="s">
        <v>2184</v>
      </c>
      <c r="AS387" t="s">
        <v>396</v>
      </c>
      <c r="JZ387" s="27" t="str">
        <f t="shared" si="406"/>
        <v>XT1</v>
      </c>
      <c r="KC387" t="str">
        <f t="shared" si="407"/>
        <v>N1-AI4-5B</v>
      </c>
      <c r="KD387" t="str">
        <f t="shared" si="408"/>
        <v>N1-AI4-6B</v>
      </c>
      <c r="KI387">
        <f t="array" ref="KI387">IF(COUNTIFS($U$2:$U387,$U387)=1,1,INDEX(KI:KI,_xlfn.XMATCH(U387,U$1:U386,0,-1))+COUNT(KI386:KM386))</f>
        <v>31</v>
      </c>
      <c r="KJ387">
        <f t="shared" si="405"/>
        <v>32</v>
      </c>
      <c r="KK387">
        <f t="shared" si="405"/>
        <v>33</v>
      </c>
      <c r="KN387">
        <v>1</v>
      </c>
      <c r="KO387" s="16">
        <v>2</v>
      </c>
      <c r="KS387" s="16"/>
      <c r="MA387" t="str">
        <f t="shared" si="348"/>
        <v>DI-</v>
      </c>
    </row>
    <row r="388" spans="1:339" x14ac:dyDescent="0.25">
      <c r="A388" s="83" t="s">
        <v>2252</v>
      </c>
      <c r="B388" s="83" t="s">
        <v>2253</v>
      </c>
      <c r="C388" t="s">
        <v>492</v>
      </c>
      <c r="P388" t="s">
        <v>482</v>
      </c>
      <c r="T388" s="14" t="s">
        <v>2182</v>
      </c>
      <c r="U388">
        <v>1</v>
      </c>
      <c r="V388" t="s">
        <v>2199</v>
      </c>
      <c r="X388" t="s">
        <v>400</v>
      </c>
      <c r="Y388" s="43">
        <f t="array" ref="Y388">IF(COUNTIFS($X$377:$X388,$X388)=1,"1",VALUE(SUBSTITUTE(INDEX(Y:Y,_xlfn.XMATCH($X388,$X$1:$X387,0,-1)),"A",""))+INDEX(Z:Z,_xlfn.XMATCH($X388,$X$1:$X387,0,-1))+1)</f>
        <v>3</v>
      </c>
      <c r="Z388" s="43">
        <f t="array" ref="Z388">SUM(IF(ISNUMBER(FIND("TmAi",$BE$1:$AAQ$1)),IF(IFERROR(ISODD(SUBSTITUTE($BE388:$AAQ388,"A","")),FALSE),IF(ISODD(SUBSTITUTE($BE388:$AAQ388,"A","")),1,0),0)))</f>
        <v>0</v>
      </c>
      <c r="AA388" t="str">
        <f t="shared" si="403"/>
        <v>5B</v>
      </c>
      <c r="AB388" t="str">
        <f t="shared" si="404"/>
        <v>6B</v>
      </c>
      <c r="AP388" t="s">
        <v>2184</v>
      </c>
      <c r="AS388" t="s">
        <v>396</v>
      </c>
      <c r="JZ388" s="27" t="str">
        <f t="shared" si="406"/>
        <v>XT1</v>
      </c>
      <c r="KC388" t="str">
        <f t="shared" si="407"/>
        <v>N1-AI1-5B</v>
      </c>
      <c r="KD388" t="str">
        <f t="shared" si="408"/>
        <v>N1-AI1-6B</v>
      </c>
      <c r="KI388">
        <f t="array" ref="KI388">IF(COUNTIFS($U$2:$U388,$U388)=1,1,INDEX(KI:KI,_xlfn.XMATCH(U388,U$1:U387,0,-1))+COUNT(KI387:KM387))</f>
        <v>34</v>
      </c>
      <c r="KJ388">
        <f t="shared" si="405"/>
        <v>35</v>
      </c>
      <c r="KK388">
        <f t="shared" si="405"/>
        <v>36</v>
      </c>
      <c r="KN388">
        <v>1</v>
      </c>
      <c r="KO388" s="16">
        <v>2</v>
      </c>
      <c r="KS388" s="16"/>
      <c r="MA388" t="str">
        <f t="shared" si="348"/>
        <v>DI-</v>
      </c>
    </row>
    <row r="389" spans="1:339" x14ac:dyDescent="0.25">
      <c r="A389" s="83" t="s">
        <v>2256</v>
      </c>
      <c r="B389" s="83" t="s">
        <v>2254</v>
      </c>
      <c r="C389" t="s">
        <v>492</v>
      </c>
      <c r="P389" t="s">
        <v>482</v>
      </c>
      <c r="T389" s="14" t="s">
        <v>2182</v>
      </c>
      <c r="U389">
        <v>1</v>
      </c>
      <c r="V389" t="s">
        <v>2200</v>
      </c>
      <c r="X389" t="s">
        <v>2015</v>
      </c>
      <c r="Y389" s="43">
        <v>5</v>
      </c>
      <c r="Z389" s="43">
        <f t="array" ref="Z389">SUM(IF(ISNUMBER(FIND("TmAi",$BE$1:$AAQ$1)),IF(IFERROR(ISODD(SUBSTITUTE($BE389:$AAQ389,"A","")),FALSE),IF(ISODD(SUBSTITUTE($BE389:$AAQ389,"A","")),1,0),0)))</f>
        <v>0</v>
      </c>
      <c r="AA389" t="str">
        <f t="shared" si="403"/>
        <v>9B</v>
      </c>
      <c r="AB389" t="str">
        <f t="shared" si="404"/>
        <v>10B</v>
      </c>
      <c r="AP389" t="s">
        <v>2184</v>
      </c>
      <c r="AS389" t="s">
        <v>396</v>
      </c>
      <c r="JZ389" s="27" t="str">
        <f t="shared" si="406"/>
        <v>XT1</v>
      </c>
      <c r="KC389" t="str">
        <f t="shared" si="407"/>
        <v>N1-AI2-9B</v>
      </c>
      <c r="KD389" t="str">
        <f t="shared" si="408"/>
        <v>N1-AI2-10B</v>
      </c>
      <c r="KI389">
        <f t="array" ref="KI389">IF(COUNTIFS($U$2:$U389,$U389)=1,1,INDEX(KI:KI,_xlfn.XMATCH(U389,U$1:U388,0,-1))+COUNT(KI388:KM388))</f>
        <v>37</v>
      </c>
      <c r="KJ389">
        <f t="shared" si="405"/>
        <v>38</v>
      </c>
      <c r="KK389">
        <f t="shared" si="405"/>
        <v>39</v>
      </c>
      <c r="KN389">
        <v>1</v>
      </c>
      <c r="KO389" s="16">
        <v>2</v>
      </c>
      <c r="KS389" s="16"/>
      <c r="MA389" t="str">
        <f t="shared" si="348"/>
        <v>DI-</v>
      </c>
    </row>
    <row r="390" spans="1:339" x14ac:dyDescent="0.25">
      <c r="A390" s="83" t="s">
        <v>2257</v>
      </c>
      <c r="B390" s="83" t="s">
        <v>2255</v>
      </c>
      <c r="C390" t="s">
        <v>492</v>
      </c>
      <c r="P390" t="s">
        <v>482</v>
      </c>
      <c r="T390" s="14" t="s">
        <v>2182</v>
      </c>
      <c r="U390">
        <v>1</v>
      </c>
      <c r="V390" t="s">
        <v>2201</v>
      </c>
      <c r="X390" t="str">
        <f>IF(COUNTIF(X$377:X389,X389)&gt;7,REPLACE(X389,LEN(X389),1,VALUE(RIGHT(X389,1))+1),X389)</f>
        <v>A3.2</v>
      </c>
      <c r="Y390" s="43">
        <f t="array" ref="Y390">IF(COUNTIFS($X$377:$X390,$X390)=1,"1",VALUE(SUBSTITUTE(INDEX(Y:Y,_xlfn.XMATCH($X390,$X$1:$X389,0,-1)),"A",""))+INDEX(Z:Z,_xlfn.XMATCH($X390,$X$1:$X389,0,-1))+1)</f>
        <v>6</v>
      </c>
      <c r="Z390" s="43">
        <f t="array" ref="Z390">SUM(IF(ISNUMBER(FIND("TmAi",$BE$1:$AAQ$1)),IF(IFERROR(ISODD(SUBSTITUTE($BE390:$AAQ390,"A","")),FALSE),IF(ISODD(SUBSTITUTE($BE390:$AAQ390,"A","")),1,0),0)))</f>
        <v>0</v>
      </c>
      <c r="AA390" t="str">
        <f t="shared" si="403"/>
        <v>11B</v>
      </c>
      <c r="AB390" t="str">
        <f t="shared" si="404"/>
        <v>12B</v>
      </c>
      <c r="AP390" t="s">
        <v>2184</v>
      </c>
      <c r="AS390" t="s">
        <v>396</v>
      </c>
      <c r="JZ390" s="27" t="str">
        <f t="shared" si="406"/>
        <v>XT1</v>
      </c>
      <c r="KC390" t="str">
        <f t="shared" si="407"/>
        <v>N1-AI2-11B</v>
      </c>
      <c r="KD390" t="str">
        <f t="shared" si="408"/>
        <v>N1-AI2-12B</v>
      </c>
      <c r="KI390">
        <f t="array" ref="KI390">IF(COUNTIFS($U$2:$U390,$U390)=1,1,INDEX(KI:KI,_xlfn.XMATCH(U390,U$1:U389,0,-1))+COUNT(KI389:KM389))</f>
        <v>40</v>
      </c>
      <c r="KJ390">
        <f t="shared" si="405"/>
        <v>41</v>
      </c>
      <c r="KK390">
        <f t="shared" si="405"/>
        <v>42</v>
      </c>
      <c r="KN390">
        <v>1</v>
      </c>
      <c r="KO390" s="16">
        <v>2</v>
      </c>
      <c r="KS390" s="16"/>
      <c r="MA390" t="str">
        <f t="shared" si="348"/>
        <v>DI-</v>
      </c>
    </row>
    <row r="391" spans="1:339" x14ac:dyDescent="0.25">
      <c r="A391" s="83" t="s">
        <v>2259</v>
      </c>
      <c r="B391" s="83" t="s">
        <v>2258</v>
      </c>
      <c r="C391" t="s">
        <v>492</v>
      </c>
      <c r="P391" t="s">
        <v>482</v>
      </c>
      <c r="T391" s="14" t="s">
        <v>2182</v>
      </c>
      <c r="U391">
        <v>1</v>
      </c>
      <c r="V391" t="s">
        <v>2202</v>
      </c>
      <c r="X391" t="str">
        <f>IF(COUNTIF(X$377:X390,X390)&gt;7,REPLACE(X390,LEN(X390),1,VALUE(RIGHT(X390,1))+1),X390)</f>
        <v>A3.2</v>
      </c>
      <c r="Y391" s="43">
        <f t="array" ref="Y391">IF(COUNTIFS($X$377:$X391,$X391)=1,"1",VALUE(SUBSTITUTE(INDEX(Y:Y,_xlfn.XMATCH($X391,$X$1:$X390,0,-1)),"A",""))+INDEX(Z:Z,_xlfn.XMATCH($X391,$X$1:$X390,0,-1))+1)</f>
        <v>7</v>
      </c>
      <c r="Z391" s="43">
        <f t="array" ref="Z391">SUM(IF(ISNUMBER(FIND("TmAi",$BE$1:$AAQ$1)),IF(IFERROR(ISODD(SUBSTITUTE($BE391:$AAQ391,"A","")),FALSE),IF(ISODD(SUBSTITUTE($BE391:$AAQ391,"A","")),1,0),0)))</f>
        <v>0</v>
      </c>
      <c r="AA391" t="str">
        <f t="shared" si="403"/>
        <v>13B</v>
      </c>
      <c r="AB391" t="str">
        <f t="shared" si="404"/>
        <v>14B</v>
      </c>
      <c r="AP391" t="s">
        <v>2184</v>
      </c>
      <c r="AS391" t="s">
        <v>396</v>
      </c>
      <c r="JZ391" s="27" t="str">
        <f t="shared" si="406"/>
        <v>XT1</v>
      </c>
      <c r="KC391" t="str">
        <f t="shared" si="407"/>
        <v>N1-AI2-13B</v>
      </c>
      <c r="KD391" t="str">
        <f t="shared" si="408"/>
        <v>N1-AI2-14B</v>
      </c>
      <c r="KI391">
        <f t="array" ref="KI391">IF(COUNTIFS($U$2:$U391,$U391)=1,1,INDEX(KI:KI,_xlfn.XMATCH(U391,U$1:U390,0,-1))+COUNT(KI390:KM390))</f>
        <v>43</v>
      </c>
      <c r="KJ391">
        <f t="shared" si="405"/>
        <v>44</v>
      </c>
      <c r="KK391">
        <f t="shared" si="405"/>
        <v>45</v>
      </c>
      <c r="KN391">
        <v>1</v>
      </c>
      <c r="KO391" s="16">
        <v>2</v>
      </c>
      <c r="KS391" s="16"/>
      <c r="MA391" t="str">
        <f t="shared" si="348"/>
        <v>DI-</v>
      </c>
    </row>
    <row r="392" spans="1:339" x14ac:dyDescent="0.25">
      <c r="A392" s="83" t="s">
        <v>2261</v>
      </c>
      <c r="B392" s="83" t="s">
        <v>2260</v>
      </c>
      <c r="C392" t="s">
        <v>492</v>
      </c>
      <c r="P392" t="s">
        <v>482</v>
      </c>
      <c r="T392" s="14" t="s">
        <v>2182</v>
      </c>
      <c r="U392">
        <v>1</v>
      </c>
      <c r="V392" t="s">
        <v>2203</v>
      </c>
      <c r="X392" t="s">
        <v>484</v>
      </c>
      <c r="Y392" s="43">
        <v>5</v>
      </c>
      <c r="Z392" s="43">
        <f t="array" ref="Z392">SUM(IF(ISNUMBER(FIND("TmAi",$BE$1:$AAQ$1)),IF(IFERROR(ISODD(SUBSTITUTE($BE392:$AAQ392,"A","")),FALSE),IF(ISODD(SUBSTITUTE($BE392:$AAQ392,"A","")),1,0),0)))</f>
        <v>0</v>
      </c>
      <c r="AA392" t="str">
        <f t="shared" si="403"/>
        <v>9B</v>
      </c>
      <c r="AB392" t="str">
        <f t="shared" si="404"/>
        <v>10B</v>
      </c>
      <c r="AP392" t="s">
        <v>2184</v>
      </c>
      <c r="AS392" t="s">
        <v>396</v>
      </c>
      <c r="JZ392" s="27" t="str">
        <f t="shared" si="406"/>
        <v>XT1</v>
      </c>
      <c r="KC392" t="str">
        <f t="shared" si="407"/>
        <v>N1-AI3-9B</v>
      </c>
      <c r="KD392" t="str">
        <f t="shared" si="408"/>
        <v>N1-AI3-10B</v>
      </c>
      <c r="KI392">
        <f t="array" ref="KI392">IF(COUNTIFS($U$2:$U392,$U392)=1,1,INDEX(KI:KI,_xlfn.XMATCH(U392,U$1:U391,0,-1))+COUNT(KI391:KM391))</f>
        <v>46</v>
      </c>
      <c r="KJ392">
        <f t="shared" si="405"/>
        <v>47</v>
      </c>
      <c r="KK392">
        <f t="shared" si="405"/>
        <v>48</v>
      </c>
      <c r="KN392">
        <v>1</v>
      </c>
      <c r="KO392" s="16">
        <v>2</v>
      </c>
      <c r="KS392" s="16"/>
      <c r="MA392" t="str">
        <f t="shared" si="348"/>
        <v>DI-</v>
      </c>
    </row>
    <row r="393" spans="1:339" x14ac:dyDescent="0.25">
      <c r="A393" s="83" t="s">
        <v>2263</v>
      </c>
      <c r="B393" s="83" t="s">
        <v>2262</v>
      </c>
      <c r="C393" t="s">
        <v>492</v>
      </c>
      <c r="P393" t="s">
        <v>482</v>
      </c>
      <c r="T393" s="14" t="s">
        <v>2182</v>
      </c>
      <c r="U393">
        <v>1</v>
      </c>
      <c r="V393" t="s">
        <v>2204</v>
      </c>
      <c r="X393" t="str">
        <f>IF(COUNTIF(X$377:X392,X392)&gt;7,REPLACE(X392,LEN(X392),1,VALUE(RIGHT(X392,1))+1),X392)</f>
        <v>A3.3</v>
      </c>
      <c r="Y393" s="43">
        <f t="array" ref="Y393">IF(COUNTIFS($X$377:$X393,$X393)=1,"1",VALUE(SUBSTITUTE(INDEX(Y:Y,_xlfn.XMATCH($X393,$X$1:$X392,0,-1)),"A",""))+INDEX(Z:Z,_xlfn.XMATCH($X393,$X$1:$X392,0,-1))+1)</f>
        <v>6</v>
      </c>
      <c r="Z393" s="43">
        <f t="array" ref="Z393">SUM(IF(ISNUMBER(FIND("TmAi",$BE$1:$AAQ$1)),IF(IFERROR(ISODD(SUBSTITUTE($BE393:$AAQ393,"A","")),FALSE),IF(ISODD(SUBSTITUTE($BE393:$AAQ393,"A","")),1,0),0)))</f>
        <v>0</v>
      </c>
      <c r="AA393" t="str">
        <f t="shared" si="403"/>
        <v>11B</v>
      </c>
      <c r="AB393" t="str">
        <f t="shared" si="404"/>
        <v>12B</v>
      </c>
      <c r="AP393" t="s">
        <v>2184</v>
      </c>
      <c r="AS393" t="s">
        <v>396</v>
      </c>
      <c r="JZ393" s="27" t="str">
        <f t="shared" si="406"/>
        <v>XT1</v>
      </c>
      <c r="KC393" t="str">
        <f t="shared" si="407"/>
        <v>N1-AI3-11B</v>
      </c>
      <c r="KD393" t="str">
        <f t="shared" si="408"/>
        <v>N1-AI3-12B</v>
      </c>
      <c r="KI393">
        <f t="array" ref="KI393">IF(COUNTIFS($U$2:$U393,$U393)=1,1,INDEX(KI:KI,_xlfn.XMATCH(U393,U$1:U392,0,-1))+COUNT(KI392:KM392))</f>
        <v>49</v>
      </c>
      <c r="KJ393">
        <f t="shared" si="405"/>
        <v>50</v>
      </c>
      <c r="KK393">
        <f t="shared" si="405"/>
        <v>51</v>
      </c>
      <c r="KN393">
        <v>1</v>
      </c>
      <c r="KO393" s="16">
        <v>2</v>
      </c>
      <c r="KS393" s="16"/>
      <c r="MA393" t="str">
        <f t="shared" si="348"/>
        <v>DI-</v>
      </c>
    </row>
    <row r="394" spans="1:339" x14ac:dyDescent="0.25">
      <c r="A394" s="83" t="s">
        <v>2265</v>
      </c>
      <c r="B394" s="83" t="s">
        <v>2264</v>
      </c>
      <c r="C394" t="s">
        <v>492</v>
      </c>
      <c r="P394" t="s">
        <v>482</v>
      </c>
      <c r="T394" s="14" t="s">
        <v>2182</v>
      </c>
      <c r="U394">
        <v>1</v>
      </c>
      <c r="V394" t="s">
        <v>2205</v>
      </c>
      <c r="X394" t="str">
        <f>IF(COUNTIF(X$377:X393,X393)&gt;7,REPLACE(X393,LEN(X393),1,VALUE(RIGHT(X393,1))+1),X393)</f>
        <v>A3.3</v>
      </c>
      <c r="Y394" s="43">
        <f t="array" ref="Y394">IF(COUNTIFS($X$377:$X394,$X394)=1,"1",VALUE(SUBSTITUTE(INDEX(Y:Y,_xlfn.XMATCH($X394,$X$1:$X393,0,-1)),"A",""))+INDEX(Z:Z,_xlfn.XMATCH($X394,$X$1:$X393,0,-1))+1)</f>
        <v>7</v>
      </c>
      <c r="Z394" s="43">
        <f t="array" ref="Z394">SUM(IF(ISNUMBER(FIND("TmAi",$BE$1:$AAQ$1)),IF(IFERROR(ISODD(SUBSTITUTE($BE394:$AAQ394,"A","")),FALSE),IF(ISODD(SUBSTITUTE($BE394:$AAQ394,"A","")),1,0),0)))</f>
        <v>0</v>
      </c>
      <c r="AA394" t="str">
        <f t="shared" si="403"/>
        <v>13B</v>
      </c>
      <c r="AB394" t="str">
        <f t="shared" si="404"/>
        <v>14B</v>
      </c>
      <c r="AP394" t="s">
        <v>2184</v>
      </c>
      <c r="AS394" t="s">
        <v>396</v>
      </c>
      <c r="JZ394" s="27" t="str">
        <f t="shared" si="406"/>
        <v>XT1</v>
      </c>
      <c r="KC394" t="str">
        <f t="shared" si="407"/>
        <v>N1-AI3-13B</v>
      </c>
      <c r="KD394" t="str">
        <f t="shared" si="408"/>
        <v>N1-AI3-14B</v>
      </c>
      <c r="KI394">
        <f t="array" ref="KI394">IF(COUNTIFS($U$2:$U394,$U394)=1,1,INDEX(KI:KI,_xlfn.XMATCH(U394,U$1:U393,0,-1))+COUNT(KI393:KM393))</f>
        <v>52</v>
      </c>
      <c r="KJ394">
        <f t="shared" si="405"/>
        <v>53</v>
      </c>
      <c r="KK394">
        <f t="shared" si="405"/>
        <v>54</v>
      </c>
      <c r="KN394">
        <v>1</v>
      </c>
      <c r="KO394" s="16">
        <v>2</v>
      </c>
      <c r="KS394" s="16"/>
      <c r="MA394" t="str">
        <f t="shared" si="348"/>
        <v>DI-</v>
      </c>
    </row>
    <row r="395" spans="1:339" x14ac:dyDescent="0.25">
      <c r="A395" s="83" t="s">
        <v>2267</v>
      </c>
      <c r="B395" s="83" t="s">
        <v>2266</v>
      </c>
      <c r="C395" t="s">
        <v>492</v>
      </c>
      <c r="P395" t="s">
        <v>482</v>
      </c>
      <c r="T395" s="14" t="s">
        <v>2182</v>
      </c>
      <c r="U395">
        <v>1</v>
      </c>
      <c r="V395" t="s">
        <v>2206</v>
      </c>
      <c r="X395" t="s">
        <v>509</v>
      </c>
      <c r="Y395" s="43">
        <v>5</v>
      </c>
      <c r="Z395" s="43">
        <f t="array" ref="Z395">SUM(IF(ISNUMBER(FIND("TmAi",$BE$1:$AAQ$1)),IF(IFERROR(ISODD(SUBSTITUTE($BE395:$AAQ395,"A","")),FALSE),IF(ISODD(SUBSTITUTE($BE395:$AAQ395,"A","")),1,0),0)))</f>
        <v>0</v>
      </c>
      <c r="AA395" t="str">
        <f t="shared" si="403"/>
        <v>9B</v>
      </c>
      <c r="AB395" t="str">
        <f t="shared" si="404"/>
        <v>10B</v>
      </c>
      <c r="AP395" t="s">
        <v>2184</v>
      </c>
      <c r="AS395" t="s">
        <v>396</v>
      </c>
      <c r="JZ395" s="27" t="str">
        <f t="shared" si="406"/>
        <v>XT1</v>
      </c>
      <c r="KC395" t="str">
        <f t="shared" si="407"/>
        <v>N1-AI4-9B</v>
      </c>
      <c r="KD395" t="str">
        <f t="shared" si="408"/>
        <v>N1-AI4-10B</v>
      </c>
      <c r="KI395">
        <f t="array" ref="KI395">IF(COUNTIFS($U$2:$U395,$U395)=1,1,INDEX(KI:KI,_xlfn.XMATCH(U395,U$1:U394,0,-1))+COUNT(KI394:KM394))</f>
        <v>55</v>
      </c>
      <c r="KJ395">
        <f t="shared" si="405"/>
        <v>56</v>
      </c>
      <c r="KK395">
        <f t="shared" si="405"/>
        <v>57</v>
      </c>
      <c r="KN395">
        <v>1</v>
      </c>
      <c r="KO395" s="16">
        <v>2</v>
      </c>
      <c r="KS395" s="16"/>
      <c r="MA395" t="str">
        <f t="shared" si="348"/>
        <v>DI-</v>
      </c>
    </row>
    <row r="396" spans="1:339" x14ac:dyDescent="0.25">
      <c r="A396" s="83" t="s">
        <v>2269</v>
      </c>
      <c r="B396" s="83" t="s">
        <v>2268</v>
      </c>
      <c r="C396" t="s">
        <v>492</v>
      </c>
      <c r="P396" t="s">
        <v>482</v>
      </c>
      <c r="T396" s="14" t="s">
        <v>2182</v>
      </c>
      <c r="U396">
        <v>1</v>
      </c>
      <c r="V396" t="s">
        <v>2207</v>
      </c>
      <c r="X396" t="str">
        <f>IF(COUNTIF(X$377:X395,X395)&gt;7,REPLACE(X395,LEN(X395),1,VALUE(RIGHT(X395,1))+1),X395)</f>
        <v>A3.4</v>
      </c>
      <c r="Y396" s="43">
        <f t="array" ref="Y396">IF(COUNTIFS($X$377:$X396,$X396)=1,"1",VALUE(SUBSTITUTE(INDEX(Y:Y,_xlfn.XMATCH($X396,$X$1:$X395,0,-1)),"A",""))+INDEX(Z:Z,_xlfn.XMATCH($X396,$X$1:$X395,0,-1))+1)</f>
        <v>6</v>
      </c>
      <c r="Z396" s="43">
        <f t="array" ref="Z396">SUM(IF(ISNUMBER(FIND("TmAi",$BE$1:$AAQ$1)),IF(IFERROR(ISODD(SUBSTITUTE($BE396:$AAQ396,"A","")),FALSE),IF(ISODD(SUBSTITUTE($BE396:$AAQ396,"A","")),1,0),0)))</f>
        <v>0</v>
      </c>
      <c r="AA396" t="str">
        <f t="shared" si="403"/>
        <v>11B</v>
      </c>
      <c r="AB396" t="str">
        <f t="shared" si="404"/>
        <v>12B</v>
      </c>
      <c r="AP396" t="s">
        <v>2184</v>
      </c>
      <c r="AS396" t="s">
        <v>396</v>
      </c>
      <c r="JZ396" s="27" t="str">
        <f t="shared" si="406"/>
        <v>XT1</v>
      </c>
      <c r="KC396" t="str">
        <f t="shared" si="407"/>
        <v>N1-AI4-11B</v>
      </c>
      <c r="KD396" t="str">
        <f t="shared" si="408"/>
        <v>N1-AI4-12B</v>
      </c>
      <c r="KI396">
        <f t="array" ref="KI396">IF(COUNTIFS($U$2:$U396,$U396)=1,1,INDEX(KI:KI,_xlfn.XMATCH(U396,U$1:U395,0,-1))+COUNT(KI395:KM395))</f>
        <v>58</v>
      </c>
      <c r="KJ396">
        <f t="shared" si="405"/>
        <v>59</v>
      </c>
      <c r="KK396">
        <f t="shared" si="405"/>
        <v>60</v>
      </c>
      <c r="KN396">
        <v>1</v>
      </c>
      <c r="KO396" s="16">
        <v>2</v>
      </c>
      <c r="KS396" s="16"/>
      <c r="MA396" t="str">
        <f t="shared" si="348"/>
        <v>DI-</v>
      </c>
    </row>
    <row r="397" spans="1:339" x14ac:dyDescent="0.25">
      <c r="A397" s="83" t="s">
        <v>2271</v>
      </c>
      <c r="B397" s="83" t="s">
        <v>2270</v>
      </c>
      <c r="C397" t="s">
        <v>492</v>
      </c>
      <c r="P397" t="s">
        <v>482</v>
      </c>
      <c r="T397" s="14" t="s">
        <v>2182</v>
      </c>
      <c r="U397">
        <v>1</v>
      </c>
      <c r="V397" t="s">
        <v>2208</v>
      </c>
      <c r="X397" t="str">
        <f>IF(COUNTIF(X$377:X396,X396)&gt;7,REPLACE(X396,LEN(X396),1,VALUE(RIGHT(X396,1))+1),X396)</f>
        <v>A3.4</v>
      </c>
      <c r="Y397" s="43">
        <f t="array" ref="Y397">IF(COUNTIFS($X$377:$X397,$X397)=1,"1",VALUE(SUBSTITUTE(INDEX(Y:Y,_xlfn.XMATCH($X397,$X$1:$X396,0,-1)),"A",""))+INDEX(Z:Z,_xlfn.XMATCH($X397,$X$1:$X396,0,-1))+1)</f>
        <v>7</v>
      </c>
      <c r="Z397" s="43">
        <f t="array" ref="Z397">SUM(IF(ISNUMBER(FIND("TmAi",$BE$1:$AAQ$1)),IF(IFERROR(ISODD(SUBSTITUTE($BE397:$AAQ397,"A","")),FALSE),IF(ISODD(SUBSTITUTE($BE397:$AAQ397,"A","")),1,0),0)))</f>
        <v>0</v>
      </c>
      <c r="AA397" t="str">
        <f t="shared" si="403"/>
        <v>13B</v>
      </c>
      <c r="AB397" t="str">
        <f t="shared" si="404"/>
        <v>14B</v>
      </c>
      <c r="AP397" t="s">
        <v>2184</v>
      </c>
      <c r="AS397" t="s">
        <v>396</v>
      </c>
      <c r="JZ397" s="27" t="str">
        <f t="shared" si="406"/>
        <v>XT1</v>
      </c>
      <c r="KC397" t="str">
        <f t="shared" si="407"/>
        <v>N1-AI4-13B</v>
      </c>
      <c r="KD397" t="str">
        <f t="shared" si="408"/>
        <v>N1-AI4-14B</v>
      </c>
      <c r="KI397">
        <f t="array" ref="KI397">IF(COUNTIFS($U$2:$U397,$U397)=1,1,INDEX(KI:KI,_xlfn.XMATCH(U397,U$1:U396,0,-1))+COUNT(KI396:KM396))</f>
        <v>61</v>
      </c>
      <c r="KJ397">
        <f t="shared" ref="KJ397:KK416" si="409">KI397+1</f>
        <v>62</v>
      </c>
      <c r="KK397">
        <f t="shared" si="409"/>
        <v>63</v>
      </c>
      <c r="KN397">
        <v>1</v>
      </c>
      <c r="KO397" s="16">
        <v>2</v>
      </c>
      <c r="KS397" s="16"/>
      <c r="MA397" t="str">
        <f t="shared" si="348"/>
        <v>DI-</v>
      </c>
    </row>
    <row r="398" spans="1:339" x14ac:dyDescent="0.25">
      <c r="A398" s="83" t="s">
        <v>2273</v>
      </c>
      <c r="B398" s="83" t="s">
        <v>2272</v>
      </c>
      <c r="C398" t="s">
        <v>492</v>
      </c>
      <c r="P398" t="s">
        <v>482</v>
      </c>
      <c r="T398" s="14" t="s">
        <v>2182</v>
      </c>
      <c r="U398">
        <v>1</v>
      </c>
      <c r="V398" t="s">
        <v>2209</v>
      </c>
      <c r="X398" t="s">
        <v>400</v>
      </c>
      <c r="Y398" s="43">
        <f t="array" ref="Y398">IF(COUNTIFS($X$377:$X398,$X398)=1,"1",VALUE(SUBSTITUTE(INDEX(Y:Y,_xlfn.XMATCH($X398,$X$1:$X397,0,-1)),"A",""))+INDEX(Z:Z,_xlfn.XMATCH($X398,$X$1:$X397,0,-1))+1)</f>
        <v>4</v>
      </c>
      <c r="Z398" s="43">
        <f t="array" ref="Z398">SUM(IF(ISNUMBER(FIND("TmAi",$BE$1:$AAQ$1)),IF(IFERROR(ISODD(SUBSTITUTE($BE398:$AAQ398,"A","")),FALSE),IF(ISODD(SUBSTITUTE($BE398:$AAQ398,"A","")),1,0),0)))</f>
        <v>0</v>
      </c>
      <c r="AA398" t="str">
        <f t="shared" si="403"/>
        <v>7B</v>
      </c>
      <c r="AB398" t="str">
        <f t="shared" si="404"/>
        <v>8B</v>
      </c>
      <c r="AP398" t="s">
        <v>2184</v>
      </c>
      <c r="AS398" t="s">
        <v>396</v>
      </c>
      <c r="JZ398" s="27" t="str">
        <f t="shared" si="406"/>
        <v>XT1</v>
      </c>
      <c r="KC398" t="str">
        <f t="shared" si="407"/>
        <v>N1-AI1-7B</v>
      </c>
      <c r="KD398" t="str">
        <f t="shared" si="408"/>
        <v>N1-AI1-8B</v>
      </c>
      <c r="KI398">
        <f t="array" ref="KI398">IF(COUNTIFS($U$2:$U398,$U398)=1,1,INDEX(KI:KI,_xlfn.XMATCH(U398,U$1:U397,0,-1))+COUNT(KI397:KM397))</f>
        <v>64</v>
      </c>
      <c r="KJ398">
        <f t="shared" si="409"/>
        <v>65</v>
      </c>
      <c r="KK398">
        <f t="shared" si="409"/>
        <v>66</v>
      </c>
      <c r="KN398">
        <v>1</v>
      </c>
      <c r="KO398" s="16">
        <v>2</v>
      </c>
      <c r="KS398" s="16"/>
      <c r="MA398" t="str">
        <f t="shared" si="348"/>
        <v>DI-</v>
      </c>
    </row>
    <row r="399" spans="1:339" x14ac:dyDescent="0.25">
      <c r="A399" s="83" t="s">
        <v>2274</v>
      </c>
      <c r="B399" s="83" t="s">
        <v>2275</v>
      </c>
      <c r="C399" t="s">
        <v>498</v>
      </c>
      <c r="P399" t="s">
        <v>482</v>
      </c>
      <c r="T399" s="14" t="s">
        <v>2182</v>
      </c>
      <c r="U399">
        <v>1</v>
      </c>
      <c r="V399" t="s">
        <v>2210</v>
      </c>
      <c r="X399" t="str">
        <f>IF(COUNTIF(X$377:X398,X398)&gt;7,REPLACE(X398,LEN(X398),1,VALUE(RIGHT(X398,1))+1),X398)</f>
        <v>A3.1</v>
      </c>
      <c r="Y399" s="43">
        <f t="array" ref="Y399">IF(COUNTIFS($X$377:$X399,$X399)=1,"1",VALUE(SUBSTITUTE(INDEX(Y:Y,_xlfn.XMATCH($X399,$X$1:$X398,0,-1)),"A",""))+INDEX(Z:Z,_xlfn.XMATCH($X399,$X$1:$X398,0,-1))+1)</f>
        <v>5</v>
      </c>
      <c r="Z399" s="43">
        <f t="array" ref="Z399">SUM(IF(ISNUMBER(FIND("TmAi",$BE$1:$AAQ$1)),IF(IFERROR(ISODD(SUBSTITUTE($BE399:$AAQ399,"A","")),FALSE),IF(ISODD(SUBSTITUTE($BE399:$AAQ399,"A","")),1,0),0)))</f>
        <v>0</v>
      </c>
      <c r="AA399" t="str">
        <f t="shared" si="403"/>
        <v>9B</v>
      </c>
      <c r="AB399" t="str">
        <f t="shared" si="404"/>
        <v>10B</v>
      </c>
      <c r="AP399" t="s">
        <v>2184</v>
      </c>
      <c r="AS399" t="s">
        <v>396</v>
      </c>
      <c r="JZ399" s="27" t="str">
        <f t="shared" si="406"/>
        <v>XT1</v>
      </c>
      <c r="KC399" t="str">
        <f t="shared" si="407"/>
        <v>N1-AI1-9B</v>
      </c>
      <c r="KD399" t="str">
        <f t="shared" si="408"/>
        <v>N1-AI1-10B</v>
      </c>
      <c r="KI399">
        <f t="array" ref="KI399">IF(COUNTIFS($U$2:$U399,$U399)=1,1,INDEX(KI:KI,_xlfn.XMATCH(U399,U$1:U398,0,-1))+COUNT(KI398:KM398))</f>
        <v>67</v>
      </c>
      <c r="KJ399">
        <f t="shared" si="409"/>
        <v>68</v>
      </c>
      <c r="KK399">
        <f t="shared" si="409"/>
        <v>69</v>
      </c>
      <c r="KN399">
        <v>1</v>
      </c>
      <c r="KO399" s="16">
        <v>2</v>
      </c>
      <c r="KS399" s="16"/>
      <c r="MA399" t="str">
        <f t="shared" si="348"/>
        <v>DI-</v>
      </c>
    </row>
    <row r="400" spans="1:339" x14ac:dyDescent="0.25">
      <c r="A400" s="83" t="s">
        <v>2277</v>
      </c>
      <c r="B400" s="83" t="s">
        <v>2276</v>
      </c>
      <c r="C400" t="s">
        <v>498</v>
      </c>
      <c r="P400" t="s">
        <v>482</v>
      </c>
      <c r="T400" s="14" t="s">
        <v>2182</v>
      </c>
      <c r="U400">
        <v>1</v>
      </c>
      <c r="V400" t="s">
        <v>2211</v>
      </c>
      <c r="X400" t="str">
        <f>IF(COUNTIF(X$377:X399,X399)&gt;7,REPLACE(X399,LEN(X399),1,VALUE(RIGHT(X399,1))+1),X399)</f>
        <v>A3.1</v>
      </c>
      <c r="Y400" s="43">
        <f t="array" ref="Y400">IF(COUNTIFS($X$377:$X400,$X400)=1,"1",VALUE(SUBSTITUTE(INDEX(Y:Y,_xlfn.XMATCH($X400,$X$1:$X399,0,-1)),"A",""))+INDEX(Z:Z,_xlfn.XMATCH($X400,$X$1:$X399,0,-1))+1)</f>
        <v>6</v>
      </c>
      <c r="Z400" s="43">
        <f t="array" ref="Z400">SUM(IF(ISNUMBER(FIND("TmAi",$BE$1:$AAQ$1)),IF(IFERROR(ISODD(SUBSTITUTE($BE400:$AAQ400,"A","")),FALSE),IF(ISODD(SUBSTITUTE($BE400:$AAQ400,"A","")),1,0),0)))</f>
        <v>0</v>
      </c>
      <c r="AA400" t="str">
        <f t="shared" si="403"/>
        <v>11B</v>
      </c>
      <c r="AB400" t="str">
        <f t="shared" si="404"/>
        <v>12B</v>
      </c>
      <c r="AP400" t="s">
        <v>2184</v>
      </c>
      <c r="AS400" t="s">
        <v>396</v>
      </c>
      <c r="JZ400" s="27" t="str">
        <f t="shared" si="406"/>
        <v>XT1</v>
      </c>
      <c r="KC400" t="str">
        <f t="shared" si="407"/>
        <v>N1-AI1-11B</v>
      </c>
      <c r="KD400" t="str">
        <f t="shared" si="408"/>
        <v>N1-AI1-12B</v>
      </c>
      <c r="KI400">
        <f t="array" ref="KI400">IF(COUNTIFS($U$2:$U400,$U400)=1,1,INDEX(KI:KI,_xlfn.XMATCH(U400,U$1:U399,0,-1))+COUNT(KI399:KM399))</f>
        <v>70</v>
      </c>
      <c r="KJ400">
        <f t="shared" si="409"/>
        <v>71</v>
      </c>
      <c r="KK400">
        <f t="shared" si="409"/>
        <v>72</v>
      </c>
      <c r="KN400">
        <v>1</v>
      </c>
      <c r="KO400" s="16">
        <v>2</v>
      </c>
      <c r="KS400" s="16"/>
      <c r="MA400" t="str">
        <f t="shared" si="348"/>
        <v>DI-</v>
      </c>
    </row>
    <row r="401" spans="1:339" x14ac:dyDescent="0.25">
      <c r="A401" s="83" t="s">
        <v>2279</v>
      </c>
      <c r="B401" s="83" t="s">
        <v>2278</v>
      </c>
      <c r="C401" t="s">
        <v>498</v>
      </c>
      <c r="P401" t="s">
        <v>482</v>
      </c>
      <c r="T401" s="14" t="s">
        <v>2182</v>
      </c>
      <c r="U401">
        <v>1</v>
      </c>
      <c r="V401" t="s">
        <v>2212</v>
      </c>
      <c r="X401" t="s">
        <v>2324</v>
      </c>
      <c r="Y401" s="43" t="str">
        <f t="array" ref="Y401">IF(COUNTIFS($X$377:$X401,$X401)=1,"1",VALUE(SUBSTITUTE(INDEX(Y:Y,_xlfn.XMATCH($X401,$X$1:$X400,0,-1)),"A",""))+INDEX(Z:Z,_xlfn.XMATCH($X401,$X$1:$X400,0,-1))+1)</f>
        <v>1</v>
      </c>
      <c r="Z401" s="43">
        <f t="array" ref="Z401">SUM(IF(ISNUMBER(FIND("TmAi",$BE$1:$AAQ$1)),IF(IFERROR(ISODD(SUBSTITUTE($BE401:$AAQ401,"A","")),FALSE),IF(ISODD(SUBSTITUTE($BE401:$AAQ401,"A","")),1,0),0)))</f>
        <v>0</v>
      </c>
      <c r="AA401" t="str">
        <f t="shared" si="403"/>
        <v>1B</v>
      </c>
      <c r="AB401" t="str">
        <f t="shared" si="404"/>
        <v>2B</v>
      </c>
      <c r="AP401" t="s">
        <v>2184</v>
      </c>
      <c r="AS401" t="s">
        <v>396</v>
      </c>
      <c r="JZ401" s="27" t="str">
        <f t="shared" si="406"/>
        <v>XT1</v>
      </c>
      <c r="KC401" t="str">
        <f t="shared" si="407"/>
        <v>N1-AI5-1B</v>
      </c>
      <c r="KD401" t="str">
        <f t="shared" si="408"/>
        <v>N1-AI5-2B</v>
      </c>
      <c r="KI401">
        <f t="array" ref="KI401">IF(COUNTIFS($U$2:$U401,$U401)=1,1,INDEX(KI:KI,_xlfn.XMATCH(U401,U$1:U400,0,-1))+COUNT(KI400:KM400))</f>
        <v>73</v>
      </c>
      <c r="KJ401">
        <f t="shared" si="409"/>
        <v>74</v>
      </c>
      <c r="KK401">
        <f t="shared" si="409"/>
        <v>75</v>
      </c>
      <c r="KN401">
        <v>1</v>
      </c>
      <c r="KO401" s="16">
        <v>2</v>
      </c>
      <c r="KS401" s="16"/>
      <c r="MA401" t="str">
        <f t="shared" si="348"/>
        <v>DI-</v>
      </c>
    </row>
    <row r="402" spans="1:339" x14ac:dyDescent="0.25">
      <c r="A402" s="83" t="s">
        <v>2280</v>
      </c>
      <c r="B402" s="83" t="s">
        <v>2281</v>
      </c>
      <c r="C402" t="s">
        <v>498</v>
      </c>
      <c r="P402" t="s">
        <v>482</v>
      </c>
      <c r="T402" s="14" t="s">
        <v>2182</v>
      </c>
      <c r="U402">
        <v>1</v>
      </c>
      <c r="V402" t="s">
        <v>2213</v>
      </c>
      <c r="X402" t="str">
        <f>IF(COUNTIF(X$377:X401,X401)&gt;7,REPLACE(X401,LEN(X401),1,VALUE(RIGHT(X401,1))+1),X401)</f>
        <v>A3.5</v>
      </c>
      <c r="Y402" s="43">
        <f t="array" ref="Y402">IF(COUNTIFS($X$377:$X402,$X402)=1,"1",VALUE(SUBSTITUTE(INDEX(Y:Y,_xlfn.XMATCH($X402,$X$1:$X401,0,-1)),"A",""))+INDEX(Z:Z,_xlfn.XMATCH($X402,$X$1:$X401,0,-1))+1)</f>
        <v>2</v>
      </c>
      <c r="Z402" s="43">
        <f t="array" ref="Z402">SUM(IF(ISNUMBER(FIND("TmAi",$BE$1:$AAQ$1)),IF(IFERROR(ISODD(SUBSTITUTE($BE402:$AAQ402,"A","")),FALSE),IF(ISODD(SUBSTITUTE($BE402:$AAQ402,"A","")),1,0),0)))</f>
        <v>0</v>
      </c>
      <c r="AA402" t="str">
        <f t="shared" si="403"/>
        <v>3B</v>
      </c>
      <c r="AB402" t="str">
        <f t="shared" si="404"/>
        <v>4B</v>
      </c>
      <c r="AP402" t="s">
        <v>2184</v>
      </c>
      <c r="AS402" t="s">
        <v>396</v>
      </c>
      <c r="JZ402" s="27" t="str">
        <f t="shared" si="406"/>
        <v>XT1</v>
      </c>
      <c r="KC402" t="str">
        <f t="shared" si="407"/>
        <v>N1-AI5-3B</v>
      </c>
      <c r="KD402" t="str">
        <f t="shared" si="408"/>
        <v>N1-AI5-4B</v>
      </c>
      <c r="KI402">
        <f t="array" ref="KI402">IF(COUNTIFS($U$2:$U402,$U402)=1,1,INDEX(KI:KI,_xlfn.XMATCH(U402,U$1:U401,0,-1))+COUNT(KI401:KM401))</f>
        <v>76</v>
      </c>
      <c r="KJ402">
        <f t="shared" si="409"/>
        <v>77</v>
      </c>
      <c r="KK402">
        <f t="shared" si="409"/>
        <v>78</v>
      </c>
      <c r="KN402">
        <v>1</v>
      </c>
      <c r="KO402" s="16">
        <v>2</v>
      </c>
      <c r="KS402" s="16"/>
      <c r="MA402" t="str">
        <f t="shared" si="348"/>
        <v>DI-</v>
      </c>
    </row>
    <row r="403" spans="1:339" x14ac:dyDescent="0.25">
      <c r="A403" s="83" t="s">
        <v>2288</v>
      </c>
      <c r="B403" s="83" t="s">
        <v>2282</v>
      </c>
      <c r="C403" t="s">
        <v>498</v>
      </c>
      <c r="P403" t="s">
        <v>482</v>
      </c>
      <c r="T403" s="14" t="s">
        <v>2182</v>
      </c>
      <c r="U403">
        <v>1</v>
      </c>
      <c r="V403" t="s">
        <v>2214</v>
      </c>
      <c r="X403" t="str">
        <f>IF(COUNTIF(X$377:X402,X402)&gt;7,REPLACE(X402,LEN(X402),1,VALUE(RIGHT(X402,1))+1),X402)</f>
        <v>A3.5</v>
      </c>
      <c r="Y403" s="43">
        <f t="array" ref="Y403">IF(COUNTIFS($X$377:$X403,$X403)=1,"1",VALUE(SUBSTITUTE(INDEX(Y:Y,_xlfn.XMATCH($X403,$X$1:$X402,0,-1)),"A",""))+INDEX(Z:Z,_xlfn.XMATCH($X403,$X$1:$X402,0,-1))+1)</f>
        <v>3</v>
      </c>
      <c r="Z403" s="43">
        <f t="array" ref="Z403">SUM(IF(ISNUMBER(FIND("TmAi",$BE$1:$AAQ$1)),IF(IFERROR(ISODD(SUBSTITUTE($BE403:$AAQ403,"A","")),FALSE),IF(ISODD(SUBSTITUTE($BE403:$AAQ403,"A","")),1,0),0)))</f>
        <v>0</v>
      </c>
      <c r="AA403" t="str">
        <f t="shared" si="403"/>
        <v>5B</v>
      </c>
      <c r="AB403" t="str">
        <f t="shared" si="404"/>
        <v>6B</v>
      </c>
      <c r="AP403" t="s">
        <v>2184</v>
      </c>
      <c r="AS403" t="s">
        <v>396</v>
      </c>
      <c r="JZ403" s="27" t="str">
        <f t="shared" si="406"/>
        <v>XT1</v>
      </c>
      <c r="KC403" t="str">
        <f t="shared" si="407"/>
        <v>N1-AI5-5B</v>
      </c>
      <c r="KD403" t="str">
        <f t="shared" si="408"/>
        <v>N1-AI5-6B</v>
      </c>
      <c r="KI403">
        <f t="array" ref="KI403">IF(COUNTIFS($U$2:$U403,$U403)=1,1,INDEX(KI:KI,_xlfn.XMATCH(U403,U$1:U402,0,-1))+COUNT(KI402:KM402))</f>
        <v>79</v>
      </c>
      <c r="KJ403">
        <f t="shared" si="409"/>
        <v>80</v>
      </c>
      <c r="KK403">
        <f t="shared" si="409"/>
        <v>81</v>
      </c>
      <c r="KN403">
        <v>1</v>
      </c>
      <c r="KO403" s="16">
        <v>2</v>
      </c>
      <c r="KS403" s="16"/>
      <c r="MA403" t="str">
        <f t="shared" si="348"/>
        <v>DI-</v>
      </c>
    </row>
    <row r="404" spans="1:339" x14ac:dyDescent="0.25">
      <c r="A404" s="83" t="s">
        <v>2289</v>
      </c>
      <c r="B404" s="83" t="s">
        <v>2283</v>
      </c>
      <c r="C404" t="s">
        <v>498</v>
      </c>
      <c r="P404" t="s">
        <v>482</v>
      </c>
      <c r="T404" s="14" t="s">
        <v>2182</v>
      </c>
      <c r="U404">
        <v>1</v>
      </c>
      <c r="V404" t="s">
        <v>2215</v>
      </c>
      <c r="X404" t="str">
        <f>IF(COUNTIF(X$377:X403,X403)&gt;7,REPLACE(X403,LEN(X403),1,VALUE(RIGHT(X403,1))+1),X403)</f>
        <v>A3.5</v>
      </c>
      <c r="Y404" s="43">
        <f t="array" ref="Y404">IF(COUNTIFS($X$377:$X404,$X404)=1,"1",VALUE(SUBSTITUTE(INDEX(Y:Y,_xlfn.XMATCH($X404,$X$1:$X403,0,-1)),"A",""))+INDEX(Z:Z,_xlfn.XMATCH($X404,$X$1:$X403,0,-1))+1)</f>
        <v>4</v>
      </c>
      <c r="Z404" s="43">
        <f t="array" ref="Z404">SUM(IF(ISNUMBER(FIND("TmAi",$BE$1:$AAQ$1)),IF(IFERROR(ISODD(SUBSTITUTE($BE404:$AAQ404,"A","")),FALSE),IF(ISODD(SUBSTITUTE($BE404:$AAQ404,"A","")),1,0),0)))</f>
        <v>0</v>
      </c>
      <c r="AA404" t="str">
        <f t="shared" si="403"/>
        <v>7B</v>
      </c>
      <c r="AB404" t="str">
        <f t="shared" si="404"/>
        <v>8B</v>
      </c>
      <c r="AP404" t="s">
        <v>2184</v>
      </c>
      <c r="AS404" t="s">
        <v>396</v>
      </c>
      <c r="JZ404" s="27" t="str">
        <f t="shared" si="406"/>
        <v>XT1</v>
      </c>
      <c r="KC404" t="str">
        <f t="shared" si="407"/>
        <v>N1-AI5-7B</v>
      </c>
      <c r="KD404" t="str">
        <f t="shared" si="408"/>
        <v>N1-AI5-8B</v>
      </c>
      <c r="KI404">
        <f t="array" ref="KI404">IF(COUNTIFS($U$2:$U404,$U404)=1,1,INDEX(KI:KI,_xlfn.XMATCH(U404,U$1:U403,0,-1))+COUNT(KI403:KM403))</f>
        <v>82</v>
      </c>
      <c r="KJ404">
        <f t="shared" si="409"/>
        <v>83</v>
      </c>
      <c r="KK404">
        <f t="shared" si="409"/>
        <v>84</v>
      </c>
      <c r="KN404">
        <v>1</v>
      </c>
      <c r="KO404" s="16">
        <v>2</v>
      </c>
      <c r="KS404" s="16"/>
      <c r="MA404" t="str">
        <f t="shared" si="348"/>
        <v>DI-</v>
      </c>
    </row>
    <row r="405" spans="1:339" x14ac:dyDescent="0.25">
      <c r="A405" s="83" t="s">
        <v>2290</v>
      </c>
      <c r="B405" s="83" t="s">
        <v>2284</v>
      </c>
      <c r="C405" t="s">
        <v>498</v>
      </c>
      <c r="P405" t="s">
        <v>482</v>
      </c>
      <c r="T405" s="14" t="s">
        <v>2182</v>
      </c>
      <c r="U405">
        <v>1</v>
      </c>
      <c r="V405" t="s">
        <v>2216</v>
      </c>
      <c r="X405" t="str">
        <f>IF(COUNTIF(X$377:X404,X404)&gt;7,REPLACE(X404,LEN(X404),1,VALUE(RIGHT(X404,1))+1),X404)</f>
        <v>A3.5</v>
      </c>
      <c r="Y405" s="43">
        <f t="array" ref="Y405">IF(COUNTIFS($X$377:$X405,$X405)=1,"1",VALUE(SUBSTITUTE(INDEX(Y:Y,_xlfn.XMATCH($X405,$X$1:$X404,0,-1)),"A",""))+INDEX(Z:Z,_xlfn.XMATCH($X405,$X$1:$X404,0,-1))+1)</f>
        <v>5</v>
      </c>
      <c r="Z405" s="43">
        <f t="array" ref="Z405">SUM(IF(ISNUMBER(FIND("TmAi",$BE$1:$AAQ$1)),IF(IFERROR(ISODD(SUBSTITUTE($BE405:$AAQ405,"A","")),FALSE),IF(ISODD(SUBSTITUTE($BE405:$AAQ405,"A","")),1,0),0)))</f>
        <v>0</v>
      </c>
      <c r="AA405" t="str">
        <f t="shared" si="403"/>
        <v>9B</v>
      </c>
      <c r="AB405" t="str">
        <f t="shared" si="404"/>
        <v>10B</v>
      </c>
      <c r="AP405" t="s">
        <v>2184</v>
      </c>
      <c r="AS405" t="s">
        <v>396</v>
      </c>
      <c r="JZ405" s="27" t="str">
        <f t="shared" si="406"/>
        <v>XT1</v>
      </c>
      <c r="KC405" t="str">
        <f t="shared" si="407"/>
        <v>N1-AI5-9B</v>
      </c>
      <c r="KD405" t="str">
        <f t="shared" si="408"/>
        <v>N1-AI5-10B</v>
      </c>
      <c r="KI405">
        <f t="array" ref="KI405">IF(COUNTIFS($U$2:$U405,$U405)=1,1,INDEX(KI:KI,_xlfn.XMATCH(U405,U$1:U404,0,-1))+COUNT(KI404:KM404))</f>
        <v>85</v>
      </c>
      <c r="KJ405">
        <f t="shared" si="409"/>
        <v>86</v>
      </c>
      <c r="KK405">
        <f t="shared" si="409"/>
        <v>87</v>
      </c>
      <c r="KN405">
        <v>1</v>
      </c>
      <c r="KO405" s="16">
        <v>2</v>
      </c>
      <c r="KS405" s="16"/>
      <c r="MA405" t="str">
        <f t="shared" si="348"/>
        <v>DI-</v>
      </c>
    </row>
    <row r="406" spans="1:339" x14ac:dyDescent="0.25">
      <c r="A406" s="83" t="s">
        <v>2291</v>
      </c>
      <c r="B406" s="83" t="s">
        <v>2285</v>
      </c>
      <c r="C406" t="s">
        <v>498</v>
      </c>
      <c r="P406" t="s">
        <v>482</v>
      </c>
      <c r="T406" s="14" t="s">
        <v>2182</v>
      </c>
      <c r="U406">
        <v>1</v>
      </c>
      <c r="V406" t="s">
        <v>2217</v>
      </c>
      <c r="X406" t="str">
        <f>IF(COUNTIF(X$377:X405,X405)&gt;7,REPLACE(X405,LEN(X405),1,VALUE(RIGHT(X405,1))+1),X405)</f>
        <v>A3.5</v>
      </c>
      <c r="Y406" s="43">
        <f t="array" ref="Y406">IF(COUNTIFS($X$377:$X406,$X406)=1,"1",VALUE(SUBSTITUTE(INDEX(Y:Y,_xlfn.XMATCH($X406,$X$1:$X405,0,-1)),"A",""))+INDEX(Z:Z,_xlfn.XMATCH($X406,$X$1:$X405,0,-1))+1)</f>
        <v>6</v>
      </c>
      <c r="Z406" s="43">
        <f t="array" ref="Z406">SUM(IF(ISNUMBER(FIND("TmAi",$BE$1:$AAQ$1)),IF(IFERROR(ISODD(SUBSTITUTE($BE406:$AAQ406,"A","")),FALSE),IF(ISODD(SUBSTITUTE($BE406:$AAQ406,"A","")),1,0),0)))</f>
        <v>0</v>
      </c>
      <c r="AA406" t="str">
        <f t="shared" si="403"/>
        <v>11B</v>
      </c>
      <c r="AB406" t="str">
        <f t="shared" si="404"/>
        <v>12B</v>
      </c>
      <c r="AP406" t="s">
        <v>2184</v>
      </c>
      <c r="AS406" t="s">
        <v>396</v>
      </c>
      <c r="JZ406" s="27" t="str">
        <f t="shared" si="406"/>
        <v>XT1</v>
      </c>
      <c r="KC406" t="str">
        <f t="shared" si="407"/>
        <v>N1-AI5-11B</v>
      </c>
      <c r="KD406" t="str">
        <f t="shared" si="408"/>
        <v>N1-AI5-12B</v>
      </c>
      <c r="KI406">
        <f t="array" ref="KI406">IF(COUNTIFS($U$2:$U406,$U406)=1,1,INDEX(KI:KI,_xlfn.XMATCH(U406,U$1:U405,0,-1))+COUNT(KI405:KM405))</f>
        <v>88</v>
      </c>
      <c r="KJ406">
        <f t="shared" si="409"/>
        <v>89</v>
      </c>
      <c r="KK406">
        <f t="shared" si="409"/>
        <v>90</v>
      </c>
      <c r="KN406">
        <v>1</v>
      </c>
      <c r="KO406" s="16">
        <v>2</v>
      </c>
      <c r="KS406" s="16"/>
      <c r="MA406" t="str">
        <f t="shared" si="348"/>
        <v>DI-</v>
      </c>
    </row>
    <row r="407" spans="1:339" x14ac:dyDescent="0.25">
      <c r="A407" s="83" t="s">
        <v>2292</v>
      </c>
      <c r="B407" s="83" t="s">
        <v>2286</v>
      </c>
      <c r="C407" t="s">
        <v>498</v>
      </c>
      <c r="P407" t="s">
        <v>482</v>
      </c>
      <c r="T407" s="14" t="s">
        <v>2182</v>
      </c>
      <c r="U407">
        <v>1</v>
      </c>
      <c r="V407" t="s">
        <v>2218</v>
      </c>
      <c r="X407" t="str">
        <f>IF(COUNTIF(X$377:X406,X406)&gt;7,REPLACE(X406,LEN(X406),1,VALUE(RIGHT(X406,1))+1),X406)</f>
        <v>A3.5</v>
      </c>
      <c r="Y407" s="43">
        <f t="array" ref="Y407">IF(COUNTIFS($X$377:$X407,$X407)=1,"1",VALUE(SUBSTITUTE(INDEX(Y:Y,_xlfn.XMATCH($X407,$X$1:$X406,0,-1)),"A",""))+INDEX(Z:Z,_xlfn.XMATCH($X407,$X$1:$X406,0,-1))+1)</f>
        <v>7</v>
      </c>
      <c r="Z407" s="43">
        <f t="array" ref="Z407">SUM(IF(ISNUMBER(FIND("TmAi",$BE$1:$AAQ$1)),IF(IFERROR(ISODD(SUBSTITUTE($BE407:$AAQ407,"A","")),FALSE),IF(ISODD(SUBSTITUTE($BE407:$AAQ407,"A","")),1,0),0)))</f>
        <v>0</v>
      </c>
      <c r="AA407" t="str">
        <f t="shared" si="403"/>
        <v>13B</v>
      </c>
      <c r="AB407" t="str">
        <f t="shared" si="404"/>
        <v>14B</v>
      </c>
      <c r="AP407" t="s">
        <v>2184</v>
      </c>
      <c r="AS407" t="s">
        <v>396</v>
      </c>
      <c r="JZ407" s="27" t="str">
        <f t="shared" si="406"/>
        <v>XT1</v>
      </c>
      <c r="KC407" t="str">
        <f t="shared" si="407"/>
        <v>N1-AI5-13B</v>
      </c>
      <c r="KD407" t="str">
        <f t="shared" si="408"/>
        <v>N1-AI5-14B</v>
      </c>
      <c r="KI407">
        <f t="array" ref="KI407">IF(COUNTIFS($U$2:$U407,$U407)=1,1,INDEX(KI:KI,_xlfn.XMATCH(U407,U$1:U406,0,-1))+COUNT(KI406:KM406))</f>
        <v>91</v>
      </c>
      <c r="KJ407">
        <f t="shared" si="409"/>
        <v>92</v>
      </c>
      <c r="KK407">
        <f t="shared" si="409"/>
        <v>93</v>
      </c>
      <c r="KN407">
        <v>1</v>
      </c>
      <c r="KO407" s="16">
        <v>2</v>
      </c>
      <c r="KS407" s="16"/>
      <c r="MA407" t="str">
        <f t="shared" si="348"/>
        <v>DI-</v>
      </c>
    </row>
    <row r="408" spans="1:339" x14ac:dyDescent="0.25">
      <c r="A408" s="83" t="s">
        <v>2293</v>
      </c>
      <c r="B408" s="83" t="s">
        <v>2287</v>
      </c>
      <c r="C408" t="s">
        <v>498</v>
      </c>
      <c r="P408" t="s">
        <v>482</v>
      </c>
      <c r="T408" s="14" t="s">
        <v>2182</v>
      </c>
      <c r="U408">
        <v>1</v>
      </c>
      <c r="V408" t="s">
        <v>2219</v>
      </c>
      <c r="X408" t="str">
        <f>IF(COUNTIF(X$377:X407,X407)&gt;7,REPLACE(X407,LEN(X407),1,VALUE(RIGHT(X407,1))+1),X407)</f>
        <v>A3.5</v>
      </c>
      <c r="Y408" s="43">
        <f t="array" ref="Y408">IF(COUNTIFS($X$377:$X408,$X408)=1,"1",VALUE(SUBSTITUTE(INDEX(Y:Y,_xlfn.XMATCH($X408,$X$1:$X407,0,-1)),"A",""))+INDEX(Z:Z,_xlfn.XMATCH($X408,$X$1:$X407,0,-1))+1)</f>
        <v>8</v>
      </c>
      <c r="Z408" s="43">
        <f t="array" ref="Z408">SUM(IF(ISNUMBER(FIND("TmAi",$BE$1:$AAQ$1)),IF(IFERROR(ISODD(SUBSTITUTE($BE408:$AAQ408,"A","")),FALSE),IF(ISODD(SUBSTITUTE($BE408:$AAQ408,"A","")),1,0),0)))</f>
        <v>0</v>
      </c>
      <c r="AA408" t="str">
        <f t="shared" si="403"/>
        <v>15B</v>
      </c>
      <c r="AB408" t="str">
        <f t="shared" si="404"/>
        <v>16B</v>
      </c>
      <c r="AP408" t="s">
        <v>2184</v>
      </c>
      <c r="AS408" t="s">
        <v>396</v>
      </c>
      <c r="JZ408" s="27" t="str">
        <f t="shared" si="406"/>
        <v>XT1</v>
      </c>
      <c r="KC408" t="str">
        <f t="shared" si="407"/>
        <v>N1-AI5-15B</v>
      </c>
      <c r="KD408" t="str">
        <f t="shared" si="408"/>
        <v>N1-AI5-16B</v>
      </c>
      <c r="KI408">
        <f t="array" ref="KI408">IF(COUNTIFS($U$2:$U408,$U408)=1,1,INDEX(KI:KI,_xlfn.XMATCH(U408,U$1:U407,0,-1))+COUNT(KI407:KM407))</f>
        <v>94</v>
      </c>
      <c r="KJ408">
        <f t="shared" si="409"/>
        <v>95</v>
      </c>
      <c r="KK408">
        <f t="shared" si="409"/>
        <v>96</v>
      </c>
      <c r="KN408">
        <v>1</v>
      </c>
      <c r="KO408" s="16">
        <v>2</v>
      </c>
      <c r="KS408" s="16"/>
      <c r="MA408" t="str">
        <f t="shared" si="348"/>
        <v>DI-</v>
      </c>
    </row>
    <row r="409" spans="1:339" x14ac:dyDescent="0.25">
      <c r="A409" s="83" t="s">
        <v>2295</v>
      </c>
      <c r="B409" s="83" t="s">
        <v>2294</v>
      </c>
      <c r="C409" t="s">
        <v>498</v>
      </c>
      <c r="P409" t="s">
        <v>482</v>
      </c>
      <c r="T409" s="14" t="s">
        <v>2182</v>
      </c>
      <c r="U409">
        <v>1</v>
      </c>
      <c r="V409" t="s">
        <v>2220</v>
      </c>
      <c r="X409" t="str">
        <f>IF(COUNTIF(X$377:X408,X408)&gt;7,REPLACE(X408,LEN(X408),1,VALUE(RIGHT(X408,1))+1),X408)</f>
        <v>A3.6</v>
      </c>
      <c r="Y409" s="43" t="str">
        <f t="array" ref="Y409">IF(COUNTIFS($X$377:$X409,$X409)=1,"1",VALUE(SUBSTITUTE(INDEX(Y:Y,_xlfn.XMATCH($X409,$X$1:$X408,0,-1)),"A",""))+INDEX(Z:Z,_xlfn.XMATCH($X409,$X$1:$X408,0,-1))+1)</f>
        <v>1</v>
      </c>
      <c r="Z409" s="43">
        <f t="array" ref="Z409">SUM(IF(ISNUMBER(FIND("TmAi",$BE$1:$AAQ$1)),IF(IFERROR(ISODD(SUBSTITUTE($BE409:$AAQ409,"A","")),FALSE),IF(ISODD(SUBSTITUTE($BE409:$AAQ409,"A","")),1,0),0)))</f>
        <v>0</v>
      </c>
      <c r="AA409" t="str">
        <f t="shared" si="403"/>
        <v>1B</v>
      </c>
      <c r="AB409" t="str">
        <f t="shared" si="404"/>
        <v>2B</v>
      </c>
      <c r="AP409" t="s">
        <v>2184</v>
      </c>
      <c r="AS409" t="s">
        <v>396</v>
      </c>
      <c r="JZ409" s="27" t="str">
        <f t="shared" si="406"/>
        <v>XT1</v>
      </c>
      <c r="KC409" t="str">
        <f t="shared" si="407"/>
        <v>N1-AI6-1B</v>
      </c>
      <c r="KD409" t="str">
        <f t="shared" si="408"/>
        <v>N1-AI6-2B</v>
      </c>
      <c r="KI409">
        <f t="array" ref="KI409">IF(COUNTIFS($U$2:$U409,$U409)=1,1,INDEX(KI:KI,_xlfn.XMATCH(U409,U$1:U408,0,-1))+COUNT(KI408:KM408))</f>
        <v>97</v>
      </c>
      <c r="KJ409">
        <f t="shared" si="409"/>
        <v>98</v>
      </c>
      <c r="KK409">
        <f t="shared" si="409"/>
        <v>99</v>
      </c>
      <c r="KN409">
        <v>1</v>
      </c>
      <c r="KO409" s="16">
        <v>2</v>
      </c>
      <c r="KS409" s="16"/>
      <c r="MA409" t="str">
        <f t="shared" si="348"/>
        <v>DI-</v>
      </c>
    </row>
    <row r="410" spans="1:339" x14ac:dyDescent="0.25">
      <c r="A410" s="83" t="s">
        <v>2297</v>
      </c>
      <c r="B410" s="83" t="s">
        <v>2296</v>
      </c>
      <c r="C410" t="s">
        <v>492</v>
      </c>
      <c r="P410" t="s">
        <v>482</v>
      </c>
      <c r="T410" s="14" t="s">
        <v>2182</v>
      </c>
      <c r="U410">
        <v>1</v>
      </c>
      <c r="V410" t="s">
        <v>2221</v>
      </c>
      <c r="X410" t="str">
        <f>IF(COUNTIF(X$377:X409,X409)&gt;7,REPLACE(X409,LEN(X409),1,VALUE(RIGHT(X409,1))+1),X409)</f>
        <v>A3.6</v>
      </c>
      <c r="Y410" s="43">
        <f t="array" ref="Y410">IF(COUNTIFS($X$377:$X410,$X410)=1,"1",VALUE(SUBSTITUTE(INDEX(Y:Y,_xlfn.XMATCH($X410,$X$1:$X409,0,-1)),"A",""))+INDEX(Z:Z,_xlfn.XMATCH($X410,$X$1:$X409,0,-1))+1)</f>
        <v>2</v>
      </c>
      <c r="Z410" s="43">
        <f t="array" ref="Z410">SUM(IF(ISNUMBER(FIND("TmAi",$BE$1:$AAQ$1)),IF(IFERROR(ISODD(SUBSTITUTE($BE410:$AAQ410,"A","")),FALSE),IF(ISODD(SUBSTITUTE($BE410:$AAQ410,"A","")),1,0),0)))</f>
        <v>0</v>
      </c>
      <c r="AA410" t="str">
        <f t="shared" si="403"/>
        <v>3B</v>
      </c>
      <c r="AB410" t="str">
        <f t="shared" si="404"/>
        <v>4B</v>
      </c>
      <c r="AP410" t="s">
        <v>2184</v>
      </c>
      <c r="AS410" t="s">
        <v>396</v>
      </c>
      <c r="JZ410" s="27" t="str">
        <f t="shared" si="406"/>
        <v>XT1</v>
      </c>
      <c r="KC410" t="str">
        <f t="shared" si="407"/>
        <v>N1-AI6-3B</v>
      </c>
      <c r="KD410" t="str">
        <f t="shared" si="408"/>
        <v>N1-AI6-4B</v>
      </c>
      <c r="KI410">
        <f t="array" ref="KI410">IF(COUNTIFS($U$2:$U410,$U410)=1,1,INDEX(KI:KI,_xlfn.XMATCH(U410,U$1:U409,0,-1))+COUNT(KI409:KM409))</f>
        <v>100</v>
      </c>
      <c r="KJ410">
        <f t="shared" si="409"/>
        <v>101</v>
      </c>
      <c r="KK410">
        <f t="shared" si="409"/>
        <v>102</v>
      </c>
      <c r="KN410">
        <v>1</v>
      </c>
      <c r="KO410" s="16">
        <v>2</v>
      </c>
      <c r="KS410" s="16"/>
      <c r="MA410" t="str">
        <f t="shared" si="348"/>
        <v>DI-</v>
      </c>
    </row>
    <row r="411" spans="1:339" x14ac:dyDescent="0.25">
      <c r="A411" s="83" t="s">
        <v>2299</v>
      </c>
      <c r="B411" s="83" t="s">
        <v>2298</v>
      </c>
      <c r="C411" t="s">
        <v>498</v>
      </c>
      <c r="P411" t="s">
        <v>482</v>
      </c>
      <c r="T411" s="14" t="s">
        <v>2182</v>
      </c>
      <c r="U411">
        <v>1</v>
      </c>
      <c r="V411" t="s">
        <v>2222</v>
      </c>
      <c r="X411" t="str">
        <f>IF(COUNTIF(X$377:X410,X410)&gt;7,REPLACE(X410,LEN(X410),1,VALUE(RIGHT(X410,1))+1),X410)</f>
        <v>A3.6</v>
      </c>
      <c r="Y411" s="43">
        <f t="array" ref="Y411">IF(COUNTIFS($X$377:$X411,$X411)=1,"1",VALUE(SUBSTITUTE(INDEX(Y:Y,_xlfn.XMATCH($X411,$X$1:$X410,0,-1)),"A",""))+INDEX(Z:Z,_xlfn.XMATCH($X411,$X$1:$X410,0,-1))+1)</f>
        <v>3</v>
      </c>
      <c r="Z411" s="43">
        <f t="array" ref="Z411">SUM(IF(ISNUMBER(FIND("TmAi",$BE$1:$AAQ$1)),IF(IFERROR(ISODD(SUBSTITUTE($BE411:$AAQ411,"A","")),FALSE),IF(ISODD(SUBSTITUTE($BE411:$AAQ411,"A","")),1,0),0)))</f>
        <v>0</v>
      </c>
      <c r="AA411" t="str">
        <f t="shared" si="403"/>
        <v>5B</v>
      </c>
      <c r="AB411" t="str">
        <f t="shared" si="404"/>
        <v>6B</v>
      </c>
      <c r="AP411" t="s">
        <v>2184</v>
      </c>
      <c r="AS411" t="s">
        <v>396</v>
      </c>
      <c r="JZ411" s="27" t="str">
        <f t="shared" si="406"/>
        <v>XT1</v>
      </c>
      <c r="KC411" t="str">
        <f t="shared" si="407"/>
        <v>N1-AI6-5B</v>
      </c>
      <c r="KD411" t="str">
        <f t="shared" si="408"/>
        <v>N1-AI6-6B</v>
      </c>
      <c r="KI411">
        <f t="array" ref="KI411">IF(COUNTIFS($U$2:$U411,$U411)=1,1,INDEX(KI:KI,_xlfn.XMATCH(U411,U$1:U410,0,-1))+COUNT(KI410:KM410))</f>
        <v>103</v>
      </c>
      <c r="KJ411">
        <f t="shared" si="409"/>
        <v>104</v>
      </c>
      <c r="KK411">
        <f t="shared" si="409"/>
        <v>105</v>
      </c>
      <c r="KN411">
        <v>1</v>
      </c>
      <c r="KO411" s="16">
        <v>2</v>
      </c>
      <c r="KS411" s="16"/>
      <c r="MA411" t="str">
        <f t="shared" si="348"/>
        <v>DI-</v>
      </c>
    </row>
    <row r="412" spans="1:339" x14ac:dyDescent="0.25">
      <c r="A412" s="83" t="s">
        <v>2301</v>
      </c>
      <c r="B412" s="83" t="s">
        <v>2300</v>
      </c>
      <c r="C412" t="s">
        <v>492</v>
      </c>
      <c r="P412" t="s">
        <v>482</v>
      </c>
      <c r="T412" s="14" t="s">
        <v>2182</v>
      </c>
      <c r="U412">
        <v>1</v>
      </c>
      <c r="V412" t="s">
        <v>2223</v>
      </c>
      <c r="X412" t="str">
        <f>IF(COUNTIF(X$377:X411,X411)&gt;7,REPLACE(X411,LEN(X411),1,VALUE(RIGHT(X411,1))+1),X411)</f>
        <v>A3.6</v>
      </c>
      <c r="Y412" s="43">
        <f t="array" ref="Y412">IF(COUNTIFS($X$377:$X412,$X412)=1,"1",VALUE(SUBSTITUTE(INDEX(Y:Y,_xlfn.XMATCH($X412,$X$1:$X411,0,-1)),"A",""))+INDEX(Z:Z,_xlfn.XMATCH($X412,$X$1:$X411,0,-1))+1)</f>
        <v>4</v>
      </c>
      <c r="Z412" s="43">
        <f t="array" ref="Z412">SUM(IF(ISNUMBER(FIND("TmAi",$BE$1:$AAQ$1)),IF(IFERROR(ISODD(SUBSTITUTE($BE412:$AAQ412,"A","")),FALSE),IF(ISODD(SUBSTITUTE($BE412:$AAQ412,"A","")),1,0),0)))</f>
        <v>0</v>
      </c>
      <c r="AA412" t="str">
        <f t="shared" si="403"/>
        <v>7B</v>
      </c>
      <c r="AB412" t="str">
        <f t="shared" si="404"/>
        <v>8B</v>
      </c>
      <c r="AP412" t="s">
        <v>2184</v>
      </c>
      <c r="AS412" t="s">
        <v>396</v>
      </c>
      <c r="JZ412" s="27" t="str">
        <f t="shared" si="406"/>
        <v>XT1</v>
      </c>
      <c r="KC412" t="str">
        <f t="shared" si="407"/>
        <v>N1-AI6-7B</v>
      </c>
      <c r="KD412" t="str">
        <f t="shared" si="408"/>
        <v>N1-AI6-8B</v>
      </c>
      <c r="KI412">
        <f t="array" ref="KI412">IF(COUNTIFS($U$2:$U412,$U412)=1,1,INDEX(KI:KI,_xlfn.XMATCH(U412,U$1:U411,0,-1))+COUNT(KI411:KM411))</f>
        <v>106</v>
      </c>
      <c r="KJ412">
        <f t="shared" si="409"/>
        <v>107</v>
      </c>
      <c r="KK412">
        <f t="shared" si="409"/>
        <v>108</v>
      </c>
      <c r="KN412">
        <v>1</v>
      </c>
      <c r="KO412" s="16">
        <v>2</v>
      </c>
      <c r="KS412" s="16"/>
      <c r="MA412" t="str">
        <f t="shared" si="348"/>
        <v>DI-</v>
      </c>
    </row>
    <row r="413" spans="1:339" x14ac:dyDescent="0.25">
      <c r="A413" s="83" t="s">
        <v>2303</v>
      </c>
      <c r="B413" s="83" t="s">
        <v>2302</v>
      </c>
      <c r="C413" t="s">
        <v>492</v>
      </c>
      <c r="P413" t="s">
        <v>482</v>
      </c>
      <c r="T413" s="14" t="s">
        <v>2182</v>
      </c>
      <c r="U413">
        <v>1</v>
      </c>
      <c r="V413" t="s">
        <v>2224</v>
      </c>
      <c r="X413" t="str">
        <f>IF(COUNTIF(X$377:X412,X412)&gt;7,REPLACE(X412,LEN(X412),1,VALUE(RIGHT(X412,1))+1),X412)</f>
        <v>A3.6</v>
      </c>
      <c r="Y413" s="43">
        <f t="array" ref="Y413">IF(COUNTIFS($X$377:$X413,$X413)=1,"1",VALUE(SUBSTITUTE(INDEX(Y:Y,_xlfn.XMATCH($X413,$X$1:$X412,0,-1)),"A",""))+INDEX(Z:Z,_xlfn.XMATCH($X413,$X$1:$X412,0,-1))+1)</f>
        <v>5</v>
      </c>
      <c r="Z413" s="43">
        <f t="array" ref="Z413">SUM(IF(ISNUMBER(FIND("TmAi",$BE$1:$AAQ$1)),IF(IFERROR(ISODD(SUBSTITUTE($BE413:$AAQ413,"A","")),FALSE),IF(ISODD(SUBSTITUTE($BE413:$AAQ413,"A","")),1,0),0)))</f>
        <v>0</v>
      </c>
      <c r="AA413" t="str">
        <f t="shared" si="403"/>
        <v>9B</v>
      </c>
      <c r="AB413" t="str">
        <f t="shared" si="404"/>
        <v>10B</v>
      </c>
      <c r="AP413" t="s">
        <v>2184</v>
      </c>
      <c r="AS413" t="s">
        <v>396</v>
      </c>
      <c r="JZ413" s="27" t="str">
        <f t="shared" si="406"/>
        <v>XT1</v>
      </c>
      <c r="KC413" t="str">
        <f t="shared" si="407"/>
        <v>N1-AI6-9B</v>
      </c>
      <c r="KD413" t="str">
        <f t="shared" si="408"/>
        <v>N1-AI6-10B</v>
      </c>
      <c r="KI413">
        <f t="array" ref="KI413">IF(COUNTIFS($U$2:$U413,$U413)=1,1,INDEX(KI:KI,_xlfn.XMATCH(U413,U$1:U412,0,-1))+COUNT(KI412:KM412))</f>
        <v>109</v>
      </c>
      <c r="KJ413">
        <f t="shared" si="409"/>
        <v>110</v>
      </c>
      <c r="KK413">
        <f t="shared" si="409"/>
        <v>111</v>
      </c>
      <c r="KN413">
        <v>1</v>
      </c>
      <c r="KO413" s="16">
        <v>2</v>
      </c>
      <c r="KS413" s="16"/>
      <c r="MA413" t="str">
        <f t="shared" si="348"/>
        <v>DI-</v>
      </c>
    </row>
    <row r="414" spans="1:339" x14ac:dyDescent="0.25">
      <c r="A414" s="83" t="s">
        <v>2305</v>
      </c>
      <c r="B414" s="83" t="s">
        <v>2304</v>
      </c>
      <c r="C414" t="s">
        <v>498</v>
      </c>
      <c r="P414" t="s">
        <v>482</v>
      </c>
      <c r="T414" s="14" t="s">
        <v>2182</v>
      </c>
      <c r="U414">
        <v>1</v>
      </c>
      <c r="V414" t="s">
        <v>2225</v>
      </c>
      <c r="X414" t="s">
        <v>2325</v>
      </c>
      <c r="Y414" s="43" t="str">
        <f t="array" ref="Y414">IF(COUNTIFS($X$377:$X414,$X414)=1,"1",VALUE(SUBSTITUTE(INDEX(Y:Y,_xlfn.XMATCH($X414,$X$1:$X413,0,-1)),"A",""))+INDEX(Z:Z,_xlfn.XMATCH($X414,$X$1:$X413,0,-1))+1)</f>
        <v>1</v>
      </c>
      <c r="Z414" s="43">
        <f t="array" ref="Z414">SUM(IF(ISNUMBER(FIND("TmAi",$BE$1:$AAQ$1)),IF(IFERROR(ISODD(SUBSTITUTE($BE414:$AAQ414,"A","")),FALSE),IF(ISODD(SUBSTITUTE($BE414:$AAQ414,"A","")),1,0),0)))</f>
        <v>0</v>
      </c>
      <c r="AA414" t="str">
        <f t="shared" si="403"/>
        <v>1B</v>
      </c>
      <c r="AB414" t="str">
        <f t="shared" si="404"/>
        <v>2B</v>
      </c>
      <c r="AP414" t="s">
        <v>2184</v>
      </c>
      <c r="AS414" t="s">
        <v>396</v>
      </c>
      <c r="JZ414" s="27" t="str">
        <f t="shared" si="406"/>
        <v>XT1</v>
      </c>
      <c r="KC414" t="str">
        <f t="shared" si="407"/>
        <v>N1-AI7-1B</v>
      </c>
      <c r="KD414" t="str">
        <f t="shared" si="408"/>
        <v>N1-AI7-2B</v>
      </c>
      <c r="KI414">
        <f t="array" ref="KI414">IF(COUNTIFS($U$2:$U414,$U414)=1,1,INDEX(KI:KI,_xlfn.XMATCH(U414,U$1:U413,0,-1))+COUNT(KI413:KM413))</f>
        <v>112</v>
      </c>
      <c r="KJ414">
        <f t="shared" si="409"/>
        <v>113</v>
      </c>
      <c r="KK414">
        <f t="shared" si="409"/>
        <v>114</v>
      </c>
      <c r="KN414">
        <v>1</v>
      </c>
      <c r="KO414" s="16">
        <v>2</v>
      </c>
      <c r="KS414" s="16"/>
      <c r="MA414" t="str">
        <f t="shared" ref="MA414:MA477" si="410">CONCATENATE("DI",REPLACE($AC414,1,3,""),"-",$AG414)</f>
        <v>DI-</v>
      </c>
    </row>
    <row r="415" spans="1:339" x14ac:dyDescent="0.25">
      <c r="A415" s="83" t="s">
        <v>2307</v>
      </c>
      <c r="B415" s="83" t="s">
        <v>2306</v>
      </c>
      <c r="C415" t="s">
        <v>498</v>
      </c>
      <c r="P415" t="s">
        <v>482</v>
      </c>
      <c r="T415" s="14" t="s">
        <v>2182</v>
      </c>
      <c r="U415">
        <v>1</v>
      </c>
      <c r="V415" t="s">
        <v>2226</v>
      </c>
      <c r="X415" t="str">
        <f>IF(COUNTIF(X$377:X414,X414)&gt;7,REPLACE(X414,LEN(X414),1,VALUE(RIGHT(X414,1))+1),X414)</f>
        <v>A3.7</v>
      </c>
      <c r="Y415" s="43">
        <f t="array" ref="Y415">IF(COUNTIFS($X$377:$X415,$X415)=1,"1",VALUE(SUBSTITUTE(INDEX(Y:Y,_xlfn.XMATCH($X415,$X$1:$X414,0,-1)),"A",""))+INDEX(Z:Z,_xlfn.XMATCH($X415,$X$1:$X414,0,-1))+1)</f>
        <v>2</v>
      </c>
      <c r="Z415" s="43">
        <f t="array" ref="Z415">SUM(IF(ISNUMBER(FIND("TmAi",$BE$1:$AAQ$1)),IF(IFERROR(ISODD(SUBSTITUTE($BE415:$AAQ415,"A","")),FALSE),IF(ISODD(SUBSTITUTE($BE415:$AAQ415,"A","")),1,0),0)))</f>
        <v>0</v>
      </c>
      <c r="AA415" t="str">
        <f t="shared" si="403"/>
        <v>3B</v>
      </c>
      <c r="AB415" t="str">
        <f t="shared" si="404"/>
        <v>4B</v>
      </c>
      <c r="AP415" t="s">
        <v>2184</v>
      </c>
      <c r="AS415" t="s">
        <v>396</v>
      </c>
      <c r="JZ415" s="27" t="str">
        <f t="shared" si="406"/>
        <v>XT1</v>
      </c>
      <c r="KC415" t="str">
        <f t="shared" si="407"/>
        <v>N1-AI7-3B</v>
      </c>
      <c r="KD415" t="str">
        <f t="shared" si="408"/>
        <v>N1-AI7-4B</v>
      </c>
      <c r="KI415">
        <f t="array" ref="KI415">IF(COUNTIFS($U$2:$U415,$U415)=1,1,INDEX(KI:KI,_xlfn.XMATCH(U415,U$1:U414,0,-1))+COUNT(KI414:KM414))</f>
        <v>115</v>
      </c>
      <c r="KJ415">
        <f t="shared" si="409"/>
        <v>116</v>
      </c>
      <c r="KK415">
        <f t="shared" si="409"/>
        <v>117</v>
      </c>
      <c r="KN415">
        <v>1</v>
      </c>
      <c r="KO415" s="16">
        <v>2</v>
      </c>
      <c r="KS415" s="16"/>
      <c r="MA415" t="str">
        <f t="shared" si="410"/>
        <v>DI-</v>
      </c>
    </row>
    <row r="416" spans="1:339" x14ac:dyDescent="0.25">
      <c r="A416" s="83" t="s">
        <v>2309</v>
      </c>
      <c r="B416" s="83" t="s">
        <v>2308</v>
      </c>
      <c r="C416" t="s">
        <v>498</v>
      </c>
      <c r="P416" t="s">
        <v>482</v>
      </c>
      <c r="T416" s="14" t="s">
        <v>2182</v>
      </c>
      <c r="U416">
        <v>1</v>
      </c>
      <c r="V416" t="s">
        <v>2227</v>
      </c>
      <c r="X416" t="str">
        <f>IF(COUNTIF(X$377:X415,X415)&gt;7,REPLACE(X415,LEN(X415),1,VALUE(RIGHT(X415,1))+1),X415)</f>
        <v>A3.7</v>
      </c>
      <c r="Y416" s="43">
        <f t="array" ref="Y416">IF(COUNTIFS($X$377:$X416,$X416)=1,"1",VALUE(SUBSTITUTE(INDEX(Y:Y,_xlfn.XMATCH($X416,$X$1:$X415,0,-1)),"A",""))+INDEX(Z:Z,_xlfn.XMATCH($X416,$X$1:$X415,0,-1))+1)</f>
        <v>3</v>
      </c>
      <c r="Z416" s="43">
        <f t="array" ref="Z416">SUM(IF(ISNUMBER(FIND("TmAi",$BE$1:$AAQ$1)),IF(IFERROR(ISODD(SUBSTITUTE($BE416:$AAQ416,"A","")),FALSE),IF(ISODD(SUBSTITUTE($BE416:$AAQ416,"A","")),1,0),0)))</f>
        <v>0</v>
      </c>
      <c r="AA416" t="str">
        <f t="shared" si="403"/>
        <v>5B</v>
      </c>
      <c r="AB416" t="str">
        <f t="shared" si="404"/>
        <v>6B</v>
      </c>
      <c r="AP416" t="s">
        <v>2184</v>
      </c>
      <c r="AS416" t="s">
        <v>396</v>
      </c>
      <c r="JZ416" s="27" t="str">
        <f t="shared" si="406"/>
        <v>XT1</v>
      </c>
      <c r="KC416" t="str">
        <f t="shared" si="407"/>
        <v>N1-AI7-5B</v>
      </c>
      <c r="KD416" t="str">
        <f t="shared" si="408"/>
        <v>N1-AI7-6B</v>
      </c>
      <c r="KI416">
        <f t="array" ref="KI416">IF(COUNTIFS($U$2:$U416,$U416)=1,1,INDEX(KI:KI,_xlfn.XMATCH(U416,U$1:U415,0,-1))+COUNT(KI415:KM415))</f>
        <v>118</v>
      </c>
      <c r="KJ416">
        <f t="shared" si="409"/>
        <v>119</v>
      </c>
      <c r="KK416">
        <f t="shared" si="409"/>
        <v>120</v>
      </c>
      <c r="KN416">
        <v>1</v>
      </c>
      <c r="KO416" s="16">
        <v>2</v>
      </c>
      <c r="KS416" s="16"/>
      <c r="MA416" t="str">
        <f t="shared" si="410"/>
        <v>DI-</v>
      </c>
    </row>
    <row r="417" spans="1:543" x14ac:dyDescent="0.25">
      <c r="A417" s="83" t="s">
        <v>2311</v>
      </c>
      <c r="B417" s="83" t="s">
        <v>2310</v>
      </c>
      <c r="C417" t="s">
        <v>498</v>
      </c>
      <c r="P417" t="s">
        <v>482</v>
      </c>
      <c r="T417" s="14" t="s">
        <v>2182</v>
      </c>
      <c r="U417">
        <v>1</v>
      </c>
      <c r="V417" t="s">
        <v>2228</v>
      </c>
      <c r="X417" t="str">
        <f>IF(COUNTIF(X$377:X416,X416)&gt;7,REPLACE(X416,LEN(X416),1,VALUE(RIGHT(X416,1))+1),X416)</f>
        <v>A3.7</v>
      </c>
      <c r="Y417" s="43">
        <f t="array" ref="Y417">IF(COUNTIFS($X$377:$X417,$X417)=1,"1",VALUE(SUBSTITUTE(INDEX(Y:Y,_xlfn.XMATCH($X417,$X$1:$X416,0,-1)),"A",""))+INDEX(Z:Z,_xlfn.XMATCH($X417,$X$1:$X416,0,-1))+1)</f>
        <v>4</v>
      </c>
      <c r="Z417" s="43">
        <f t="array" ref="Z417">SUM(IF(ISNUMBER(FIND("TmAi",$BE$1:$AAQ$1)),IF(IFERROR(ISODD(SUBSTITUTE($BE417:$AAQ417,"A","")),FALSE),IF(ISODD(SUBSTITUTE($BE417:$AAQ417,"A","")),1,0),0)))</f>
        <v>0</v>
      </c>
      <c r="AA417" t="str">
        <f t="shared" si="403"/>
        <v>7B</v>
      </c>
      <c r="AB417" t="str">
        <f t="shared" si="404"/>
        <v>8B</v>
      </c>
      <c r="AP417" t="s">
        <v>2184</v>
      </c>
      <c r="AS417" t="s">
        <v>396</v>
      </c>
      <c r="JZ417" s="27" t="str">
        <f t="shared" si="406"/>
        <v>XT1</v>
      </c>
      <c r="KC417" t="str">
        <f t="shared" si="407"/>
        <v>N1-AI7-7B</v>
      </c>
      <c r="KD417" t="str">
        <f t="shared" si="408"/>
        <v>N1-AI7-8B</v>
      </c>
      <c r="KI417">
        <f t="array" ref="KI417">IF(COUNTIFS($U$2:$U417,$U417)=1,1,INDEX(KI:KI,_xlfn.XMATCH(U417,U$1:U416,0,-1))+COUNT(KI416:KM416))</f>
        <v>121</v>
      </c>
      <c r="KJ417">
        <f t="shared" ref="KJ417:KK423" si="411">KI417+1</f>
        <v>122</v>
      </c>
      <c r="KK417">
        <f t="shared" si="411"/>
        <v>123</v>
      </c>
      <c r="KN417">
        <v>1</v>
      </c>
      <c r="KO417" s="16">
        <v>2</v>
      </c>
      <c r="KS417" s="16"/>
      <c r="MA417" t="str">
        <f t="shared" si="410"/>
        <v>DI-</v>
      </c>
    </row>
    <row r="418" spans="1:543" x14ac:dyDescent="0.25">
      <c r="A418" s="83" t="s">
        <v>2313</v>
      </c>
      <c r="B418" s="83" t="s">
        <v>2312</v>
      </c>
      <c r="C418" t="s">
        <v>498</v>
      </c>
      <c r="P418" t="s">
        <v>482</v>
      </c>
      <c r="T418" s="14" t="s">
        <v>2182</v>
      </c>
      <c r="U418">
        <v>1</v>
      </c>
      <c r="V418" t="s">
        <v>2229</v>
      </c>
      <c r="X418" t="str">
        <f>IF(COUNTIF(X$377:X417,X417)&gt;7,REPLACE(X417,LEN(X417),1,VALUE(RIGHT(X417,1))+1),X417)</f>
        <v>A3.7</v>
      </c>
      <c r="Y418" s="43">
        <f t="array" ref="Y418">IF(COUNTIFS($X$377:$X418,$X418)=1,"1",VALUE(SUBSTITUTE(INDEX(Y:Y,_xlfn.XMATCH($X418,$X$1:$X417,0,-1)),"A",""))+INDEX(Z:Z,_xlfn.XMATCH($X418,$X$1:$X417,0,-1))+1)</f>
        <v>5</v>
      </c>
      <c r="Z418" s="43">
        <f t="array" ref="Z418">SUM(IF(ISNUMBER(FIND("TmAi",$BE$1:$AAQ$1)),IF(IFERROR(ISODD(SUBSTITUTE($BE418:$AAQ418,"A","")),FALSE),IF(ISODD(SUBSTITUTE($BE418:$AAQ418,"A","")),1,0),0)))</f>
        <v>0</v>
      </c>
      <c r="AA418" t="str">
        <f t="shared" si="403"/>
        <v>9B</v>
      </c>
      <c r="AB418" t="str">
        <f t="shared" si="404"/>
        <v>10B</v>
      </c>
      <c r="AP418" t="s">
        <v>2184</v>
      </c>
      <c r="AS418" t="s">
        <v>396</v>
      </c>
      <c r="JZ418" s="27" t="str">
        <f t="shared" si="406"/>
        <v>XT1</v>
      </c>
      <c r="KC418" t="str">
        <f t="shared" si="407"/>
        <v>N1-AI7-9B</v>
      </c>
      <c r="KD418" t="str">
        <f t="shared" si="408"/>
        <v>N1-AI7-10B</v>
      </c>
      <c r="KI418">
        <f t="array" ref="KI418">IF(COUNTIFS($U$2:$U418,$U418)=1,1,INDEX(KI:KI,_xlfn.XMATCH(U418,U$1:U417,0,-1))+COUNT(KI417:KM417))</f>
        <v>124</v>
      </c>
      <c r="KJ418">
        <f t="shared" si="411"/>
        <v>125</v>
      </c>
      <c r="KK418">
        <f t="shared" si="411"/>
        <v>126</v>
      </c>
      <c r="KN418">
        <v>1</v>
      </c>
      <c r="KO418" s="16">
        <v>2</v>
      </c>
      <c r="KS418" s="16"/>
      <c r="MA418" t="str">
        <f t="shared" si="410"/>
        <v>DI-</v>
      </c>
    </row>
    <row r="419" spans="1:543" x14ac:dyDescent="0.25">
      <c r="A419" s="83" t="s">
        <v>2315</v>
      </c>
      <c r="B419" s="83" t="s">
        <v>2314</v>
      </c>
      <c r="C419" t="s">
        <v>492</v>
      </c>
      <c r="P419" t="s">
        <v>482</v>
      </c>
      <c r="T419" s="14" t="s">
        <v>2182</v>
      </c>
      <c r="U419">
        <v>1</v>
      </c>
      <c r="V419" t="s">
        <v>2230</v>
      </c>
      <c r="X419" t="str">
        <f>IF(COUNTIF(X$377:X418,X418)&gt;7,REPLACE(X418,LEN(X418),1,VALUE(RIGHT(X418,1))+1),X418)</f>
        <v>A3.7</v>
      </c>
      <c r="Y419" s="43">
        <f t="array" ref="Y419">IF(COUNTIFS($X$377:$X419,$X419)=1,"1",VALUE(SUBSTITUTE(INDEX(Y:Y,_xlfn.XMATCH($X419,$X$1:$X418,0,-1)),"A",""))+INDEX(Z:Z,_xlfn.XMATCH($X419,$X$1:$X418,0,-1))+1)</f>
        <v>6</v>
      </c>
      <c r="Z419" s="43">
        <f t="array" ref="Z419">SUM(IF(ISNUMBER(FIND("TmAi",$BE$1:$AAQ$1)),IF(IFERROR(ISODD(SUBSTITUTE($BE419:$AAQ419,"A","")),FALSE),IF(ISODD(SUBSTITUTE($BE419:$AAQ419,"A","")),1,0),0)))</f>
        <v>0</v>
      </c>
      <c r="AA419" t="str">
        <f t="shared" si="403"/>
        <v>11B</v>
      </c>
      <c r="AB419" t="str">
        <f t="shared" si="404"/>
        <v>12B</v>
      </c>
      <c r="AP419" t="s">
        <v>2184</v>
      </c>
      <c r="AS419" t="s">
        <v>396</v>
      </c>
      <c r="JZ419" s="27" t="str">
        <f t="shared" si="406"/>
        <v>XT1</v>
      </c>
      <c r="KC419" t="str">
        <f t="shared" si="407"/>
        <v>N1-AI7-11B</v>
      </c>
      <c r="KD419" t="str">
        <f t="shared" si="408"/>
        <v>N1-AI7-12B</v>
      </c>
      <c r="KI419">
        <f t="array" ref="KI419">IF(COUNTIFS($U$2:$U419,$U419)=1,1,INDEX(KI:KI,_xlfn.XMATCH(U419,U$1:U418,0,-1))+COUNT(KI418:KM418))</f>
        <v>127</v>
      </c>
      <c r="KJ419">
        <f t="shared" si="411"/>
        <v>128</v>
      </c>
      <c r="KK419">
        <f t="shared" si="411"/>
        <v>129</v>
      </c>
      <c r="KN419">
        <v>1</v>
      </c>
      <c r="KO419" s="16">
        <v>2</v>
      </c>
      <c r="KS419" s="16"/>
      <c r="MA419" t="str">
        <f t="shared" si="410"/>
        <v>DI-</v>
      </c>
    </row>
    <row r="420" spans="1:543" x14ac:dyDescent="0.25">
      <c r="A420" s="83" t="s">
        <v>2317</v>
      </c>
      <c r="B420" s="83" t="s">
        <v>2316</v>
      </c>
      <c r="C420" t="s">
        <v>498</v>
      </c>
      <c r="P420" t="s">
        <v>482</v>
      </c>
      <c r="T420" s="14" t="s">
        <v>2182</v>
      </c>
      <c r="U420">
        <v>1</v>
      </c>
      <c r="V420" t="s">
        <v>2231</v>
      </c>
      <c r="X420" t="s">
        <v>2326</v>
      </c>
      <c r="Y420" s="43" t="str">
        <f t="array" ref="Y420">IF(COUNTIFS($X$377:$X420,$X420)=1,"1",VALUE(SUBSTITUTE(INDEX(Y:Y,_xlfn.XMATCH($X420,$X$1:$X419,0,-1)),"A",""))+INDEX(Z:Z,_xlfn.XMATCH($X420,$X$1:$X419,0,-1))+1)</f>
        <v>1</v>
      </c>
      <c r="Z420" s="43">
        <f t="array" ref="Z420">SUM(IF(ISNUMBER(FIND("TmAi",$BE$1:$AAQ$1)),IF(IFERROR(ISODD(SUBSTITUTE($BE420:$AAQ420,"A","")),FALSE),IF(ISODD(SUBSTITUTE($BE420:$AAQ420,"A","")),1,0),0)))</f>
        <v>0</v>
      </c>
      <c r="AA420" t="str">
        <f t="shared" si="403"/>
        <v>1B</v>
      </c>
      <c r="AB420" t="str">
        <f t="shared" si="404"/>
        <v>2B</v>
      </c>
      <c r="AP420" t="s">
        <v>2184</v>
      </c>
      <c r="AS420" t="s">
        <v>396</v>
      </c>
      <c r="JZ420" s="27" t="str">
        <f t="shared" si="406"/>
        <v>XT1</v>
      </c>
      <c r="KC420" t="str">
        <f t="shared" si="407"/>
        <v>N1-AI8-1B</v>
      </c>
      <c r="KD420" t="str">
        <f t="shared" si="408"/>
        <v>N1-AI8-2B</v>
      </c>
      <c r="KI420">
        <f t="array" ref="KI420">IF(COUNTIFS($U$2:$U420,$U420)=1,1,INDEX(KI:KI,_xlfn.XMATCH(U420,U$1:U419,0,-1))+COUNT(KI419:KM419))</f>
        <v>130</v>
      </c>
      <c r="KJ420">
        <f t="shared" si="411"/>
        <v>131</v>
      </c>
      <c r="KK420">
        <f t="shared" si="411"/>
        <v>132</v>
      </c>
      <c r="KN420">
        <v>1</v>
      </c>
      <c r="KO420" s="16">
        <v>2</v>
      </c>
      <c r="KS420" s="16"/>
      <c r="MA420" t="str">
        <f t="shared" si="410"/>
        <v>DI-</v>
      </c>
    </row>
    <row r="421" spans="1:543" x14ac:dyDescent="0.25">
      <c r="A421" s="83" t="s">
        <v>2319</v>
      </c>
      <c r="B421" s="83" t="s">
        <v>2318</v>
      </c>
      <c r="C421" t="s">
        <v>498</v>
      </c>
      <c r="P421" t="s">
        <v>482</v>
      </c>
      <c r="T421" s="14" t="s">
        <v>2182</v>
      </c>
      <c r="U421">
        <v>1</v>
      </c>
      <c r="V421" t="s">
        <v>2232</v>
      </c>
      <c r="X421" t="str">
        <f>IF(COUNTIF(X$377:X420,X420)&gt;7,REPLACE(X420,LEN(X420),1,VALUE(RIGHT(X420,1))+1),X420)</f>
        <v>A3.8</v>
      </c>
      <c r="Y421" s="43">
        <f t="array" ref="Y421">IF(COUNTIFS($X$377:$X421,$X421)=1,"1",VALUE(SUBSTITUTE(INDEX(Y:Y,_xlfn.XMATCH($X421,$X$1:$X420,0,-1)),"A",""))+INDEX(Z:Z,_xlfn.XMATCH($X421,$X$1:$X420,0,-1))+1)</f>
        <v>2</v>
      </c>
      <c r="Z421" s="43">
        <f t="array" ref="Z421">SUM(IF(ISNUMBER(FIND("TmAi",$BE$1:$AAQ$1)),IF(IFERROR(ISODD(SUBSTITUTE($BE421:$AAQ421,"A","")),FALSE),IF(ISODD(SUBSTITUTE($BE421:$AAQ421,"A","")),1,0),0)))</f>
        <v>0</v>
      </c>
      <c r="AA421" t="str">
        <f t="shared" si="403"/>
        <v>3B</v>
      </c>
      <c r="AB421" t="str">
        <f t="shared" si="404"/>
        <v>4B</v>
      </c>
      <c r="AP421" t="s">
        <v>2184</v>
      </c>
      <c r="AS421" t="s">
        <v>396</v>
      </c>
      <c r="JZ421" s="27" t="str">
        <f t="shared" si="406"/>
        <v>XT1</v>
      </c>
      <c r="KC421" t="str">
        <f t="shared" si="407"/>
        <v>N1-AI8-3B</v>
      </c>
      <c r="KD421" t="str">
        <f t="shared" si="408"/>
        <v>N1-AI8-4B</v>
      </c>
      <c r="KI421">
        <f t="array" ref="KI421">IF(COUNTIFS($U$2:$U421,$U421)=1,1,INDEX(KI:KI,_xlfn.XMATCH(U421,U$1:U420,0,-1))+COUNT(KI420:KM420))</f>
        <v>133</v>
      </c>
      <c r="KJ421">
        <f t="shared" si="411"/>
        <v>134</v>
      </c>
      <c r="KK421">
        <f t="shared" si="411"/>
        <v>135</v>
      </c>
      <c r="KN421">
        <v>1</v>
      </c>
      <c r="KO421" s="16">
        <v>2</v>
      </c>
      <c r="KS421" s="16"/>
      <c r="MA421" t="str">
        <f t="shared" si="410"/>
        <v>DI-</v>
      </c>
    </row>
    <row r="422" spans="1:543" x14ac:dyDescent="0.25">
      <c r="A422" s="83" t="s">
        <v>2321</v>
      </c>
      <c r="B422" s="83" t="s">
        <v>2320</v>
      </c>
      <c r="C422" t="s">
        <v>498</v>
      </c>
      <c r="P422" t="s">
        <v>482</v>
      </c>
      <c r="T422" s="14" t="s">
        <v>2182</v>
      </c>
      <c r="U422">
        <v>1</v>
      </c>
      <c r="V422" t="s">
        <v>2233</v>
      </c>
      <c r="X422" t="str">
        <f>IF(COUNTIF(X$377:X421,X421)&gt;7,REPLACE(X421,LEN(X421),1,VALUE(RIGHT(X421,1))+1),X421)</f>
        <v>A3.8</v>
      </c>
      <c r="Y422" s="43">
        <f t="array" ref="Y422">IF(COUNTIFS($X$377:$X422,$X422)=1,"1",VALUE(SUBSTITUTE(INDEX(Y:Y,_xlfn.XMATCH($X422,$X$1:$X421,0,-1)),"A",""))+INDEX(Z:Z,_xlfn.XMATCH($X422,$X$1:$X421,0,-1))+1)</f>
        <v>3</v>
      </c>
      <c r="Z422" s="43">
        <f t="array" ref="Z422">SUM(IF(ISNUMBER(FIND("TmAi",$BE$1:$AAQ$1)),IF(IFERROR(ISODD(SUBSTITUTE($BE422:$AAQ422,"A","")),FALSE),IF(ISODD(SUBSTITUTE($BE422:$AAQ422,"A","")),1,0),0)))</f>
        <v>0</v>
      </c>
      <c r="AA422" t="str">
        <f t="shared" si="403"/>
        <v>5B</v>
      </c>
      <c r="AB422" t="str">
        <f t="shared" si="404"/>
        <v>6B</v>
      </c>
      <c r="AP422" t="s">
        <v>2184</v>
      </c>
      <c r="AS422" t="s">
        <v>396</v>
      </c>
      <c r="JZ422" s="27" t="str">
        <f t="shared" si="406"/>
        <v>XT1</v>
      </c>
      <c r="KC422" t="str">
        <f t="shared" si="407"/>
        <v>N1-AI8-5B</v>
      </c>
      <c r="KD422" t="str">
        <f t="shared" si="408"/>
        <v>N1-AI8-6B</v>
      </c>
      <c r="KI422">
        <f t="array" ref="KI422">IF(COUNTIFS($U$2:$U422,$U422)=1,1,INDEX(KI:KI,_xlfn.XMATCH(U422,U$1:U421,0,-1))+COUNT(KI421:KM421))</f>
        <v>136</v>
      </c>
      <c r="KJ422">
        <f t="shared" si="411"/>
        <v>137</v>
      </c>
      <c r="KK422">
        <f t="shared" si="411"/>
        <v>138</v>
      </c>
      <c r="KN422">
        <v>1</v>
      </c>
      <c r="KO422" s="16">
        <v>2</v>
      </c>
      <c r="KS422" s="16"/>
      <c r="MA422" t="str">
        <f t="shared" si="410"/>
        <v>DI-</v>
      </c>
    </row>
    <row r="423" spans="1:543" ht="15.75" thickBot="1" x14ac:dyDescent="0.3">
      <c r="A423" s="83" t="s">
        <v>2323</v>
      </c>
      <c r="B423" s="83" t="s">
        <v>2322</v>
      </c>
      <c r="C423" t="s">
        <v>498</v>
      </c>
      <c r="P423" t="s">
        <v>482</v>
      </c>
      <c r="T423" s="14" t="s">
        <v>2182</v>
      </c>
      <c r="U423">
        <v>1</v>
      </c>
      <c r="V423" t="s">
        <v>2234</v>
      </c>
      <c r="X423" t="str">
        <f>IF(COUNTIF(X$377:X422,X422)&gt;7,REPLACE(X422,LEN(X422),1,VALUE(RIGHT(X422,1))+1),X422)</f>
        <v>A3.8</v>
      </c>
      <c r="Y423" s="43">
        <f t="array" ref="Y423">IF(COUNTIFS($X$377:$X423,$X423)=1,"1",VALUE(SUBSTITUTE(INDEX(Y:Y,_xlfn.XMATCH($X423,$X$1:$X422,0,-1)),"A",""))+INDEX(Z:Z,_xlfn.XMATCH($X423,$X$1:$X422,0,-1))+1)</f>
        <v>4</v>
      </c>
      <c r="Z423" s="43">
        <f t="array" ref="Z423">SUM(IF(ISNUMBER(FIND("TmAi",$BE$1:$AAQ$1)),IF(IFERROR(ISODD(SUBSTITUTE($BE423:$AAQ423,"A","")),FALSE),IF(ISODD(SUBSTITUTE($BE423:$AAQ423,"A","")),1,0),0)))</f>
        <v>0</v>
      </c>
      <c r="AA423" t="str">
        <f t="shared" si="403"/>
        <v>7B</v>
      </c>
      <c r="AB423" t="str">
        <f t="shared" si="404"/>
        <v>8B</v>
      </c>
      <c r="AP423" t="s">
        <v>2184</v>
      </c>
      <c r="AS423" t="s">
        <v>396</v>
      </c>
      <c r="JZ423" s="27" t="str">
        <f t="shared" si="406"/>
        <v>XT1</v>
      </c>
      <c r="KC423" t="str">
        <f t="shared" si="407"/>
        <v>N1-AI8-7B</v>
      </c>
      <c r="KD423" t="str">
        <f t="shared" si="408"/>
        <v>N1-AI8-8B</v>
      </c>
      <c r="KI423">
        <f t="array" ref="KI423">IF(COUNTIFS($U$2:$U423,$U423)=1,1,INDEX(KI:KI,_xlfn.XMATCH(U423,U$1:U422,0,-1))+COUNT(KI422:KM422))</f>
        <v>139</v>
      </c>
      <c r="KJ423">
        <f t="shared" si="411"/>
        <v>140</v>
      </c>
      <c r="KK423">
        <f t="shared" si="411"/>
        <v>141</v>
      </c>
      <c r="KN423">
        <v>1</v>
      </c>
      <c r="KO423" s="16">
        <v>2</v>
      </c>
      <c r="KS423" s="16"/>
      <c r="MA423" t="str">
        <f t="shared" si="410"/>
        <v>DI-</v>
      </c>
    </row>
    <row r="424" spans="1:543" x14ac:dyDescent="0.25">
      <c r="A424" s="83" t="s">
        <v>2332</v>
      </c>
      <c r="B424" s="86" t="s">
        <v>2334</v>
      </c>
      <c r="C424" t="s">
        <v>1012</v>
      </c>
      <c r="P424" t="s">
        <v>1011</v>
      </c>
      <c r="T424" s="14" t="s">
        <v>2182</v>
      </c>
      <c r="U424">
        <v>2</v>
      </c>
      <c r="W424" t="s">
        <v>2235</v>
      </c>
      <c r="X424" t="s">
        <v>1055</v>
      </c>
      <c r="Y424" s="43" t="str">
        <f t="array" ref="Y424">IF(COUNTIFS($X$377:$X424,$X424)=1,"1",VALUE(SUBSTITUTE(INDEX(Y:Y,_xlfn.XMATCH($X424,$X$1:$X423,0,-1)),"A",""))+INDEX(Z:Z,_xlfn.XMATCH($X424,$X$1:$X423,0,-1))+1)</f>
        <v>1</v>
      </c>
      <c r="Z424" s="43">
        <f t="array" ref="Z424">SUM(IF(ISNUMBER(FIND("TmAi",$BE$1:$AAQ$1)),IF(IFERROR(ISODD(SUBSTITUTE($BE424:$AAQ424,"A","")),FALSE),IF(ISODD(SUBSTITUTE($BE424:$AAQ424,"A","")),1,0),0)))</f>
        <v>1</v>
      </c>
      <c r="AA424" t="str">
        <f t="shared" ref="AA424:AA431" si="412">CONCATENATE($Y424*2-1,"A")</f>
        <v>1A</v>
      </c>
      <c r="AB424" t="str">
        <f t="shared" ref="AB424:AB431" si="413">CONCATENATE($Y424*2-1,"B")</f>
        <v>1B</v>
      </c>
      <c r="AP424" t="s">
        <v>2184</v>
      </c>
      <c r="AR424" t="s">
        <v>2366</v>
      </c>
      <c r="AS424" t="s">
        <v>396</v>
      </c>
      <c r="MA424" t="str">
        <f t="shared" si="410"/>
        <v>DI-</v>
      </c>
      <c r="OL424" s="25" t="str">
        <f>CONCATENATE("XT",$U424)</f>
        <v>XT2</v>
      </c>
      <c r="OM424" s="12" t="s">
        <v>2338</v>
      </c>
      <c r="ON424" s="12" t="s">
        <v>2342</v>
      </c>
      <c r="OO424" s="12"/>
      <c r="OP424" s="12"/>
      <c r="OQ424" s="12" t="str">
        <f>CONCATENATE(REPLACE($AA424,LEN($AA424),1,"")+1,RIGHT($AA424))</f>
        <v>2A</v>
      </c>
      <c r="OR424" s="12" t="str">
        <f>CONCATENATE(REPLACE($AB424,LEN($AB424),1,"")+1,RIGHT($AB424))</f>
        <v>2B</v>
      </c>
      <c r="OS424" s="12" t="str">
        <f t="shared" ref="OS424:OV426" si="414">CONCATENATE(REPLACE(OQ424,LEN(OQ424),1,"")+1,RIGHT(OQ424))</f>
        <v>3A</v>
      </c>
      <c r="OT424" s="12" t="str">
        <f t="shared" si="414"/>
        <v>3B</v>
      </c>
      <c r="OU424" s="12" t="str">
        <f t="shared" si="414"/>
        <v>4A</v>
      </c>
      <c r="OV424" s="12" t="str">
        <f t="shared" si="414"/>
        <v>4B</v>
      </c>
      <c r="OW424" s="12"/>
      <c r="OX424" s="12"/>
      <c r="OY424" s="12"/>
      <c r="OZ424" s="12"/>
      <c r="PA424" s="12" t="str">
        <f>CONCATENATE($T424,"-AI",REPLACE($X424,1,3,""),"-",$AA424)</f>
        <v>N1-AI18-1A</v>
      </c>
      <c r="PB424" s="12" t="str">
        <f>CONCATENATE($T424,"-AI",REPLACE($X424,1,3,""),"-",$AB424)</f>
        <v>N1-AI18-1B</v>
      </c>
      <c r="PC424" s="12" t="str">
        <f t="shared" ref="PC424:PH426" si="415">CONCATENATE($T424,"-AI",REPLACE($X424,1,3,""),"-",OQ424)</f>
        <v>N1-AI18-2A</v>
      </c>
      <c r="PD424" s="12" t="str">
        <f t="shared" si="415"/>
        <v>N1-AI18-2B</v>
      </c>
      <c r="PE424" s="12" t="str">
        <f t="shared" si="415"/>
        <v>N1-AI18-3A</v>
      </c>
      <c r="PF424" s="12" t="str">
        <f t="shared" si="415"/>
        <v>N1-AI18-3B</v>
      </c>
      <c r="PG424" s="12" t="str">
        <f t="shared" si="415"/>
        <v>N1-AI18-4A</v>
      </c>
      <c r="PH424" s="12" t="str">
        <f t="shared" si="415"/>
        <v>N1-AI18-4B</v>
      </c>
      <c r="PI424" s="12"/>
      <c r="PJ424" s="12"/>
      <c r="PK424" s="12"/>
      <c r="PL424" s="12"/>
      <c r="PM424" s="12">
        <f t="array" ref="PM424">IF(COUNTIFS($U$377:$U424,$U424)=1,1,INDEX(PM:PM,_xlfn.XMATCH($U424,$U$377:EF423,0,-1))+COUNT(PM423:PR423))</f>
        <v>1</v>
      </c>
      <c r="PN424" s="12">
        <f t="shared" ref="PN424:PR426" si="416">PM424+1</f>
        <v>2</v>
      </c>
      <c r="PO424" s="12">
        <f t="shared" si="416"/>
        <v>3</v>
      </c>
      <c r="PP424" s="12">
        <f t="shared" si="416"/>
        <v>4</v>
      </c>
      <c r="PQ424" s="12">
        <f t="shared" si="416"/>
        <v>5</v>
      </c>
      <c r="PR424" s="12">
        <f t="shared" si="416"/>
        <v>6</v>
      </c>
      <c r="PS424" s="12"/>
      <c r="PT424" s="12"/>
      <c r="PU424" s="12"/>
      <c r="PV424" s="12">
        <v>1</v>
      </c>
      <c r="PW424" s="12">
        <v>2</v>
      </c>
      <c r="PX424" s="12">
        <v>3</v>
      </c>
      <c r="PY424" s="12">
        <v>4</v>
      </c>
      <c r="PZ424" s="12">
        <v>5</v>
      </c>
      <c r="QA424" s="13">
        <v>6</v>
      </c>
    </row>
    <row r="425" spans="1:543" ht="15.75" thickBot="1" x14ac:dyDescent="0.3">
      <c r="A425" s="83" t="s">
        <v>2333</v>
      </c>
      <c r="B425" s="83" t="s">
        <v>2335</v>
      </c>
      <c r="C425" t="s">
        <v>1012</v>
      </c>
      <c r="P425" t="s">
        <v>1011</v>
      </c>
      <c r="T425" s="14" t="s">
        <v>2182</v>
      </c>
      <c r="U425">
        <v>2</v>
      </c>
      <c r="W425" t="s">
        <v>2327</v>
      </c>
      <c r="X425" t="str">
        <f>IF(COUNTIF(X$377:X424,X424)&gt;7,REPLACE(X424,LEN(X424),1,VALUE(RIGHT(X424,1))+1),X424)</f>
        <v>A3.18</v>
      </c>
      <c r="Y425" s="43">
        <f t="array" ref="Y425">IF(COUNTIFS($X$377:$X425,$X425)=1,"1",VALUE(SUBSTITUTE(INDEX(Y:Y,_xlfn.XMATCH($X425,$X$1:$X424,0,-1)),"A",""))+INDEX(Z:Z,_xlfn.XMATCH($X425,$X$1:$X424,0,-1))+1)</f>
        <v>3</v>
      </c>
      <c r="Z425" s="43">
        <f t="array" ref="Z425">SUM(IF(ISNUMBER(FIND("TmAi",$BE$1:$AAQ$1)),IF(IFERROR(ISODD(SUBSTITUTE($BE425:$AAQ425,"A","")),FALSE),IF(ISODD(SUBSTITUTE($BE425:$AAQ425,"A","")),1,0),0)))</f>
        <v>1</v>
      </c>
      <c r="AA425" t="str">
        <f t="shared" si="412"/>
        <v>5A</v>
      </c>
      <c r="AB425" t="str">
        <f t="shared" si="413"/>
        <v>5B</v>
      </c>
      <c r="AP425" t="s">
        <v>2184</v>
      </c>
      <c r="AR425" t="s">
        <v>2366</v>
      </c>
      <c r="AS425" t="s">
        <v>396</v>
      </c>
      <c r="MA425" t="str">
        <f t="shared" si="410"/>
        <v>DI-</v>
      </c>
      <c r="OL425" s="27" t="str">
        <f>CONCATENATE("XT",$U425)</f>
        <v>XT2</v>
      </c>
      <c r="OM425" t="s">
        <v>2339</v>
      </c>
      <c r="ON425" t="s">
        <v>2343</v>
      </c>
      <c r="OQ425" t="str">
        <f>CONCATENATE(REPLACE($AA425,LEN($AA425),1,"")+1,RIGHT($AA425))</f>
        <v>6A</v>
      </c>
      <c r="OR425" t="str">
        <f>CONCATENATE(REPLACE($AB425,LEN($AB425),1,"")+1,RIGHT($AB425))</f>
        <v>6B</v>
      </c>
      <c r="OS425" t="str">
        <f t="shared" si="414"/>
        <v>7A</v>
      </c>
      <c r="OT425" t="str">
        <f t="shared" si="414"/>
        <v>7B</v>
      </c>
      <c r="OU425" t="str">
        <f t="shared" si="414"/>
        <v>8A</v>
      </c>
      <c r="OV425" t="str">
        <f t="shared" si="414"/>
        <v>8B</v>
      </c>
      <c r="PA425" t="str">
        <f>CONCATENATE($T425,"-AI",REPLACE($X425,1,3,""),"-",$AA425)</f>
        <v>N1-AI18-5A</v>
      </c>
      <c r="PB425" t="str">
        <f>CONCATENATE($T425,"-AI",REPLACE($X425,1,3,""),"-",$AB425)</f>
        <v>N1-AI18-5B</v>
      </c>
      <c r="PC425" t="str">
        <f t="shared" si="415"/>
        <v>N1-AI18-6A</v>
      </c>
      <c r="PD425" t="str">
        <f t="shared" si="415"/>
        <v>N1-AI18-6B</v>
      </c>
      <c r="PE425" t="str">
        <f t="shared" si="415"/>
        <v>N1-AI18-7A</v>
      </c>
      <c r="PF425" t="str">
        <f t="shared" si="415"/>
        <v>N1-AI18-7B</v>
      </c>
      <c r="PG425" t="str">
        <f t="shared" si="415"/>
        <v>N1-AI18-8A</v>
      </c>
      <c r="PH425" t="str">
        <f t="shared" si="415"/>
        <v>N1-AI18-8B</v>
      </c>
      <c r="PM425">
        <f t="array" ref="PM425">IF(COUNTIFS($U$2:$U425,$U425)=1,1,INDEX(PM:PM,_xlfn.XMATCH($U425,$U$1:$U424,0,-1))+COUNT(PM424:PR424))</f>
        <v>7</v>
      </c>
      <c r="PN425">
        <f t="shared" si="416"/>
        <v>8</v>
      </c>
      <c r="PO425">
        <f t="shared" si="416"/>
        <v>9</v>
      </c>
      <c r="PP425">
        <f t="shared" si="416"/>
        <v>10</v>
      </c>
      <c r="PQ425">
        <f t="shared" si="416"/>
        <v>11</v>
      </c>
      <c r="PR425">
        <f t="shared" si="416"/>
        <v>12</v>
      </c>
      <c r="PV425">
        <v>7</v>
      </c>
      <c r="PW425">
        <v>8</v>
      </c>
      <c r="PX425">
        <v>9</v>
      </c>
      <c r="PY425">
        <v>10</v>
      </c>
      <c r="PZ425">
        <v>11</v>
      </c>
      <c r="QA425" s="16">
        <v>12</v>
      </c>
    </row>
    <row r="426" spans="1:543" ht="15.75" thickBot="1" x14ac:dyDescent="0.3">
      <c r="A426" s="83" t="s">
        <v>2336</v>
      </c>
      <c r="B426" s="83" t="s">
        <v>2359</v>
      </c>
      <c r="C426" t="s">
        <v>1012</v>
      </c>
      <c r="P426" t="s">
        <v>1047</v>
      </c>
      <c r="T426" s="14" t="s">
        <v>2182</v>
      </c>
      <c r="U426">
        <v>2</v>
      </c>
      <c r="W426" t="s">
        <v>2328</v>
      </c>
      <c r="X426" t="str">
        <f>IF(COUNTIF(X$377:X425,X425)&gt;7,REPLACE(X425,LEN(X425),1,VALUE(RIGHT(X425,1))+1),X425)</f>
        <v>A3.18</v>
      </c>
      <c r="Y426" s="43">
        <f t="array" ref="Y426">IF(COUNTIFS($X$377:$X426,$X426)=1,"1",VALUE(SUBSTITUTE(INDEX(Y:Y,_xlfn.XMATCH($X426,$X$1:$X425,0,-1)),"A",""))+INDEX(Z:Z,_xlfn.XMATCH($X426,$X$1:$X425,0,-1))+1)</f>
        <v>5</v>
      </c>
      <c r="Z426" s="43">
        <f t="array" ref="Z426">SUM(IF(ISNUMBER(FIND("TmAi",$BE$1:$AAQ$1)),IF(IFERROR(ISODD(SUBSTITUTE($BE426:$AAQ426,"A","")),FALSE),IF(ISODD(SUBSTITUTE($BE426:$AAQ426,"A","")),1,0),0)))</f>
        <v>2</v>
      </c>
      <c r="AA426" t="str">
        <f t="shared" si="412"/>
        <v>9A</v>
      </c>
      <c r="AB426" t="str">
        <f t="shared" si="413"/>
        <v>9B</v>
      </c>
      <c r="AP426" t="s">
        <v>2184</v>
      </c>
      <c r="AR426" t="s">
        <v>2367</v>
      </c>
      <c r="AS426" t="s">
        <v>396</v>
      </c>
      <c r="MA426" t="str">
        <f t="shared" si="410"/>
        <v>DI-</v>
      </c>
      <c r="OL426" s="27" t="str">
        <f>CONCATENATE("XT",$U426)</f>
        <v>XT2</v>
      </c>
      <c r="OM426" t="s">
        <v>2340</v>
      </c>
      <c r="ON426" t="s">
        <v>2344</v>
      </c>
      <c r="OO426" t="s">
        <v>2341</v>
      </c>
      <c r="OP426" t="s">
        <v>2345</v>
      </c>
      <c r="OQ426" t="str">
        <f>CONCATENATE(REPLACE($AA426,LEN($AA426),1,"")+1,RIGHT($AA426))</f>
        <v>10A</v>
      </c>
      <c r="OR426" t="str">
        <f>CONCATENATE(REPLACE($AB426,LEN($AB426),1,"")+1,RIGHT($AB426))</f>
        <v>10B</v>
      </c>
      <c r="OS426" t="str">
        <f t="shared" si="414"/>
        <v>11A</v>
      </c>
      <c r="OT426" t="str">
        <f t="shared" si="414"/>
        <v>11B</v>
      </c>
      <c r="OU426" t="str">
        <f t="shared" si="414"/>
        <v>12A</v>
      </c>
      <c r="OV426" t="str">
        <f t="shared" si="414"/>
        <v>12B</v>
      </c>
      <c r="OW426" t="str">
        <f>CONCATENATE(REPLACE(OU426,LEN(OU426),1,"")+1,RIGHT(OU426))</f>
        <v>13A</v>
      </c>
      <c r="OX426" t="str">
        <f>CONCATENATE(REPLACE(OV426,LEN(OV426),1,"")+1,RIGHT(OV426))</f>
        <v>13B</v>
      </c>
      <c r="OY426" t="str">
        <f>CONCATENATE(REPLACE(OW426,LEN(OW426),1,"")+1,RIGHT(OW426))</f>
        <v>14A</v>
      </c>
      <c r="OZ426" t="str">
        <f>CONCATENATE(REPLACE(OX426,LEN(OX426),1,"")+1,RIGHT(OX426))</f>
        <v>14B</v>
      </c>
      <c r="PA426" t="str">
        <f>CONCATENATE($T426,"-AI",REPLACE($X426,1,3,""),"-",$AA426)</f>
        <v>N1-AI18-9A</v>
      </c>
      <c r="PB426" t="str">
        <f>CONCATENATE($T426,"-AI",REPLACE($X426,1,3,""),"-",$AB426)</f>
        <v>N1-AI18-9B</v>
      </c>
      <c r="PC426" t="str">
        <f t="shared" si="415"/>
        <v>N1-AI18-10A</v>
      </c>
      <c r="PD426" t="str">
        <f t="shared" si="415"/>
        <v>N1-AI18-10B</v>
      </c>
      <c r="PE426" t="str">
        <f t="shared" si="415"/>
        <v>N1-AI18-11A</v>
      </c>
      <c r="PF426" t="str">
        <f t="shared" si="415"/>
        <v>N1-AI18-11B</v>
      </c>
      <c r="PG426" t="str">
        <f t="shared" si="415"/>
        <v>N1-AI18-12A</v>
      </c>
      <c r="PH426" t="str">
        <f t="shared" si="415"/>
        <v>N1-AI18-12B</v>
      </c>
      <c r="PI426" t="str">
        <f>CONCATENATE($T426,"-AI",REPLACE($X426,1,3,""),"-",OW426)</f>
        <v>N1-AI18-13A</v>
      </c>
      <c r="PJ426" t="str">
        <f>CONCATENATE($T426,"-AI",REPLACE($X426,1,3,""),"-",OX426)</f>
        <v>N1-AI18-13B</v>
      </c>
      <c r="PK426" t="str">
        <f>CONCATENATE($T426,"-AI",REPLACE($X426,1,3,""),"-",OY426)</f>
        <v>N1-AI18-14A</v>
      </c>
      <c r="PL426" t="str">
        <f>CONCATENATE($T426,"-AI",REPLACE($X426,1,3,""),"-",OZ426)</f>
        <v>N1-AI18-14B</v>
      </c>
      <c r="PM426">
        <f t="array" ref="PM426">IF(COUNTIFS($U$2:$U426,$U426)=1,1,INDEX(PM:PM,_xlfn.XMATCH($U426,$U$1:$U425,0,-1))+COUNT(PM425:PR425))</f>
        <v>13</v>
      </c>
      <c r="PN426">
        <f t="shared" si="416"/>
        <v>14</v>
      </c>
      <c r="PO426">
        <f t="shared" si="416"/>
        <v>15</v>
      </c>
      <c r="PP426">
        <f t="shared" si="416"/>
        <v>16</v>
      </c>
      <c r="PQ426">
        <f t="shared" si="416"/>
        <v>17</v>
      </c>
      <c r="PR426">
        <f t="shared" si="416"/>
        <v>18</v>
      </c>
      <c r="PS426">
        <f>PR426+1</f>
        <v>19</v>
      </c>
      <c r="PT426">
        <f>PS426+1</f>
        <v>20</v>
      </c>
      <c r="PU426">
        <f>PT426+1</f>
        <v>21</v>
      </c>
      <c r="PV426">
        <v>1</v>
      </c>
      <c r="PW426">
        <v>2</v>
      </c>
      <c r="PX426">
        <v>3</v>
      </c>
      <c r="PY426">
        <v>4</v>
      </c>
      <c r="PZ426">
        <v>5</v>
      </c>
      <c r="QA426">
        <v>6</v>
      </c>
      <c r="QB426" s="12">
        <v>7</v>
      </c>
      <c r="QC426" s="12">
        <v>8</v>
      </c>
      <c r="QD426" s="13">
        <v>9</v>
      </c>
    </row>
    <row r="427" spans="1:543" ht="15.75" thickBot="1" x14ac:dyDescent="0.3">
      <c r="A427" s="83" t="s">
        <v>2337</v>
      </c>
      <c r="B427" s="89" t="s">
        <v>2360</v>
      </c>
      <c r="P427" t="s">
        <v>482</v>
      </c>
      <c r="T427" s="14" t="s">
        <v>2182</v>
      </c>
      <c r="U427">
        <v>2</v>
      </c>
      <c r="W427" t="s">
        <v>2329</v>
      </c>
      <c r="X427" t="s">
        <v>2331</v>
      </c>
      <c r="Y427" s="43" t="str">
        <f t="array" ref="Y427">IF(COUNTIFS($X$377:$X427,$X427)=1,"1",VALUE(SUBSTITUTE(INDEX(Y:Y,_xlfn.XMATCH($X427,$X$1:$X426,0,-1)),"A",""))+INDEX(Z:Z,_xlfn.XMATCH($X427,$X$1:$X426,0,-1))+1)</f>
        <v>1</v>
      </c>
      <c r="Z427" s="43">
        <f t="array" ref="Z427">SUM(IF(ISNUMBER(FIND("TmAi",$BE$1:$AAQ$1)),IF(IFERROR(ISODD(SUBSTITUTE($BE427:$AAQ427,"A","")),FALSE),IF(ISODD(SUBSTITUTE($BE427:$AAQ427,"A","")),1,0),0)))</f>
        <v>0</v>
      </c>
      <c r="AA427" t="str">
        <f>CONCATENATE($Y427*2-1,"B")</f>
        <v>1B</v>
      </c>
      <c r="AB427" t="str">
        <f>CONCATENATE($Y427*2,"B")</f>
        <v>2B</v>
      </c>
      <c r="AP427" t="s">
        <v>2184</v>
      </c>
      <c r="AQ427" t="s">
        <v>3245</v>
      </c>
      <c r="AS427" t="s">
        <v>396</v>
      </c>
      <c r="JZ427" s="25" t="str">
        <f>CONCATENATE("XT",U427)</f>
        <v>XT2</v>
      </c>
      <c r="KA427" s="12"/>
      <c r="KB427" s="12"/>
      <c r="KC427" s="12" t="str">
        <f>CONCATENATE(T427,"-AI",REPLACE($X427,1,3,""),"-",AA427)</f>
        <v>N1-AI9-1B</v>
      </c>
      <c r="KD427" s="12" t="str">
        <f>CONCATENATE(T427,"-AI",REPLACE($X427,1,3,""),"-",AB427)</f>
        <v>N1-AI9-2B</v>
      </c>
      <c r="KE427" s="12"/>
      <c r="KF427" s="12"/>
      <c r="KG427" s="12"/>
      <c r="KH427" s="12"/>
      <c r="KI427" s="12">
        <v>22</v>
      </c>
      <c r="KJ427" s="12">
        <f>KI427+1</f>
        <v>23</v>
      </c>
      <c r="KK427" s="12">
        <f>KJ427+1</f>
        <v>24</v>
      </c>
      <c r="KL427" s="12"/>
      <c r="KM427" s="12"/>
      <c r="KN427" s="12" t="s">
        <v>548</v>
      </c>
      <c r="KO427" s="12" t="s">
        <v>548</v>
      </c>
      <c r="KP427" s="12"/>
      <c r="KQ427" s="12"/>
      <c r="KR427" s="12"/>
      <c r="KS427" s="12"/>
      <c r="KT427" s="12"/>
      <c r="KU427" s="12"/>
      <c r="KV427" s="12"/>
      <c r="KW427" s="12"/>
      <c r="KX427" s="12"/>
      <c r="KY427" s="12"/>
      <c r="KZ427" s="12"/>
      <c r="LA427" s="12"/>
      <c r="LB427" s="12"/>
      <c r="LC427" s="12"/>
      <c r="LD427" s="12"/>
      <c r="LE427" s="12"/>
      <c r="LF427" s="12"/>
      <c r="LG427" s="12"/>
      <c r="LH427" s="12"/>
      <c r="LI427" s="12"/>
      <c r="LJ427" s="12"/>
      <c r="LK427" s="12"/>
      <c r="LL427" s="12"/>
      <c r="LM427" s="12"/>
      <c r="LN427" s="12"/>
      <c r="LO427" s="12"/>
      <c r="LP427" s="12"/>
      <c r="LQ427" s="12"/>
      <c r="LR427" s="12"/>
      <c r="LS427" s="12"/>
      <c r="LT427" s="12"/>
      <c r="LU427" s="12"/>
      <c r="LV427" s="12"/>
      <c r="LW427" s="12"/>
      <c r="LX427" s="12"/>
      <c r="LY427" s="12"/>
      <c r="LZ427" s="12"/>
      <c r="MA427" s="12" t="str">
        <f t="shared" si="410"/>
        <v>DI-</v>
      </c>
      <c r="MB427" s="12"/>
      <c r="MC427" s="12"/>
      <c r="MD427" s="12"/>
      <c r="ME427" s="12"/>
      <c r="MF427" s="12"/>
      <c r="MG427" s="12"/>
      <c r="MH427" s="12"/>
      <c r="MI427" s="12"/>
      <c r="MJ427" s="12"/>
      <c r="MK427" s="12"/>
      <c r="ML427" s="12"/>
      <c r="MM427" s="12"/>
      <c r="MN427" s="12"/>
      <c r="MO427" s="12"/>
      <c r="MP427" s="12"/>
      <c r="MQ427" s="12"/>
      <c r="MR427" s="12"/>
      <c r="MS427" s="12"/>
      <c r="MT427" s="12"/>
      <c r="MU427" s="12"/>
      <c r="MV427" s="12"/>
      <c r="MW427" s="12"/>
      <c r="MX427" s="12"/>
      <c r="MY427" s="12"/>
      <c r="MZ427" s="12"/>
      <c r="NA427" s="12"/>
      <c r="NB427" s="12"/>
      <c r="NC427" s="12"/>
      <c r="ND427" s="12"/>
      <c r="NE427" s="12"/>
      <c r="NF427" s="12"/>
      <c r="NG427" s="12"/>
      <c r="NH427" s="12"/>
      <c r="NI427" s="12"/>
      <c r="NJ427" s="12"/>
      <c r="NK427" s="12"/>
      <c r="NL427" s="12"/>
      <c r="NM427" s="12"/>
      <c r="NN427" s="12"/>
      <c r="NO427" s="12"/>
      <c r="NP427" s="12"/>
      <c r="NQ427" s="12"/>
      <c r="NR427" s="12"/>
      <c r="NS427" s="12"/>
      <c r="NT427" s="12"/>
      <c r="NU427" s="12"/>
      <c r="NV427" s="12"/>
      <c r="NW427" s="12"/>
      <c r="NX427" s="12"/>
      <c r="NY427" s="12"/>
      <c r="NZ427" s="12"/>
      <c r="OA427" s="12"/>
      <c r="OB427" s="12"/>
      <c r="OC427" s="12"/>
      <c r="OD427" s="12"/>
      <c r="OE427" s="12"/>
      <c r="OF427" s="12"/>
      <c r="OG427" s="12"/>
      <c r="OH427" s="12"/>
      <c r="OI427" s="12"/>
      <c r="OJ427" s="12"/>
      <c r="OK427" s="12"/>
      <c r="QD427" s="16"/>
    </row>
    <row r="428" spans="1:543" ht="15.75" thickBot="1" x14ac:dyDescent="0.3">
      <c r="A428" s="83" t="s">
        <v>2358</v>
      </c>
      <c r="B428" s="85" t="s">
        <v>2361</v>
      </c>
      <c r="P428" t="s">
        <v>1061</v>
      </c>
      <c r="T428" s="14" t="s">
        <v>2182</v>
      </c>
      <c r="U428">
        <v>2</v>
      </c>
      <c r="W428" t="s">
        <v>2330</v>
      </c>
      <c r="X428" t="str">
        <f>IF(COUNTIF(X$377:X427,X427)&gt;7,REPLACE(X427,LEN(X427),1,VALUE(RIGHT(X427,1))+1),X427)</f>
        <v>A3.9</v>
      </c>
      <c r="Y428" s="43">
        <f t="array" ref="Y428">IF(COUNTIFS($X$377:$X428,$X428)=1,"1",VALUE(SUBSTITUTE(INDEX(Y:Y,_xlfn.XMATCH($X428,$X$1:$X427,0,-1)),"A",""))+INDEX(Z:Z,_xlfn.XMATCH($X428,$X$1:$X427,0,-1))+1)</f>
        <v>2</v>
      </c>
      <c r="Z428" s="43">
        <f t="array" ref="Z428">SUM(IF(ISNUMBER(FIND("TmAi",$BE$1:$AAQ$1)),IF(IFERROR(ISODD(SUBSTITUTE($BE428:$AAQ428,"A","")),FALSE),IF(ISODD(SUBSTITUTE($BE428:$AAQ428,"A","")),1,0),0)))</f>
        <v>11</v>
      </c>
      <c r="AA428" t="str">
        <f>CONCATENATE($Y428*2-1,"A")</f>
        <v>3A</v>
      </c>
      <c r="AB428" t="str">
        <f>CONCATENATE($Y428*2-1,"B")</f>
        <v>3B</v>
      </c>
      <c r="AP428" t="s">
        <v>2184</v>
      </c>
      <c r="AR428" t="s">
        <v>2368</v>
      </c>
      <c r="AS428" t="s">
        <v>396</v>
      </c>
      <c r="JZ428" s="28"/>
      <c r="KA428" s="19"/>
      <c r="KB428" s="19"/>
      <c r="KC428" s="19"/>
      <c r="KD428" s="19"/>
      <c r="KE428" s="19"/>
      <c r="KF428" s="19"/>
      <c r="KG428" s="19"/>
      <c r="KH428" s="19"/>
      <c r="KI428" s="19"/>
      <c r="KJ428" s="19"/>
      <c r="KK428" s="19"/>
      <c r="KL428" s="19"/>
      <c r="KM428" s="19"/>
      <c r="KN428" s="19"/>
      <c r="KO428" s="19"/>
      <c r="KP428" s="19"/>
      <c r="KQ428" s="19"/>
      <c r="KR428" s="19"/>
      <c r="KS428" s="19"/>
      <c r="KT428" s="19"/>
      <c r="KU428" s="19"/>
      <c r="KV428" s="19"/>
      <c r="KW428" s="19"/>
      <c r="KX428" s="19"/>
      <c r="KY428" s="19"/>
      <c r="KZ428" s="19"/>
      <c r="LA428" s="19"/>
      <c r="LB428" s="19"/>
      <c r="LC428" s="19"/>
      <c r="LD428" s="19"/>
      <c r="LE428" s="19"/>
      <c r="LF428" s="19"/>
      <c r="LG428" s="19"/>
      <c r="LH428" s="19"/>
      <c r="LI428" s="19"/>
      <c r="LJ428" s="19"/>
      <c r="LK428" s="19"/>
      <c r="LL428" s="19"/>
      <c r="LM428" s="19"/>
      <c r="LN428" s="19"/>
      <c r="LO428" s="19"/>
      <c r="LP428" s="19"/>
      <c r="LQ428" s="19"/>
      <c r="LR428" s="19"/>
      <c r="LS428" s="19"/>
      <c r="LT428" s="19"/>
      <c r="LU428" s="19"/>
      <c r="LV428" s="19"/>
      <c r="LW428" s="19"/>
      <c r="LX428" s="19"/>
      <c r="LY428" s="19"/>
      <c r="LZ428" s="19"/>
      <c r="MA428" s="19" t="str">
        <f t="shared" si="410"/>
        <v>DI-</v>
      </c>
      <c r="MB428" s="19"/>
      <c r="MC428" s="19"/>
      <c r="MD428" s="19"/>
      <c r="ME428" s="19"/>
      <c r="MF428" s="19"/>
      <c r="MG428" s="19"/>
      <c r="MH428" s="19"/>
      <c r="MI428" s="19"/>
      <c r="MJ428" s="19"/>
      <c r="MK428" s="19"/>
      <c r="ML428" s="19"/>
      <c r="MM428" s="19"/>
      <c r="MN428" s="19"/>
      <c r="MO428" s="19"/>
      <c r="MP428" s="19"/>
      <c r="MQ428" s="19"/>
      <c r="MR428" s="19"/>
      <c r="MS428" s="19"/>
      <c r="MT428" s="19"/>
      <c r="MU428" s="19"/>
      <c r="MV428" s="19"/>
      <c r="MW428" s="19"/>
      <c r="MX428" s="19"/>
      <c r="MY428" s="19"/>
      <c r="MZ428" s="19"/>
      <c r="NA428" s="19"/>
      <c r="NB428" s="19"/>
      <c r="NC428" s="19"/>
      <c r="ND428" s="19"/>
      <c r="NE428" s="19"/>
      <c r="NF428" s="19"/>
      <c r="NG428" s="19"/>
      <c r="NH428" s="19"/>
      <c r="NI428" s="19"/>
      <c r="NJ428" s="19"/>
      <c r="NK428" s="19"/>
      <c r="NL428" s="19"/>
      <c r="NM428" s="19"/>
      <c r="NN428" s="19"/>
      <c r="NO428" s="19"/>
      <c r="NP428" s="19"/>
      <c r="NQ428" s="19"/>
      <c r="NR428" s="19"/>
      <c r="NS428" s="19"/>
      <c r="NT428" s="19"/>
      <c r="NU428" s="19"/>
      <c r="NV428" s="19"/>
      <c r="NW428" s="19"/>
      <c r="NX428" s="19"/>
      <c r="NY428" s="19"/>
      <c r="NZ428" s="19"/>
      <c r="OA428" s="19"/>
      <c r="OB428" s="19"/>
      <c r="OC428" s="19"/>
      <c r="OD428" s="19"/>
      <c r="OE428" s="19"/>
      <c r="OF428" s="19"/>
      <c r="OG428" s="19"/>
      <c r="OH428" s="19"/>
      <c r="OI428" s="19"/>
      <c r="OJ428" s="19"/>
      <c r="OK428" s="19"/>
      <c r="OL428" s="19"/>
      <c r="OM428" s="19"/>
      <c r="ON428" s="19"/>
      <c r="OO428" s="19"/>
      <c r="OP428" s="19"/>
      <c r="OQ428" s="19"/>
      <c r="OR428" s="19"/>
      <c r="OS428" s="19"/>
      <c r="OT428" s="19"/>
      <c r="OU428" s="19"/>
      <c r="OV428" s="19"/>
      <c r="OW428" s="19"/>
      <c r="OX428" s="19"/>
      <c r="OY428" s="19"/>
      <c r="OZ428" s="19"/>
      <c r="PA428" s="19"/>
      <c r="PB428" s="19"/>
      <c r="PC428" s="19"/>
      <c r="PD428" s="19"/>
      <c r="PE428" s="19"/>
      <c r="PF428" s="19"/>
      <c r="PG428" s="19"/>
      <c r="PH428" s="19"/>
      <c r="PI428" s="19"/>
      <c r="PJ428" s="19"/>
      <c r="PK428" s="19"/>
      <c r="PL428" s="19"/>
      <c r="PM428" s="19"/>
      <c r="PN428" s="19"/>
      <c r="PO428" s="19"/>
      <c r="PP428" s="19"/>
      <c r="PQ428" s="19"/>
      <c r="PR428" s="19"/>
      <c r="PS428" s="19"/>
      <c r="PT428" s="19"/>
      <c r="PU428" s="19"/>
      <c r="PV428" s="19"/>
      <c r="PW428" s="19"/>
      <c r="PX428" s="19"/>
      <c r="PY428" s="19"/>
      <c r="PZ428" s="19"/>
      <c r="QA428" s="19"/>
      <c r="QB428" s="19"/>
      <c r="QC428" s="19"/>
      <c r="QD428" s="19"/>
      <c r="QE428" s="23" t="str">
        <f>REPLACE(X428,FIND(".",X428)+1,3,MID(X428,FIND(".",X428)+1,3)+1)</f>
        <v>A3.10</v>
      </c>
      <c r="QF428" s="23" t="str">
        <f>CONCATENATE(VALUE(SUBSTITUTE($AB428,"B",""))+2,"B")</f>
        <v>5B</v>
      </c>
      <c r="QG428" s="23" t="str">
        <f>CONCATENATE(VALUE(SUBSTITUTE($AA428,"A",""))+2,"A")</f>
        <v>5A</v>
      </c>
      <c r="QH428" s="23" t="str">
        <f>CONCATENATE(VALUE(SUBSTITUTE(QF428,"B",""))+2,"B")</f>
        <v>7B</v>
      </c>
      <c r="QI428" s="23" t="str">
        <f>CONCATENATE(VALUE(SUBSTITUTE(QG428,"A",""))+2,"A")</f>
        <v>7A</v>
      </c>
      <c r="QJ428" s="23" t="str">
        <f>CONCATENATE(VALUE(SUBSTITUTE(QH428,"B",""))+2,"B")</f>
        <v>9B</v>
      </c>
      <c r="QK428" s="23" t="str">
        <f>CONCATENATE(VALUE(SUBSTITUTE(QI428,"A",""))+2,"A")</f>
        <v>9A</v>
      </c>
      <c r="QL428" s="23" t="str">
        <f>CONCATENATE(VALUE(SUBSTITUTE(QJ428,"B",""))+2,"B")</f>
        <v>11B</v>
      </c>
      <c r="QM428" s="23" t="str">
        <f>CONCATENATE(VALUE(SUBSTITUTE(QK428,"A",""))+2,"A")</f>
        <v>11A</v>
      </c>
      <c r="QN428" s="23" t="str">
        <f>CONCATENATE(VALUE(SUBSTITUTE(QL428,"B",""))+2,"B")</f>
        <v>13B</v>
      </c>
      <c r="QO428" s="23" t="str">
        <f>CONCATENATE(VALUE(SUBSTITUTE(QM428,"A",""))+2,"A")</f>
        <v>13A</v>
      </c>
      <c r="QP428" s="23" t="s">
        <v>135</v>
      </c>
      <c r="QQ428" s="23" t="s">
        <v>136</v>
      </c>
      <c r="QR428" s="23" t="str">
        <f>CONCATENATE(VALUE(SUBSTITUTE(QP428,"B",""))+2,"B")</f>
        <v>3B</v>
      </c>
      <c r="QS428" s="23" t="str">
        <f>CONCATENATE(VALUE(SUBSTITUTE(QQ428,"A",""))+2,"A")</f>
        <v>3A</v>
      </c>
      <c r="QT428" s="23" t="str">
        <f>CONCATENATE(VALUE(SUBSTITUTE(QR428,"B",""))+2,"B")</f>
        <v>5B</v>
      </c>
      <c r="QU428" s="23" t="str">
        <f>CONCATENATE(VALUE(SUBSTITUTE(QS428,"A",""))+2,"A")</f>
        <v>5A</v>
      </c>
      <c r="QV428" s="23" t="str">
        <f>CONCATENATE(VALUE(SUBSTITUTE(QT428,"B",""))+2,"B")</f>
        <v>7B</v>
      </c>
      <c r="QW428" s="23" t="str">
        <f>CONCATENATE(VALUE(SUBSTITUTE(QU428,"A",""))+2,"A")</f>
        <v>7A</v>
      </c>
      <c r="QX428" s="23" t="str">
        <f>CONCATENATE(VALUE(SUBSTITUTE(QV428,"B",""))+2,"B")</f>
        <v>9B</v>
      </c>
      <c r="QY428" s="23" t="str">
        <f>CONCATENATE(VALUE(SUBSTITUTE(QW428,"A",""))+2,"A")</f>
        <v>9A</v>
      </c>
      <c r="QZ428" s="23" t="str">
        <f>CONCATENATE(VALUE(SUBSTITUTE(QX428,"B",""))+2,"B")</f>
        <v>11B</v>
      </c>
      <c r="RA428" s="23" t="str">
        <f>CONCATENATE(VALUE(SUBSTITUTE(QY428,"A",""))+2,"A")</f>
        <v>11A</v>
      </c>
      <c r="RB428" s="23" t="str">
        <f>CONCATENATE($T428,"-AI",REPLACE($X428,1,3,""),"-",AB428)</f>
        <v>N1-AI9-3B</v>
      </c>
      <c r="RC428" s="23" t="str">
        <f>CONCATENATE($T428,"-AI",REPLACE($X428,1,3,""),"-",AA428)</f>
        <v>N1-AI9-3A</v>
      </c>
      <c r="RD428" s="23" t="str">
        <f t="shared" ref="RD428:RM428" si="417">CONCATENATE($T428,"-AI",REPLACE($X428,1,3,""),"-",QF428)</f>
        <v>N1-AI9-5B</v>
      </c>
      <c r="RE428" s="23" t="str">
        <f t="shared" si="417"/>
        <v>N1-AI9-5A</v>
      </c>
      <c r="RF428" s="23" t="str">
        <f t="shared" si="417"/>
        <v>N1-AI9-7B</v>
      </c>
      <c r="RG428" s="23" t="str">
        <f t="shared" si="417"/>
        <v>N1-AI9-7A</v>
      </c>
      <c r="RH428" s="23" t="str">
        <f t="shared" si="417"/>
        <v>N1-AI9-9B</v>
      </c>
      <c r="RI428" s="23" t="str">
        <f t="shared" si="417"/>
        <v>N1-AI9-9A</v>
      </c>
      <c r="RJ428" s="23" t="str">
        <f t="shared" si="417"/>
        <v>N1-AI9-11B</v>
      </c>
      <c r="RK428" s="23" t="str">
        <f t="shared" si="417"/>
        <v>N1-AI9-11A</v>
      </c>
      <c r="RL428" s="23" t="str">
        <f t="shared" si="417"/>
        <v>N1-AI9-13B</v>
      </c>
      <c r="RM428" s="23" t="str">
        <f t="shared" si="417"/>
        <v>N1-AI9-13A</v>
      </c>
      <c r="RN428" s="23" t="str">
        <f t="shared" ref="RN428:RY428" si="418">CONCATENATE($T428,"-AI",REPLACE($QE428,1,3,""),"-",QP428)</f>
        <v>N1-AI10-1B</v>
      </c>
      <c r="RO428" s="23" t="str">
        <f t="shared" si="418"/>
        <v>N1-AI10-1A</v>
      </c>
      <c r="RP428" s="23" t="str">
        <f t="shared" si="418"/>
        <v>N1-AI10-3B</v>
      </c>
      <c r="RQ428" s="23" t="str">
        <f t="shared" si="418"/>
        <v>N1-AI10-3A</v>
      </c>
      <c r="RR428" s="23" t="str">
        <f t="shared" si="418"/>
        <v>N1-AI10-5B</v>
      </c>
      <c r="RS428" s="23" t="str">
        <f t="shared" si="418"/>
        <v>N1-AI10-5A</v>
      </c>
      <c r="RT428" s="23" t="str">
        <f t="shared" si="418"/>
        <v>N1-AI10-7B</v>
      </c>
      <c r="RU428" s="23" t="str">
        <f t="shared" si="418"/>
        <v>N1-AI10-7A</v>
      </c>
      <c r="RV428" s="23" t="str">
        <f t="shared" si="418"/>
        <v>N1-AI10-9B</v>
      </c>
      <c r="RW428" s="23" t="str">
        <f t="shared" si="418"/>
        <v>N1-AI10-9A</v>
      </c>
      <c r="RX428" s="23" t="str">
        <f t="shared" si="418"/>
        <v>N1-AI10-11B</v>
      </c>
      <c r="RY428" s="23" t="str">
        <f t="shared" si="418"/>
        <v>N1-AI10-11A</v>
      </c>
      <c r="RZ428" s="23" t="str">
        <f>CONCATENATE("XT",$U428)</f>
        <v>XT2</v>
      </c>
      <c r="SA428" s="23">
        <v>25</v>
      </c>
      <c r="SB428" s="23">
        <f>SA428+1</f>
        <v>26</v>
      </c>
      <c r="SC428" s="23">
        <f t="shared" ref="SC428:SX428" si="419">SB428+1</f>
        <v>27</v>
      </c>
      <c r="SD428" s="23">
        <f t="shared" si="419"/>
        <v>28</v>
      </c>
      <c r="SE428" s="23">
        <f t="shared" si="419"/>
        <v>29</v>
      </c>
      <c r="SF428" s="23">
        <f t="shared" si="419"/>
        <v>30</v>
      </c>
      <c r="SG428" s="23">
        <f t="shared" si="419"/>
        <v>31</v>
      </c>
      <c r="SH428" s="23">
        <f t="shared" si="419"/>
        <v>32</v>
      </c>
      <c r="SI428" s="23">
        <f t="shared" si="419"/>
        <v>33</v>
      </c>
      <c r="SJ428" s="23">
        <f t="shared" si="419"/>
        <v>34</v>
      </c>
      <c r="SK428" s="23">
        <f t="shared" si="419"/>
        <v>35</v>
      </c>
      <c r="SL428" s="23">
        <f t="shared" si="419"/>
        <v>36</v>
      </c>
      <c r="SM428" s="23">
        <f t="shared" si="419"/>
        <v>37</v>
      </c>
      <c r="SN428" s="23">
        <f t="shared" si="419"/>
        <v>38</v>
      </c>
      <c r="SO428" s="23">
        <f t="shared" si="419"/>
        <v>39</v>
      </c>
      <c r="SP428" s="23">
        <f t="shared" si="419"/>
        <v>40</v>
      </c>
      <c r="SQ428" s="23">
        <f t="shared" si="419"/>
        <v>41</v>
      </c>
      <c r="SR428" s="23">
        <f t="shared" si="419"/>
        <v>42</v>
      </c>
      <c r="SS428" s="23">
        <f t="shared" si="419"/>
        <v>43</v>
      </c>
      <c r="ST428" s="23">
        <f t="shared" si="419"/>
        <v>44</v>
      </c>
      <c r="SU428" s="23">
        <f t="shared" si="419"/>
        <v>45</v>
      </c>
      <c r="SV428" s="23">
        <f t="shared" si="419"/>
        <v>46</v>
      </c>
      <c r="SW428" s="23">
        <f t="shared" si="419"/>
        <v>47</v>
      </c>
      <c r="SX428" s="23">
        <f t="shared" si="419"/>
        <v>48</v>
      </c>
      <c r="SY428" s="23">
        <f>SX428+1</f>
        <v>49</v>
      </c>
      <c r="SZ428" s="23" t="s">
        <v>2346</v>
      </c>
      <c r="TA428" s="23" t="s">
        <v>2347</v>
      </c>
      <c r="TB428" s="23" t="s">
        <v>2348</v>
      </c>
      <c r="TC428" s="23" t="s">
        <v>2349</v>
      </c>
      <c r="TD428" s="23" t="s">
        <v>2350</v>
      </c>
      <c r="TE428" s="23" t="s">
        <v>2351</v>
      </c>
      <c r="TF428" s="23" t="s">
        <v>2352</v>
      </c>
      <c r="TG428" s="23" t="s">
        <v>2353</v>
      </c>
      <c r="TH428" s="23" t="s">
        <v>2354</v>
      </c>
      <c r="TI428" s="23" t="s">
        <v>2355</v>
      </c>
      <c r="TJ428" s="23" t="s">
        <v>2356</v>
      </c>
      <c r="TK428" s="23" t="s">
        <v>2357</v>
      </c>
      <c r="TL428" s="23" t="s">
        <v>1059</v>
      </c>
      <c r="TM428" s="23" t="s">
        <v>1128</v>
      </c>
      <c r="TN428" s="23" t="s">
        <v>1129</v>
      </c>
      <c r="TO428" s="23" t="s">
        <v>1130</v>
      </c>
      <c r="TP428" s="23" t="s">
        <v>1132</v>
      </c>
      <c r="TQ428" s="23" t="s">
        <v>1131</v>
      </c>
      <c r="TR428" s="23" t="s">
        <v>1133</v>
      </c>
      <c r="TS428" s="23" t="s">
        <v>1134</v>
      </c>
      <c r="TT428" s="23" t="s">
        <v>1135</v>
      </c>
      <c r="TU428" s="23" t="s">
        <v>1136</v>
      </c>
      <c r="TV428" s="23" t="s">
        <v>1137</v>
      </c>
      <c r="TW428" s="24" t="s">
        <v>1138</v>
      </c>
    </row>
    <row r="429" spans="1:543" x14ac:dyDescent="0.25">
      <c r="A429" s="83" t="s">
        <v>2386</v>
      </c>
      <c r="B429" s="86" t="s">
        <v>2374</v>
      </c>
      <c r="C429" t="s">
        <v>1012</v>
      </c>
      <c r="P429" t="s">
        <v>1011</v>
      </c>
      <c r="T429" s="14" t="s">
        <v>2182</v>
      </c>
      <c r="U429">
        <v>3</v>
      </c>
      <c r="W429" t="s">
        <v>2369</v>
      </c>
      <c r="X429" t="s">
        <v>2958</v>
      </c>
      <c r="Y429" s="43" t="str">
        <f t="array" ref="Y429">IF(COUNTIFS($X$377:$X429,$X429)=1,"1",VALUE(SUBSTITUTE(INDEX(Y:Y,_xlfn.XMATCH($X429,$X$1:$X428,0,-1)),"A",""))+INDEX(Z:Z,_xlfn.XMATCH($X429,$X$1:$X428,0,-1))+1)</f>
        <v>1</v>
      </c>
      <c r="Z429" s="43">
        <f t="array" ref="Z429">SUM(IF(ISNUMBER(FIND("TmAi",$BE$1:$AAQ$1)),IF(IFERROR(ISODD(SUBSTITUTE($BE429:$AAQ429,"A","")),FALSE),IF(ISODD(SUBSTITUTE($BE429:$AAQ429,"A","")),1,0),0)))</f>
        <v>1</v>
      </c>
      <c r="AA429" t="str">
        <f t="shared" si="412"/>
        <v>1A</v>
      </c>
      <c r="AB429" t="str">
        <f t="shared" si="413"/>
        <v>1B</v>
      </c>
      <c r="AP429" t="s">
        <v>2184</v>
      </c>
      <c r="AR429" t="s">
        <v>2375</v>
      </c>
      <c r="AS429" t="s">
        <v>396</v>
      </c>
      <c r="MA429" t="str">
        <f t="shared" si="410"/>
        <v>DI-</v>
      </c>
      <c r="OL429" s="25" t="str">
        <f>CONCATENATE("XT",$U429)</f>
        <v>XT3</v>
      </c>
      <c r="OM429" s="12" t="s">
        <v>2387</v>
      </c>
      <c r="ON429" s="12" t="s">
        <v>2376</v>
      </c>
      <c r="OO429" s="12"/>
      <c r="OP429" s="12"/>
      <c r="OQ429" s="12" t="str">
        <f>CONCATENATE(REPLACE($AA429,LEN($AA429),1,"")+1,RIGHT($AA429))</f>
        <v>2A</v>
      </c>
      <c r="OR429" s="12" t="str">
        <f>CONCATENATE(REPLACE($AB429,LEN($AB429),1,"")+1,RIGHT($AB429))</f>
        <v>2B</v>
      </c>
      <c r="OS429" s="12" t="str">
        <f t="shared" ref="OS429:OV431" si="420">CONCATENATE(REPLACE(OQ429,LEN(OQ429),1,"")+1,RIGHT(OQ429))</f>
        <v>3A</v>
      </c>
      <c r="OT429" s="12" t="str">
        <f t="shared" si="420"/>
        <v>3B</v>
      </c>
      <c r="OU429" s="12" t="str">
        <f t="shared" si="420"/>
        <v>4A</v>
      </c>
      <c r="OV429" s="12" t="str">
        <f t="shared" si="420"/>
        <v>4B</v>
      </c>
      <c r="OW429" s="12"/>
      <c r="OX429" s="12"/>
      <c r="OY429" s="12"/>
      <c r="OZ429" s="12"/>
      <c r="PA429" s="12" t="str">
        <f>CONCATENATE($T429,"-AI",REPLACE($X429,1,3,""),"-",$AA429)</f>
        <v>N1-AI19-1A</v>
      </c>
      <c r="PB429" s="12" t="str">
        <f>CONCATENATE($T429,"-AI",REPLACE($X429,1,3,""),"-",$AB429)</f>
        <v>N1-AI19-1B</v>
      </c>
      <c r="PC429" s="12" t="str">
        <f t="shared" ref="PC429:PH431" si="421">CONCATENATE($T429,"-AI",REPLACE($X429,1,3,""),"-",OQ429)</f>
        <v>N1-AI19-2A</v>
      </c>
      <c r="PD429" s="12" t="str">
        <f t="shared" si="421"/>
        <v>N1-AI19-2B</v>
      </c>
      <c r="PE429" s="12" t="str">
        <f t="shared" si="421"/>
        <v>N1-AI19-3A</v>
      </c>
      <c r="PF429" s="12" t="str">
        <f t="shared" si="421"/>
        <v>N1-AI19-3B</v>
      </c>
      <c r="PG429" s="12" t="str">
        <f t="shared" si="421"/>
        <v>N1-AI19-4A</v>
      </c>
      <c r="PH429" s="12" t="str">
        <f t="shared" si="421"/>
        <v>N1-AI19-4B</v>
      </c>
      <c r="PI429" s="12"/>
      <c r="PJ429" s="12"/>
      <c r="PK429" s="12"/>
      <c r="PL429" s="12"/>
      <c r="PM429" s="12">
        <f t="array" ref="PM429">IF(COUNTIFS($U$377:$U429,$U429)=1,1,INDEX(PM:PM,_xlfn.XMATCH($U429,$U$377:EF428,0,-1))+COUNT(PM428:PR428))</f>
        <v>1</v>
      </c>
      <c r="PN429" s="12">
        <f t="shared" ref="PN429:PR431" si="422">PM429+1</f>
        <v>2</v>
      </c>
      <c r="PO429" s="12">
        <f t="shared" si="422"/>
        <v>3</v>
      </c>
      <c r="PP429" s="12">
        <f t="shared" si="422"/>
        <v>4</v>
      </c>
      <c r="PQ429" s="12">
        <f t="shared" si="422"/>
        <v>5</v>
      </c>
      <c r="PR429" s="12">
        <f t="shared" si="422"/>
        <v>6</v>
      </c>
      <c r="PS429" s="12"/>
      <c r="PT429" s="12"/>
      <c r="PU429" s="12"/>
      <c r="PV429" s="12">
        <v>1</v>
      </c>
      <c r="PW429" s="12">
        <v>2</v>
      </c>
      <c r="PX429" s="12">
        <v>3</v>
      </c>
      <c r="PY429" s="12">
        <v>4</v>
      </c>
      <c r="PZ429" s="12">
        <v>5</v>
      </c>
      <c r="QA429" s="13">
        <v>6</v>
      </c>
    </row>
    <row r="430" spans="1:543" ht="15.75" thickBot="1" x14ac:dyDescent="0.3">
      <c r="A430" s="83" t="s">
        <v>2388</v>
      </c>
      <c r="B430" s="83" t="s">
        <v>2377</v>
      </c>
      <c r="C430" t="s">
        <v>1012</v>
      </c>
      <c r="P430" t="s">
        <v>1011</v>
      </c>
      <c r="T430" s="14" t="s">
        <v>2182</v>
      </c>
      <c r="U430">
        <v>3</v>
      </c>
      <c r="W430" t="s">
        <v>2370</v>
      </c>
      <c r="X430" t="str">
        <f>IF(COUNTIF(X$377:X429,X429)&gt;7,REPLACE(X429,LEN(X429),1,VALUE(RIGHT(X429,1))+1),X429)</f>
        <v>A3.19</v>
      </c>
      <c r="Y430" s="43">
        <f t="array" ref="Y430">IF(COUNTIFS($X$377:$X430,$X430)=1,"1",VALUE(SUBSTITUTE(INDEX(Y:Y,_xlfn.XMATCH($X430,$X$1:$X429,0,-1)),"A",""))+INDEX(Z:Z,_xlfn.XMATCH($X430,$X$1:$X429,0,-1))+1)</f>
        <v>3</v>
      </c>
      <c r="Z430" s="43">
        <f t="array" ref="Z430">SUM(IF(ISNUMBER(FIND("TmAi",$BE$1:$AAQ$1)),IF(IFERROR(ISODD(SUBSTITUTE($BE430:$AAQ430,"A","")),FALSE),IF(ISODD(SUBSTITUTE($BE430:$AAQ430,"A","")),1,0),0)))</f>
        <v>1</v>
      </c>
      <c r="AA430" t="str">
        <f t="shared" si="412"/>
        <v>5A</v>
      </c>
      <c r="AB430" t="str">
        <f t="shared" si="413"/>
        <v>5B</v>
      </c>
      <c r="AP430" t="s">
        <v>2184</v>
      </c>
      <c r="AR430" t="s">
        <v>2375</v>
      </c>
      <c r="AS430" t="s">
        <v>396</v>
      </c>
      <c r="MA430" t="str">
        <f t="shared" si="410"/>
        <v>DI-</v>
      </c>
      <c r="OL430" s="27" t="str">
        <f>CONCATENATE("XT",$U430)</f>
        <v>XT3</v>
      </c>
      <c r="OM430" t="s">
        <v>2389</v>
      </c>
      <c r="ON430" t="s">
        <v>2378</v>
      </c>
      <c r="OQ430" t="str">
        <f>CONCATENATE(REPLACE($AA430,LEN($AA430),1,"")+1,RIGHT($AA430))</f>
        <v>6A</v>
      </c>
      <c r="OR430" t="str">
        <f>CONCATENATE(REPLACE($AB430,LEN($AB430),1,"")+1,RIGHT($AB430))</f>
        <v>6B</v>
      </c>
      <c r="OS430" t="str">
        <f t="shared" si="420"/>
        <v>7A</v>
      </c>
      <c r="OT430" t="str">
        <f t="shared" si="420"/>
        <v>7B</v>
      </c>
      <c r="OU430" t="str">
        <f t="shared" si="420"/>
        <v>8A</v>
      </c>
      <c r="OV430" t="str">
        <f t="shared" si="420"/>
        <v>8B</v>
      </c>
      <c r="PA430" t="str">
        <f>CONCATENATE($T430,"-AI",REPLACE($X430,1,3,""),"-",$AA430)</f>
        <v>N1-AI19-5A</v>
      </c>
      <c r="PB430" t="str">
        <f>CONCATENATE($T430,"-AI",REPLACE($X430,1,3,""),"-",$AB430)</f>
        <v>N1-AI19-5B</v>
      </c>
      <c r="PC430" t="str">
        <f t="shared" si="421"/>
        <v>N1-AI19-6A</v>
      </c>
      <c r="PD430" t="str">
        <f t="shared" si="421"/>
        <v>N1-AI19-6B</v>
      </c>
      <c r="PE430" t="str">
        <f t="shared" si="421"/>
        <v>N1-AI19-7A</v>
      </c>
      <c r="PF430" t="str">
        <f t="shared" si="421"/>
        <v>N1-AI19-7B</v>
      </c>
      <c r="PG430" t="str">
        <f t="shared" si="421"/>
        <v>N1-AI19-8A</v>
      </c>
      <c r="PH430" t="str">
        <f t="shared" si="421"/>
        <v>N1-AI19-8B</v>
      </c>
      <c r="PM430">
        <f t="array" ref="PM430">IF(COUNTIFS($U$2:$U430,$U430)=1,1,INDEX(PM:PM,_xlfn.XMATCH($U430,$U$1:$U429,0,-1))+COUNT(PM429:PR429))</f>
        <v>7</v>
      </c>
      <c r="PN430">
        <f t="shared" si="422"/>
        <v>8</v>
      </c>
      <c r="PO430">
        <f t="shared" si="422"/>
        <v>9</v>
      </c>
      <c r="PP430">
        <f t="shared" si="422"/>
        <v>10</v>
      </c>
      <c r="PQ430">
        <f t="shared" si="422"/>
        <v>11</v>
      </c>
      <c r="PR430">
        <f t="shared" si="422"/>
        <v>12</v>
      </c>
      <c r="PV430">
        <v>7</v>
      </c>
      <c r="PW430">
        <v>8</v>
      </c>
      <c r="PX430">
        <v>9</v>
      </c>
      <c r="PY430">
        <v>10</v>
      </c>
      <c r="PZ430">
        <v>11</v>
      </c>
      <c r="QA430" s="16">
        <v>12</v>
      </c>
    </row>
    <row r="431" spans="1:543" ht="15.75" thickBot="1" x14ac:dyDescent="0.3">
      <c r="A431" s="83" t="s">
        <v>2390</v>
      </c>
      <c r="B431" s="83" t="s">
        <v>2379</v>
      </c>
      <c r="C431" t="s">
        <v>1012</v>
      </c>
      <c r="P431" t="s">
        <v>1047</v>
      </c>
      <c r="T431" s="14" t="s">
        <v>2182</v>
      </c>
      <c r="U431">
        <v>3</v>
      </c>
      <c r="W431" t="s">
        <v>2371</v>
      </c>
      <c r="X431" t="str">
        <f>IF(COUNTIF(X$377:X430,X430)&gt;7,REPLACE(X430,LEN(X430),1,VALUE(RIGHT(X430,1))+1),X430)</f>
        <v>A3.19</v>
      </c>
      <c r="Y431" s="43">
        <f t="array" ref="Y431">IF(COUNTIFS($X$377:$X431,$X431)=1,"1",VALUE(SUBSTITUTE(INDEX(Y:Y,_xlfn.XMATCH($X431,$X$1:$X430,0,-1)),"A",""))+INDEX(Z:Z,_xlfn.XMATCH($X431,$X$1:$X430,0,-1))+1)</f>
        <v>5</v>
      </c>
      <c r="Z431" s="43">
        <f t="array" ref="Z431">SUM(IF(ISNUMBER(FIND("TmAi",$BE$1:$AAQ$1)),IF(IFERROR(ISODD(SUBSTITUTE($BE431:$AAQ431,"A","")),FALSE),IF(ISODD(SUBSTITUTE($BE431:$AAQ431,"A","")),1,0),0)))</f>
        <v>2</v>
      </c>
      <c r="AA431" t="str">
        <f t="shared" si="412"/>
        <v>9A</v>
      </c>
      <c r="AB431" t="str">
        <f t="shared" si="413"/>
        <v>9B</v>
      </c>
      <c r="AP431" t="s">
        <v>2184</v>
      </c>
      <c r="AR431" t="s">
        <v>2380</v>
      </c>
      <c r="AS431" t="s">
        <v>396</v>
      </c>
      <c r="MA431" t="str">
        <f t="shared" si="410"/>
        <v>DI-</v>
      </c>
      <c r="OL431" s="27" t="str">
        <f>CONCATENATE("XT",$U431)</f>
        <v>XT3</v>
      </c>
      <c r="OM431" t="s">
        <v>2391</v>
      </c>
      <c r="ON431" t="s">
        <v>2381</v>
      </c>
      <c r="OO431" t="s">
        <v>2392</v>
      </c>
      <c r="OP431" t="s">
        <v>2382</v>
      </c>
      <c r="OQ431" t="str">
        <f>CONCATENATE(REPLACE($AA431,LEN($AA431),1,"")+1,RIGHT($AA431))</f>
        <v>10A</v>
      </c>
      <c r="OR431" t="str">
        <f>CONCATENATE(REPLACE($AB431,LEN($AB431),1,"")+1,RIGHT($AB431))</f>
        <v>10B</v>
      </c>
      <c r="OS431" t="str">
        <f t="shared" si="420"/>
        <v>11A</v>
      </c>
      <c r="OT431" t="str">
        <f t="shared" si="420"/>
        <v>11B</v>
      </c>
      <c r="OU431" t="str">
        <f t="shared" si="420"/>
        <v>12A</v>
      </c>
      <c r="OV431" t="str">
        <f t="shared" si="420"/>
        <v>12B</v>
      </c>
      <c r="OW431" t="str">
        <f>CONCATENATE(REPLACE(OU431,LEN(OU431),1,"")+1,RIGHT(OU431))</f>
        <v>13A</v>
      </c>
      <c r="OX431" t="str">
        <f>CONCATENATE(REPLACE(OV431,LEN(OV431),1,"")+1,RIGHT(OV431))</f>
        <v>13B</v>
      </c>
      <c r="OY431" t="str">
        <f>CONCATENATE(REPLACE(OW431,LEN(OW431),1,"")+1,RIGHT(OW431))</f>
        <v>14A</v>
      </c>
      <c r="OZ431" t="str">
        <f>CONCATENATE(REPLACE(OX431,LEN(OX431),1,"")+1,RIGHT(OX431))</f>
        <v>14B</v>
      </c>
      <c r="PA431" t="str">
        <f>CONCATENATE($T431,"-AI",REPLACE($X431,1,3,""),"-",$AA431)</f>
        <v>N1-AI19-9A</v>
      </c>
      <c r="PB431" t="str">
        <f>CONCATENATE($T431,"-AI",REPLACE($X431,1,3,""),"-",$AB431)</f>
        <v>N1-AI19-9B</v>
      </c>
      <c r="PC431" t="str">
        <f t="shared" si="421"/>
        <v>N1-AI19-10A</v>
      </c>
      <c r="PD431" t="str">
        <f t="shared" si="421"/>
        <v>N1-AI19-10B</v>
      </c>
      <c r="PE431" t="str">
        <f t="shared" si="421"/>
        <v>N1-AI19-11A</v>
      </c>
      <c r="PF431" t="str">
        <f t="shared" si="421"/>
        <v>N1-AI19-11B</v>
      </c>
      <c r="PG431" t="str">
        <f t="shared" si="421"/>
        <v>N1-AI19-12A</v>
      </c>
      <c r="PH431" t="str">
        <f t="shared" si="421"/>
        <v>N1-AI19-12B</v>
      </c>
      <c r="PI431" t="str">
        <f>CONCATENATE($T431,"-AI",REPLACE($X431,1,3,""),"-",OW431)</f>
        <v>N1-AI19-13A</v>
      </c>
      <c r="PJ431" t="str">
        <f>CONCATENATE($T431,"-AI",REPLACE($X431,1,3,""),"-",OX431)</f>
        <v>N1-AI19-13B</v>
      </c>
      <c r="PK431" t="str">
        <f>CONCATENATE($T431,"-AI",REPLACE($X431,1,3,""),"-",OY431)</f>
        <v>N1-AI19-14A</v>
      </c>
      <c r="PL431" t="str">
        <f>CONCATENATE($T431,"-AI",REPLACE($X431,1,3,""),"-",OZ431)</f>
        <v>N1-AI19-14B</v>
      </c>
      <c r="PM431">
        <f t="array" ref="PM431">IF(COUNTIFS($U$2:$U431,$U431)=1,1,INDEX(PM:PM,_xlfn.XMATCH($U431,$U$1:$U430,0,-1))+COUNT(PM430:PR430))</f>
        <v>13</v>
      </c>
      <c r="PN431">
        <f t="shared" si="422"/>
        <v>14</v>
      </c>
      <c r="PO431">
        <f t="shared" si="422"/>
        <v>15</v>
      </c>
      <c r="PP431">
        <f t="shared" si="422"/>
        <v>16</v>
      </c>
      <c r="PQ431">
        <f t="shared" si="422"/>
        <v>17</v>
      </c>
      <c r="PR431">
        <f t="shared" si="422"/>
        <v>18</v>
      </c>
      <c r="PS431">
        <f>PR431+1</f>
        <v>19</v>
      </c>
      <c r="PT431">
        <f>PS431+1</f>
        <v>20</v>
      </c>
      <c r="PU431">
        <f>PT431+1</f>
        <v>21</v>
      </c>
      <c r="PV431">
        <v>1</v>
      </c>
      <c r="PW431">
        <v>2</v>
      </c>
      <c r="PX431">
        <v>3</v>
      </c>
      <c r="PY431">
        <v>4</v>
      </c>
      <c r="PZ431">
        <v>5</v>
      </c>
      <c r="QA431">
        <v>6</v>
      </c>
      <c r="QB431" s="12">
        <v>7</v>
      </c>
      <c r="QC431" s="12">
        <v>8</v>
      </c>
      <c r="QD431" s="13">
        <v>9</v>
      </c>
    </row>
    <row r="432" spans="1:543" ht="15.75" thickBot="1" x14ac:dyDescent="0.3">
      <c r="A432" s="83" t="s">
        <v>2393</v>
      </c>
      <c r="B432" s="89" t="s">
        <v>2383</v>
      </c>
      <c r="P432" t="s">
        <v>482</v>
      </c>
      <c r="T432" s="14" t="s">
        <v>2182</v>
      </c>
      <c r="U432">
        <v>3</v>
      </c>
      <c r="W432" t="s">
        <v>2372</v>
      </c>
      <c r="X432" t="s">
        <v>2408</v>
      </c>
      <c r="Y432" s="43" t="str">
        <f t="array" ref="Y432">IF(COUNTIFS($X$377:$X432,$X432)=1,"1",VALUE(SUBSTITUTE(INDEX(Y:Y,_xlfn.XMATCH($X432,$X$1:$X431,0,-1)),"A",""))+INDEX(Z:Z,_xlfn.XMATCH($X432,$X$1:$X431,0,-1))+1)</f>
        <v>1</v>
      </c>
      <c r="Z432" s="43">
        <f t="array" ref="Z432">SUM(IF(ISNUMBER(FIND("TmAi",$BE$1:$AAQ$1)),IF(IFERROR(ISODD(SUBSTITUTE($BE432:$AAQ432,"A","")),FALSE),IF(ISODD(SUBSTITUTE($BE432:$AAQ432,"A","")),1,0),0)))</f>
        <v>0</v>
      </c>
      <c r="AA432" t="str">
        <f>CONCATENATE($Y432*2-1,"B")</f>
        <v>1B</v>
      </c>
      <c r="AB432" t="str">
        <f>CONCATENATE($Y432*2,"B")</f>
        <v>2B</v>
      </c>
      <c r="AP432" t="s">
        <v>2184</v>
      </c>
      <c r="AQ432" t="s">
        <v>3246</v>
      </c>
      <c r="AS432" t="s">
        <v>396</v>
      </c>
      <c r="JZ432" s="25" t="str">
        <f>CONCATENATE("XT",U432)</f>
        <v>XT3</v>
      </c>
      <c r="KA432" s="12"/>
      <c r="KB432" s="12"/>
      <c r="KC432" s="12" t="str">
        <f>CONCATENATE(T432,"-AI",REPLACE($X432,1,3,""),"-",AA432)</f>
        <v>N1-AI11-1B</v>
      </c>
      <c r="KD432" s="12" t="str">
        <f>CONCATENATE(T432,"-AI",REPLACE($X432,1,3,""),"-",AB432)</f>
        <v>N1-AI11-2B</v>
      </c>
      <c r="KE432" s="12"/>
      <c r="KF432" s="12"/>
      <c r="KG432" s="12"/>
      <c r="KH432" s="12"/>
      <c r="KI432" s="12">
        <v>22</v>
      </c>
      <c r="KJ432" s="12">
        <f>KI432+1</f>
        <v>23</v>
      </c>
      <c r="KK432" s="12">
        <f>KJ432+1</f>
        <v>24</v>
      </c>
      <c r="KL432" s="12"/>
      <c r="KM432" s="12"/>
      <c r="KN432" s="12" t="s">
        <v>548</v>
      </c>
      <c r="KO432" s="12" t="s">
        <v>548</v>
      </c>
      <c r="KP432" s="12"/>
      <c r="KQ432" s="12"/>
      <c r="KR432" s="12"/>
      <c r="KS432" s="12"/>
      <c r="KT432" s="12"/>
      <c r="KU432" s="12"/>
      <c r="KV432" s="12"/>
      <c r="KW432" s="12"/>
      <c r="KX432" s="12"/>
      <c r="KY432" s="12"/>
      <c r="KZ432" s="12"/>
      <c r="LA432" s="12"/>
      <c r="LB432" s="12"/>
      <c r="LC432" s="12"/>
      <c r="LD432" s="12"/>
      <c r="LE432" s="12"/>
      <c r="LF432" s="12"/>
      <c r="LG432" s="12"/>
      <c r="LH432" s="12"/>
      <c r="LI432" s="12"/>
      <c r="LJ432" s="12"/>
      <c r="LK432" s="12"/>
      <c r="LL432" s="12"/>
      <c r="LM432" s="12"/>
      <c r="LN432" s="12"/>
      <c r="LO432" s="12"/>
      <c r="LP432" s="12"/>
      <c r="LQ432" s="12"/>
      <c r="LR432" s="12"/>
      <c r="LS432" s="12"/>
      <c r="LT432" s="12"/>
      <c r="LU432" s="12"/>
      <c r="LV432" s="12"/>
      <c r="LW432" s="12"/>
      <c r="LX432" s="12"/>
      <c r="LY432" s="12"/>
      <c r="LZ432" s="12"/>
      <c r="MA432" s="12" t="str">
        <f t="shared" si="410"/>
        <v>DI-</v>
      </c>
      <c r="MB432" s="12"/>
      <c r="MC432" s="12"/>
      <c r="MD432" s="12"/>
      <c r="ME432" s="12"/>
      <c r="MF432" s="12"/>
      <c r="MG432" s="12"/>
      <c r="MH432" s="12"/>
      <c r="MI432" s="12"/>
      <c r="MJ432" s="12"/>
      <c r="MK432" s="12"/>
      <c r="ML432" s="12"/>
      <c r="MM432" s="12"/>
      <c r="MN432" s="12"/>
      <c r="MO432" s="12"/>
      <c r="MP432" s="12"/>
      <c r="MQ432" s="12"/>
      <c r="MR432" s="12"/>
      <c r="MS432" s="12"/>
      <c r="MT432" s="12"/>
      <c r="MU432" s="12"/>
      <c r="MV432" s="12"/>
      <c r="MW432" s="12"/>
      <c r="MX432" s="12"/>
      <c r="MY432" s="12"/>
      <c r="MZ432" s="12"/>
      <c r="NA432" s="12"/>
      <c r="NB432" s="12"/>
      <c r="NC432" s="12"/>
      <c r="ND432" s="12"/>
      <c r="NE432" s="12"/>
      <c r="NF432" s="12"/>
      <c r="NG432" s="12"/>
      <c r="NH432" s="12"/>
      <c r="NI432" s="12"/>
      <c r="NJ432" s="12"/>
      <c r="NK432" s="12"/>
      <c r="NL432" s="12"/>
      <c r="NM432" s="12"/>
      <c r="NN432" s="12"/>
      <c r="NO432" s="12"/>
      <c r="NP432" s="12"/>
      <c r="NQ432" s="12"/>
      <c r="NR432" s="12"/>
      <c r="NS432" s="12"/>
      <c r="NT432" s="12"/>
      <c r="NU432" s="12"/>
      <c r="NV432" s="12"/>
      <c r="NW432" s="12"/>
      <c r="NX432" s="12"/>
      <c r="NY432" s="12"/>
      <c r="NZ432" s="12"/>
      <c r="OA432" s="12"/>
      <c r="OB432" s="12"/>
      <c r="OC432" s="12"/>
      <c r="OD432" s="12"/>
      <c r="OE432" s="12"/>
      <c r="OF432" s="12"/>
      <c r="OG432" s="12"/>
      <c r="OH432" s="12"/>
      <c r="OI432" s="12"/>
      <c r="OJ432" s="12"/>
      <c r="OK432" s="12"/>
      <c r="QD432" s="16"/>
    </row>
    <row r="433" spans="1:555" ht="15.75" thickBot="1" x14ac:dyDescent="0.3">
      <c r="A433" s="83" t="s">
        <v>2394</v>
      </c>
      <c r="B433" s="85" t="s">
        <v>2384</v>
      </c>
      <c r="P433" t="s">
        <v>1061</v>
      </c>
      <c r="T433" s="14" t="s">
        <v>2182</v>
      </c>
      <c r="U433">
        <v>3</v>
      </c>
      <c r="W433" t="s">
        <v>2373</v>
      </c>
      <c r="X433" t="str">
        <f>IF(COUNTIF(X$377:X432,X432)&gt;7,REPLACE(X432,LEN(X432),1,VALUE(RIGHT(X432,1))+1),X432)</f>
        <v>A3.11</v>
      </c>
      <c r="Y433" s="43">
        <f t="array" ref="Y433">IF(COUNTIFS($X$377:$X433,$X433)=1,"1",VALUE(SUBSTITUTE(INDEX(Y:Y,_xlfn.XMATCH($X433,$X$1:$X432,0,-1)),"A",""))+INDEX(Z:Z,_xlfn.XMATCH($X433,$X$1:$X432,0,-1))+1)</f>
        <v>2</v>
      </c>
      <c r="Z433" s="43">
        <f t="array" ref="Z433">SUM(IF(ISNUMBER(FIND("TmAi",$BE$1:$AAQ$1)),IF(IFERROR(ISODD(SUBSTITUTE($BE433:$AAQ433,"A","")),FALSE),IF(ISODD(SUBSTITUTE($BE433:$AAQ433,"A","")),1,0),0)))</f>
        <v>11</v>
      </c>
      <c r="AA433" t="str">
        <f t="shared" ref="AA433:AA443" si="423">CONCATENATE($Y433*2-1,"A")</f>
        <v>3A</v>
      </c>
      <c r="AB433" t="str">
        <f t="shared" ref="AB433:AB443" si="424">CONCATENATE($Y433*2-1,"B")</f>
        <v>3B</v>
      </c>
      <c r="AP433" t="s">
        <v>2184</v>
      </c>
      <c r="AR433" t="s">
        <v>2385</v>
      </c>
      <c r="AS433" t="s">
        <v>396</v>
      </c>
      <c r="JZ433" s="28"/>
      <c r="KA433" s="19"/>
      <c r="KB433" s="19"/>
      <c r="KC433" s="19"/>
      <c r="KD433" s="19"/>
      <c r="KE433" s="19"/>
      <c r="KF433" s="19"/>
      <c r="KG433" s="19"/>
      <c r="KH433" s="19"/>
      <c r="KI433" s="19"/>
      <c r="KJ433" s="19"/>
      <c r="KK433" s="19"/>
      <c r="KL433" s="19"/>
      <c r="KM433" s="19"/>
      <c r="KN433" s="19"/>
      <c r="KO433" s="19"/>
      <c r="KP433" s="19"/>
      <c r="KQ433" s="19"/>
      <c r="KR433" s="19"/>
      <c r="KS433" s="19"/>
      <c r="KT433" s="19"/>
      <c r="KU433" s="19"/>
      <c r="KV433" s="19"/>
      <c r="KW433" s="19"/>
      <c r="KX433" s="19"/>
      <c r="KY433" s="19"/>
      <c r="KZ433" s="19"/>
      <c r="LA433" s="19"/>
      <c r="LB433" s="19"/>
      <c r="LC433" s="19"/>
      <c r="LD433" s="19"/>
      <c r="LE433" s="19"/>
      <c r="LF433" s="19"/>
      <c r="LG433" s="19"/>
      <c r="LH433" s="19"/>
      <c r="LI433" s="19"/>
      <c r="LJ433" s="19"/>
      <c r="LK433" s="19"/>
      <c r="LL433" s="19"/>
      <c r="LM433" s="19"/>
      <c r="LN433" s="19"/>
      <c r="LO433" s="19"/>
      <c r="LP433" s="19"/>
      <c r="LQ433" s="19"/>
      <c r="LR433" s="19"/>
      <c r="LS433" s="19"/>
      <c r="LT433" s="19"/>
      <c r="LU433" s="19"/>
      <c r="LV433" s="19"/>
      <c r="LW433" s="19"/>
      <c r="LX433" s="19"/>
      <c r="LY433" s="19"/>
      <c r="LZ433" s="19"/>
      <c r="MA433" s="19" t="str">
        <f t="shared" si="410"/>
        <v>DI-</v>
      </c>
      <c r="MB433" s="19"/>
      <c r="MC433" s="19"/>
      <c r="MD433" s="19"/>
      <c r="ME433" s="19"/>
      <c r="MF433" s="19"/>
      <c r="MG433" s="19"/>
      <c r="MH433" s="19"/>
      <c r="MI433" s="19"/>
      <c r="MJ433" s="19"/>
      <c r="MK433" s="19"/>
      <c r="ML433" s="19"/>
      <c r="MM433" s="19"/>
      <c r="MN433" s="19"/>
      <c r="MO433" s="19"/>
      <c r="MP433" s="19"/>
      <c r="MQ433" s="19"/>
      <c r="MR433" s="19"/>
      <c r="MS433" s="19"/>
      <c r="MT433" s="19"/>
      <c r="MU433" s="19"/>
      <c r="MV433" s="19"/>
      <c r="MW433" s="19"/>
      <c r="MX433" s="19"/>
      <c r="MY433" s="19"/>
      <c r="MZ433" s="19"/>
      <c r="NA433" s="19"/>
      <c r="NB433" s="19"/>
      <c r="NC433" s="19"/>
      <c r="ND433" s="19"/>
      <c r="NE433" s="19"/>
      <c r="NF433" s="19"/>
      <c r="NG433" s="19"/>
      <c r="NH433" s="19"/>
      <c r="NI433" s="19"/>
      <c r="NJ433" s="19"/>
      <c r="NK433" s="19"/>
      <c r="NL433" s="19"/>
      <c r="NM433" s="19"/>
      <c r="NN433" s="19"/>
      <c r="NO433" s="19"/>
      <c r="NP433" s="19"/>
      <c r="NQ433" s="19"/>
      <c r="NR433" s="19"/>
      <c r="NS433" s="19"/>
      <c r="NT433" s="19"/>
      <c r="NU433" s="19"/>
      <c r="NV433" s="19"/>
      <c r="NW433" s="19"/>
      <c r="NX433" s="19"/>
      <c r="NY433" s="19"/>
      <c r="NZ433" s="19"/>
      <c r="OA433" s="19"/>
      <c r="OB433" s="19"/>
      <c r="OC433" s="19"/>
      <c r="OD433" s="19"/>
      <c r="OE433" s="19"/>
      <c r="OF433" s="19"/>
      <c r="OG433" s="19"/>
      <c r="OH433" s="19"/>
      <c r="OI433" s="19"/>
      <c r="OJ433" s="19"/>
      <c r="OK433" s="19"/>
      <c r="OL433" s="19"/>
      <c r="OM433" s="19"/>
      <c r="ON433" s="19"/>
      <c r="OO433" s="19"/>
      <c r="OP433" s="19"/>
      <c r="OQ433" s="19"/>
      <c r="OR433" s="19"/>
      <c r="OS433" s="19"/>
      <c r="OT433" s="19"/>
      <c r="OU433" s="19"/>
      <c r="OV433" s="19"/>
      <c r="OW433" s="19"/>
      <c r="OX433" s="19"/>
      <c r="OY433" s="19"/>
      <c r="OZ433" s="19"/>
      <c r="PA433" s="19"/>
      <c r="PB433" s="19"/>
      <c r="PC433" s="19"/>
      <c r="PD433" s="19"/>
      <c r="PE433" s="19"/>
      <c r="PF433" s="19"/>
      <c r="PG433" s="19"/>
      <c r="PH433" s="19"/>
      <c r="PI433" s="19"/>
      <c r="PJ433" s="19"/>
      <c r="PK433" s="19"/>
      <c r="PL433" s="19"/>
      <c r="PM433" s="19"/>
      <c r="PN433" s="19"/>
      <c r="PO433" s="19"/>
      <c r="PP433" s="19"/>
      <c r="PQ433" s="19"/>
      <c r="PR433" s="19"/>
      <c r="PS433" s="19"/>
      <c r="PT433" s="19"/>
      <c r="PU433" s="19"/>
      <c r="PV433" s="19"/>
      <c r="PW433" s="19"/>
      <c r="PX433" s="19"/>
      <c r="PY433" s="19"/>
      <c r="PZ433" s="19"/>
      <c r="QA433" s="19"/>
      <c r="QB433" s="19"/>
      <c r="QC433" s="19"/>
      <c r="QD433" s="19"/>
      <c r="QE433" s="23" t="str">
        <f>REPLACE(X433,FIND(".",X433)+1,3,MID(X433,FIND(".",X433)+1,3)+1)</f>
        <v>A3.12</v>
      </c>
      <c r="QF433" s="23" t="str">
        <f>CONCATENATE(VALUE(SUBSTITUTE($AB433,"B",""))+2,"B")</f>
        <v>5B</v>
      </c>
      <c r="QG433" s="23" t="str">
        <f>CONCATENATE(VALUE(SUBSTITUTE($AA433,"A",""))+2,"A")</f>
        <v>5A</v>
      </c>
      <c r="QH433" s="23" t="str">
        <f>CONCATENATE(VALUE(SUBSTITUTE(QF433,"B",""))+2,"B")</f>
        <v>7B</v>
      </c>
      <c r="QI433" s="23" t="str">
        <f>CONCATENATE(VALUE(SUBSTITUTE(QG433,"A",""))+2,"A")</f>
        <v>7A</v>
      </c>
      <c r="QJ433" s="23" t="str">
        <f>CONCATENATE(VALUE(SUBSTITUTE(QH433,"B",""))+2,"B")</f>
        <v>9B</v>
      </c>
      <c r="QK433" s="23" t="str">
        <f>CONCATENATE(VALUE(SUBSTITUTE(QI433,"A",""))+2,"A")</f>
        <v>9A</v>
      </c>
      <c r="QL433" s="23" t="str">
        <f>CONCATENATE(VALUE(SUBSTITUTE(QJ433,"B",""))+2,"B")</f>
        <v>11B</v>
      </c>
      <c r="QM433" s="23" t="str">
        <f>CONCATENATE(VALUE(SUBSTITUTE(QK433,"A",""))+2,"A")</f>
        <v>11A</v>
      </c>
      <c r="QN433" s="23" t="str">
        <f>CONCATENATE(VALUE(SUBSTITUTE(QL433,"B",""))+2,"B")</f>
        <v>13B</v>
      </c>
      <c r="QO433" s="23" t="str">
        <f>CONCATENATE(VALUE(SUBSTITUTE(QM433,"A",""))+2,"A")</f>
        <v>13A</v>
      </c>
      <c r="QP433" s="23" t="s">
        <v>135</v>
      </c>
      <c r="QQ433" s="23" t="s">
        <v>136</v>
      </c>
      <c r="QR433" s="23" t="str">
        <f>CONCATENATE(VALUE(SUBSTITUTE(QP433,"B",""))+2,"B")</f>
        <v>3B</v>
      </c>
      <c r="QS433" s="23" t="str">
        <f>CONCATENATE(VALUE(SUBSTITUTE(QQ433,"A",""))+2,"A")</f>
        <v>3A</v>
      </c>
      <c r="QT433" s="23" t="str">
        <f>CONCATENATE(VALUE(SUBSTITUTE(QR433,"B",""))+2,"B")</f>
        <v>5B</v>
      </c>
      <c r="QU433" s="23" t="str">
        <f>CONCATENATE(VALUE(SUBSTITUTE(QS433,"A",""))+2,"A")</f>
        <v>5A</v>
      </c>
      <c r="QV433" s="23" t="str">
        <f>CONCATENATE(VALUE(SUBSTITUTE(QT433,"B",""))+2,"B")</f>
        <v>7B</v>
      </c>
      <c r="QW433" s="23" t="str">
        <f>CONCATENATE(VALUE(SUBSTITUTE(QU433,"A",""))+2,"A")</f>
        <v>7A</v>
      </c>
      <c r="QX433" s="23" t="str">
        <f>CONCATENATE(VALUE(SUBSTITUTE(QV433,"B",""))+2,"B")</f>
        <v>9B</v>
      </c>
      <c r="QY433" s="23" t="str">
        <f>CONCATENATE(VALUE(SUBSTITUTE(QW433,"A",""))+2,"A")</f>
        <v>9A</v>
      </c>
      <c r="QZ433" s="23" t="str">
        <f>CONCATENATE(VALUE(SUBSTITUTE(QX433,"B",""))+2,"B")</f>
        <v>11B</v>
      </c>
      <c r="RA433" s="23" t="str">
        <f>CONCATENATE(VALUE(SUBSTITUTE(QY433,"A",""))+2,"A")</f>
        <v>11A</v>
      </c>
      <c r="RB433" s="23" t="str">
        <f>CONCATENATE($T433,"-AI",REPLACE($X433,1,3,""),"-",AB433)</f>
        <v>N1-AI11-3B</v>
      </c>
      <c r="RC433" s="23" t="str">
        <f>CONCATENATE($T433,"-AI",REPLACE($X433,1,3,""),"-",AA433)</f>
        <v>N1-AI11-3A</v>
      </c>
      <c r="RD433" s="23" t="str">
        <f t="shared" ref="RD433:RM433" si="425">CONCATENATE($T433,"-AI",REPLACE($X433,1,3,""),"-",QF433)</f>
        <v>N1-AI11-5B</v>
      </c>
      <c r="RE433" s="23" t="str">
        <f t="shared" si="425"/>
        <v>N1-AI11-5A</v>
      </c>
      <c r="RF433" s="23" t="str">
        <f t="shared" si="425"/>
        <v>N1-AI11-7B</v>
      </c>
      <c r="RG433" s="23" t="str">
        <f t="shared" si="425"/>
        <v>N1-AI11-7A</v>
      </c>
      <c r="RH433" s="23" t="str">
        <f t="shared" si="425"/>
        <v>N1-AI11-9B</v>
      </c>
      <c r="RI433" s="23" t="str">
        <f t="shared" si="425"/>
        <v>N1-AI11-9A</v>
      </c>
      <c r="RJ433" s="23" t="str">
        <f t="shared" si="425"/>
        <v>N1-AI11-11B</v>
      </c>
      <c r="RK433" s="23" t="str">
        <f t="shared" si="425"/>
        <v>N1-AI11-11A</v>
      </c>
      <c r="RL433" s="23" t="str">
        <f t="shared" si="425"/>
        <v>N1-AI11-13B</v>
      </c>
      <c r="RM433" s="23" t="str">
        <f t="shared" si="425"/>
        <v>N1-AI11-13A</v>
      </c>
      <c r="RN433" s="23" t="str">
        <f t="shared" ref="RN433:RY433" si="426">CONCATENATE($T433,"-AI",REPLACE($QE433,1,3,""),"-",QP433)</f>
        <v>N1-AI12-1B</v>
      </c>
      <c r="RO433" s="23" t="str">
        <f t="shared" si="426"/>
        <v>N1-AI12-1A</v>
      </c>
      <c r="RP433" s="23" t="str">
        <f t="shared" si="426"/>
        <v>N1-AI12-3B</v>
      </c>
      <c r="RQ433" s="23" t="str">
        <f t="shared" si="426"/>
        <v>N1-AI12-3A</v>
      </c>
      <c r="RR433" s="23" t="str">
        <f t="shared" si="426"/>
        <v>N1-AI12-5B</v>
      </c>
      <c r="RS433" s="23" t="str">
        <f t="shared" si="426"/>
        <v>N1-AI12-5A</v>
      </c>
      <c r="RT433" s="23" t="str">
        <f t="shared" si="426"/>
        <v>N1-AI12-7B</v>
      </c>
      <c r="RU433" s="23" t="str">
        <f t="shared" si="426"/>
        <v>N1-AI12-7A</v>
      </c>
      <c r="RV433" s="23" t="str">
        <f t="shared" si="426"/>
        <v>N1-AI12-9B</v>
      </c>
      <c r="RW433" s="23" t="str">
        <f t="shared" si="426"/>
        <v>N1-AI12-9A</v>
      </c>
      <c r="RX433" s="23" t="str">
        <f t="shared" si="426"/>
        <v>N1-AI12-11B</v>
      </c>
      <c r="RY433" s="23" t="str">
        <f t="shared" si="426"/>
        <v>N1-AI12-11A</v>
      </c>
      <c r="RZ433" s="23" t="str">
        <f>CONCATENATE("XT",$U433)</f>
        <v>XT3</v>
      </c>
      <c r="SA433" s="23">
        <v>25</v>
      </c>
      <c r="SB433" s="23">
        <f>SA433+1</f>
        <v>26</v>
      </c>
      <c r="SC433" s="23">
        <f t="shared" ref="SC433:SX433" si="427">SB433+1</f>
        <v>27</v>
      </c>
      <c r="SD433" s="23">
        <f t="shared" si="427"/>
        <v>28</v>
      </c>
      <c r="SE433" s="23">
        <f t="shared" si="427"/>
        <v>29</v>
      </c>
      <c r="SF433" s="23">
        <f t="shared" si="427"/>
        <v>30</v>
      </c>
      <c r="SG433" s="23">
        <f t="shared" si="427"/>
        <v>31</v>
      </c>
      <c r="SH433" s="23">
        <f t="shared" si="427"/>
        <v>32</v>
      </c>
      <c r="SI433" s="23">
        <f t="shared" si="427"/>
        <v>33</v>
      </c>
      <c r="SJ433" s="23">
        <f t="shared" si="427"/>
        <v>34</v>
      </c>
      <c r="SK433" s="23">
        <f t="shared" si="427"/>
        <v>35</v>
      </c>
      <c r="SL433" s="23">
        <f t="shared" si="427"/>
        <v>36</v>
      </c>
      <c r="SM433" s="23">
        <f t="shared" si="427"/>
        <v>37</v>
      </c>
      <c r="SN433" s="23">
        <f t="shared" si="427"/>
        <v>38</v>
      </c>
      <c r="SO433" s="23">
        <f t="shared" si="427"/>
        <v>39</v>
      </c>
      <c r="SP433" s="23">
        <f t="shared" si="427"/>
        <v>40</v>
      </c>
      <c r="SQ433" s="23">
        <f t="shared" si="427"/>
        <v>41</v>
      </c>
      <c r="SR433" s="23">
        <f t="shared" si="427"/>
        <v>42</v>
      </c>
      <c r="SS433" s="23">
        <f t="shared" si="427"/>
        <v>43</v>
      </c>
      <c r="ST433" s="23">
        <f t="shared" si="427"/>
        <v>44</v>
      </c>
      <c r="SU433" s="23">
        <f t="shared" si="427"/>
        <v>45</v>
      </c>
      <c r="SV433" s="23">
        <f t="shared" si="427"/>
        <v>46</v>
      </c>
      <c r="SW433" s="23">
        <f t="shared" si="427"/>
        <v>47</v>
      </c>
      <c r="SX433" s="23">
        <f t="shared" si="427"/>
        <v>48</v>
      </c>
      <c r="SY433" s="23">
        <f>SX433+1</f>
        <v>49</v>
      </c>
      <c r="SZ433" s="23" t="s">
        <v>2395</v>
      </c>
      <c r="TA433" s="23" t="s">
        <v>2396</v>
      </c>
      <c r="TB433" s="23" t="s">
        <v>2397</v>
      </c>
      <c r="TC433" s="23" t="s">
        <v>2398</v>
      </c>
      <c r="TD433" s="23" t="s">
        <v>2399</v>
      </c>
      <c r="TE433" s="23" t="s">
        <v>2400</v>
      </c>
      <c r="TF433" s="23" t="s">
        <v>2401</v>
      </c>
      <c r="TG433" s="23" t="s">
        <v>2402</v>
      </c>
      <c r="TH433" s="23" t="s">
        <v>2403</v>
      </c>
      <c r="TI433" s="23" t="s">
        <v>2404</v>
      </c>
      <c r="TJ433" s="23" t="s">
        <v>2405</v>
      </c>
      <c r="TK433" s="23" t="s">
        <v>2406</v>
      </c>
      <c r="TL433" s="23" t="s">
        <v>1059</v>
      </c>
      <c r="TM433" s="23" t="s">
        <v>1128</v>
      </c>
      <c r="TN433" s="23" t="s">
        <v>1129</v>
      </c>
      <c r="TO433" s="23" t="s">
        <v>1130</v>
      </c>
      <c r="TP433" s="23" t="s">
        <v>1132</v>
      </c>
      <c r="TQ433" s="23" t="s">
        <v>1131</v>
      </c>
      <c r="TR433" s="23" t="s">
        <v>1133</v>
      </c>
      <c r="TS433" s="23" t="s">
        <v>1134</v>
      </c>
      <c r="TT433" s="23" t="s">
        <v>1135</v>
      </c>
      <c r="TU433" s="23" t="s">
        <v>1136</v>
      </c>
      <c r="TV433" s="23" t="s">
        <v>1137</v>
      </c>
      <c r="TW433" s="24" t="s">
        <v>1138</v>
      </c>
    </row>
    <row r="434" spans="1:555" x14ac:dyDescent="0.25">
      <c r="A434" s="83" t="s">
        <v>2409</v>
      </c>
      <c r="B434" s="86" t="s">
        <v>2430</v>
      </c>
      <c r="C434" t="s">
        <v>1012</v>
      </c>
      <c r="P434" t="s">
        <v>1011</v>
      </c>
      <c r="T434" s="14" t="s">
        <v>2182</v>
      </c>
      <c r="U434">
        <v>4</v>
      </c>
      <c r="W434" t="s">
        <v>2442</v>
      </c>
      <c r="X434" t="s">
        <v>1148</v>
      </c>
      <c r="Y434" s="43" t="str">
        <f t="array" ref="Y434">IF(COUNTIFS($X$377:$X434,$X434)=1,"1",VALUE(SUBSTITUTE(INDEX(Y:Y,_xlfn.XMATCH($X434,$X$1:$X433,0,-1)),"A",""))+INDEX(Z:Z,_xlfn.XMATCH($X434,$X$1:$X433,0,-1))+1)</f>
        <v>1</v>
      </c>
      <c r="Z434" s="43">
        <f t="array" ref="Z434">SUM(IF(ISNUMBER(FIND("TmAi",$BE$1:$AAQ$1)),IF(IFERROR(ISODD(SUBSTITUTE($BE434:$AAQ434,"A","")),FALSE),IF(ISODD(SUBSTITUTE($BE434:$AAQ434,"A","")),1,0),0)))</f>
        <v>1</v>
      </c>
      <c r="AA434" t="str">
        <f t="shared" si="423"/>
        <v>1A</v>
      </c>
      <c r="AB434" t="str">
        <f t="shared" si="424"/>
        <v>1B</v>
      </c>
      <c r="AP434" t="s">
        <v>2184</v>
      </c>
      <c r="AR434" t="s">
        <v>2431</v>
      </c>
      <c r="AS434" t="s">
        <v>396</v>
      </c>
      <c r="MA434" t="str">
        <f t="shared" si="410"/>
        <v>DI-</v>
      </c>
      <c r="OL434" s="25" t="str">
        <f>CONCATENATE("XT",$U434)</f>
        <v>XT4</v>
      </c>
      <c r="OM434" s="12" t="s">
        <v>2410</v>
      </c>
      <c r="ON434" s="12" t="s">
        <v>2432</v>
      </c>
      <c r="OO434" s="12"/>
      <c r="OP434" s="12"/>
      <c r="OQ434" s="12" t="str">
        <f>CONCATENATE(REPLACE($AA434,LEN($AA434),1,"")+1,RIGHT($AA434))</f>
        <v>2A</v>
      </c>
      <c r="OR434" s="12" t="str">
        <f>CONCATENATE(REPLACE($AB434,LEN($AB434),1,"")+1,RIGHT($AB434))</f>
        <v>2B</v>
      </c>
      <c r="OS434" s="12" t="str">
        <f t="shared" ref="OS434:OV436" si="428">CONCATENATE(REPLACE(OQ434,LEN(OQ434),1,"")+1,RIGHT(OQ434))</f>
        <v>3A</v>
      </c>
      <c r="OT434" s="12" t="str">
        <f t="shared" si="428"/>
        <v>3B</v>
      </c>
      <c r="OU434" s="12" t="str">
        <f t="shared" si="428"/>
        <v>4A</v>
      </c>
      <c r="OV434" s="12" t="str">
        <f t="shared" si="428"/>
        <v>4B</v>
      </c>
      <c r="OW434" s="12"/>
      <c r="OX434" s="12"/>
      <c r="OY434" s="12"/>
      <c r="OZ434" s="12"/>
      <c r="PA434" s="12" t="str">
        <f>CONCATENATE($T434,"-AI",REPLACE($X434,1,3,""),"-",$AA434)</f>
        <v>N1-AI20-1A</v>
      </c>
      <c r="PB434" s="12" t="str">
        <f>CONCATENATE($T434,"-AI",REPLACE($X434,1,3,""),"-",$AB434)</f>
        <v>N1-AI20-1B</v>
      </c>
      <c r="PC434" s="12" t="str">
        <f t="shared" ref="PC434:PH436" si="429">CONCATENATE($T434,"-AI",REPLACE($X434,1,3,""),"-",OQ434)</f>
        <v>N1-AI20-2A</v>
      </c>
      <c r="PD434" s="12" t="str">
        <f t="shared" si="429"/>
        <v>N1-AI20-2B</v>
      </c>
      <c r="PE434" s="12" t="str">
        <f t="shared" si="429"/>
        <v>N1-AI20-3A</v>
      </c>
      <c r="PF434" s="12" t="str">
        <f t="shared" si="429"/>
        <v>N1-AI20-3B</v>
      </c>
      <c r="PG434" s="12" t="str">
        <f t="shared" si="429"/>
        <v>N1-AI20-4A</v>
      </c>
      <c r="PH434" s="12" t="str">
        <f t="shared" si="429"/>
        <v>N1-AI20-4B</v>
      </c>
      <c r="PI434" s="12"/>
      <c r="PJ434" s="12"/>
      <c r="PK434" s="12"/>
      <c r="PL434" s="12"/>
      <c r="PM434" s="12">
        <f t="array" ref="PM434">IF(COUNTIFS($U$377:$U434,$U434)=1,1,INDEX(PM:PM,_xlfn.XMATCH($U434,$U$377:EF433,0,-1))+COUNT(PM433:PR433))</f>
        <v>1</v>
      </c>
      <c r="PN434" s="12">
        <f t="shared" ref="PN434:PR436" si="430">PM434+1</f>
        <v>2</v>
      </c>
      <c r="PO434" s="12">
        <f t="shared" si="430"/>
        <v>3</v>
      </c>
      <c r="PP434" s="12">
        <f t="shared" si="430"/>
        <v>4</v>
      </c>
      <c r="PQ434" s="12">
        <f t="shared" si="430"/>
        <v>5</v>
      </c>
      <c r="PR434" s="12">
        <f t="shared" si="430"/>
        <v>6</v>
      </c>
      <c r="PS434" s="12"/>
      <c r="PT434" s="12"/>
      <c r="PU434" s="12"/>
      <c r="PV434" s="12">
        <v>1</v>
      </c>
      <c r="PW434" s="12">
        <v>2</v>
      </c>
      <c r="PX434" s="12">
        <v>3</v>
      </c>
      <c r="PY434" s="12">
        <v>4</v>
      </c>
      <c r="PZ434" s="12">
        <v>5</v>
      </c>
      <c r="QA434" s="13">
        <v>6</v>
      </c>
    </row>
    <row r="435" spans="1:555" ht="15.75" thickBot="1" x14ac:dyDescent="0.3">
      <c r="A435" s="83" t="s">
        <v>2411</v>
      </c>
      <c r="B435" s="83" t="s">
        <v>2433</v>
      </c>
      <c r="C435" t="s">
        <v>1012</v>
      </c>
      <c r="P435" t="s">
        <v>1011</v>
      </c>
      <c r="T435" s="14" t="s">
        <v>2182</v>
      </c>
      <c r="U435">
        <v>4</v>
      </c>
      <c r="W435" t="s">
        <v>2443</v>
      </c>
      <c r="X435" t="str">
        <f>IF(COUNTIF(X$377:X434,X434)&gt;7,REPLACE(X434,LEN(X434),1,VALUE(RIGHT(X434,1))+1),X434)</f>
        <v>A3.20</v>
      </c>
      <c r="Y435" s="43">
        <f t="array" ref="Y435">IF(COUNTIFS($X$377:$X435,$X435)=1,"1",VALUE(SUBSTITUTE(INDEX(Y:Y,_xlfn.XMATCH($X435,$X$1:$X434,0,-1)),"A",""))+INDEX(Z:Z,_xlfn.XMATCH($X435,$X$1:$X434,0,-1))+1)</f>
        <v>3</v>
      </c>
      <c r="Z435" s="43">
        <f t="array" ref="Z435">SUM(IF(ISNUMBER(FIND("TmAi",$BE$1:$AAQ$1)),IF(IFERROR(ISODD(SUBSTITUTE($BE435:$AAQ435,"A","")),FALSE),IF(ISODD(SUBSTITUTE($BE435:$AAQ435,"A","")),1,0),0)))</f>
        <v>1</v>
      </c>
      <c r="AA435" t="str">
        <f t="shared" si="423"/>
        <v>5A</v>
      </c>
      <c r="AB435" t="str">
        <f t="shared" si="424"/>
        <v>5B</v>
      </c>
      <c r="AP435" t="s">
        <v>2184</v>
      </c>
      <c r="AR435" t="s">
        <v>2431</v>
      </c>
      <c r="AS435" t="s">
        <v>396</v>
      </c>
      <c r="MA435" t="str">
        <f t="shared" si="410"/>
        <v>DI-</v>
      </c>
      <c r="OL435" s="27" t="str">
        <f>CONCATENATE("XT",$U435)</f>
        <v>XT4</v>
      </c>
      <c r="OM435" t="s">
        <v>2412</v>
      </c>
      <c r="ON435" t="s">
        <v>2434</v>
      </c>
      <c r="OQ435" t="str">
        <f>CONCATENATE(REPLACE($AA435,LEN($AA435),1,"")+1,RIGHT($AA435))</f>
        <v>6A</v>
      </c>
      <c r="OR435" t="str">
        <f>CONCATENATE(REPLACE($AB435,LEN($AB435),1,"")+1,RIGHT($AB435))</f>
        <v>6B</v>
      </c>
      <c r="OS435" t="str">
        <f t="shared" si="428"/>
        <v>7A</v>
      </c>
      <c r="OT435" t="str">
        <f t="shared" si="428"/>
        <v>7B</v>
      </c>
      <c r="OU435" t="str">
        <f t="shared" si="428"/>
        <v>8A</v>
      </c>
      <c r="OV435" t="str">
        <f t="shared" si="428"/>
        <v>8B</v>
      </c>
      <c r="PA435" t="str">
        <f>CONCATENATE($T435,"-AI",REPLACE($X435,1,3,""),"-",$AA435)</f>
        <v>N1-AI20-5A</v>
      </c>
      <c r="PB435" t="str">
        <f>CONCATENATE($T435,"-AI",REPLACE($X435,1,3,""),"-",$AB435)</f>
        <v>N1-AI20-5B</v>
      </c>
      <c r="PC435" t="str">
        <f t="shared" si="429"/>
        <v>N1-AI20-6A</v>
      </c>
      <c r="PD435" t="str">
        <f t="shared" si="429"/>
        <v>N1-AI20-6B</v>
      </c>
      <c r="PE435" t="str">
        <f t="shared" si="429"/>
        <v>N1-AI20-7A</v>
      </c>
      <c r="PF435" t="str">
        <f t="shared" si="429"/>
        <v>N1-AI20-7B</v>
      </c>
      <c r="PG435" t="str">
        <f t="shared" si="429"/>
        <v>N1-AI20-8A</v>
      </c>
      <c r="PH435" t="str">
        <f t="shared" si="429"/>
        <v>N1-AI20-8B</v>
      </c>
      <c r="PM435">
        <f t="array" ref="PM435">IF(COUNTIFS($U$2:$U435,$U435)=1,1,INDEX(PM:PM,_xlfn.XMATCH($U435,$U$1:$U434,0,-1))+COUNT(PM434:PR434))</f>
        <v>7</v>
      </c>
      <c r="PN435">
        <f t="shared" si="430"/>
        <v>8</v>
      </c>
      <c r="PO435">
        <f t="shared" si="430"/>
        <v>9</v>
      </c>
      <c r="PP435">
        <f t="shared" si="430"/>
        <v>10</v>
      </c>
      <c r="PQ435">
        <f t="shared" si="430"/>
        <v>11</v>
      </c>
      <c r="PR435">
        <f t="shared" si="430"/>
        <v>12</v>
      </c>
      <c r="PV435">
        <v>7</v>
      </c>
      <c r="PW435">
        <v>8</v>
      </c>
      <c r="PX435">
        <v>9</v>
      </c>
      <c r="PY435">
        <v>10</v>
      </c>
      <c r="PZ435">
        <v>11</v>
      </c>
      <c r="QA435" s="16">
        <v>12</v>
      </c>
    </row>
    <row r="436" spans="1:555" ht="15.75" thickBot="1" x14ac:dyDescent="0.3">
      <c r="A436" s="83" t="s">
        <v>2413</v>
      </c>
      <c r="B436" s="83" t="s">
        <v>2435</v>
      </c>
      <c r="C436" t="s">
        <v>1012</v>
      </c>
      <c r="P436" t="s">
        <v>1047</v>
      </c>
      <c r="T436" s="14" t="s">
        <v>2182</v>
      </c>
      <c r="U436">
        <v>4</v>
      </c>
      <c r="W436" t="s">
        <v>2444</v>
      </c>
      <c r="X436" t="str">
        <f>IF(COUNTIF(X$377:X435,X435)&gt;7,REPLACE(X435,LEN(X435),1,VALUE(RIGHT(X435,1))+1),X435)</f>
        <v>A3.20</v>
      </c>
      <c r="Y436" s="43">
        <f t="array" ref="Y436">IF(COUNTIFS($X$377:$X436,$X436)=1,"1",VALUE(SUBSTITUTE(INDEX(Y:Y,_xlfn.XMATCH($X436,$X$1:$X435,0,-1)),"A",""))+INDEX(Z:Z,_xlfn.XMATCH($X436,$X$1:$X435,0,-1))+1)</f>
        <v>5</v>
      </c>
      <c r="Z436" s="43">
        <f t="array" ref="Z436">SUM(IF(ISNUMBER(FIND("TmAi",$BE$1:$AAQ$1)),IF(IFERROR(ISODD(SUBSTITUTE($BE436:$AAQ436,"A","")),FALSE),IF(ISODD(SUBSTITUTE($BE436:$AAQ436,"A","")),1,0),0)))</f>
        <v>2</v>
      </c>
      <c r="AA436" t="str">
        <f t="shared" si="423"/>
        <v>9A</v>
      </c>
      <c r="AB436" t="str">
        <f t="shared" si="424"/>
        <v>9B</v>
      </c>
      <c r="AP436" t="s">
        <v>2184</v>
      </c>
      <c r="AR436" t="s">
        <v>2436</v>
      </c>
      <c r="AS436" t="s">
        <v>396</v>
      </c>
      <c r="MA436" t="str">
        <f t="shared" si="410"/>
        <v>DI-</v>
      </c>
      <c r="OL436" s="27" t="str">
        <f>CONCATENATE("XT",$U436)</f>
        <v>XT4</v>
      </c>
      <c r="OM436" t="s">
        <v>2414</v>
      </c>
      <c r="ON436" t="s">
        <v>2437</v>
      </c>
      <c r="OO436" t="s">
        <v>2415</v>
      </c>
      <c r="OP436" t="s">
        <v>2438</v>
      </c>
      <c r="OQ436" t="str">
        <f>CONCATENATE(REPLACE($AA436,LEN($AA436),1,"")+1,RIGHT($AA436))</f>
        <v>10A</v>
      </c>
      <c r="OR436" t="str">
        <f>CONCATENATE(REPLACE($AB436,LEN($AB436),1,"")+1,RIGHT($AB436))</f>
        <v>10B</v>
      </c>
      <c r="OS436" t="str">
        <f t="shared" si="428"/>
        <v>11A</v>
      </c>
      <c r="OT436" t="str">
        <f t="shared" si="428"/>
        <v>11B</v>
      </c>
      <c r="OU436" t="str">
        <f t="shared" si="428"/>
        <v>12A</v>
      </c>
      <c r="OV436" t="str">
        <f t="shared" si="428"/>
        <v>12B</v>
      </c>
      <c r="OW436" t="str">
        <f>CONCATENATE(REPLACE(OU436,LEN(OU436),1,"")+1,RIGHT(OU436))</f>
        <v>13A</v>
      </c>
      <c r="OX436" t="str">
        <f>CONCATENATE(REPLACE(OV436,LEN(OV436),1,"")+1,RIGHT(OV436))</f>
        <v>13B</v>
      </c>
      <c r="OY436" t="str">
        <f>CONCATENATE(REPLACE(OW436,LEN(OW436),1,"")+1,RIGHT(OW436))</f>
        <v>14A</v>
      </c>
      <c r="OZ436" t="str">
        <f>CONCATENATE(REPLACE(OX436,LEN(OX436),1,"")+1,RIGHT(OX436))</f>
        <v>14B</v>
      </c>
      <c r="PA436" t="str">
        <f>CONCATENATE($T436,"-AI",REPLACE($X436,1,3,""),"-",$AA436)</f>
        <v>N1-AI20-9A</v>
      </c>
      <c r="PB436" t="str">
        <f>CONCATENATE($T436,"-AI",REPLACE($X436,1,3,""),"-",$AB436)</f>
        <v>N1-AI20-9B</v>
      </c>
      <c r="PC436" t="str">
        <f t="shared" si="429"/>
        <v>N1-AI20-10A</v>
      </c>
      <c r="PD436" t="str">
        <f t="shared" si="429"/>
        <v>N1-AI20-10B</v>
      </c>
      <c r="PE436" t="str">
        <f t="shared" si="429"/>
        <v>N1-AI20-11A</v>
      </c>
      <c r="PF436" t="str">
        <f t="shared" si="429"/>
        <v>N1-AI20-11B</v>
      </c>
      <c r="PG436" t="str">
        <f t="shared" si="429"/>
        <v>N1-AI20-12A</v>
      </c>
      <c r="PH436" t="str">
        <f t="shared" si="429"/>
        <v>N1-AI20-12B</v>
      </c>
      <c r="PI436" t="str">
        <f>CONCATENATE($T436,"-AI",REPLACE($X436,1,3,""),"-",OW436)</f>
        <v>N1-AI20-13A</v>
      </c>
      <c r="PJ436" t="str">
        <f>CONCATENATE($T436,"-AI",REPLACE($X436,1,3,""),"-",OX436)</f>
        <v>N1-AI20-13B</v>
      </c>
      <c r="PK436" t="str">
        <f>CONCATENATE($T436,"-AI",REPLACE($X436,1,3,""),"-",OY436)</f>
        <v>N1-AI20-14A</v>
      </c>
      <c r="PL436" t="str">
        <f>CONCATENATE($T436,"-AI",REPLACE($X436,1,3,""),"-",OZ436)</f>
        <v>N1-AI20-14B</v>
      </c>
      <c r="PM436">
        <f t="array" ref="PM436">IF(COUNTIFS($U$2:$U436,$U436)=1,1,INDEX(PM:PM,_xlfn.XMATCH($U436,$U$1:$U435,0,-1))+COUNT(PM435:PR435))</f>
        <v>13</v>
      </c>
      <c r="PN436">
        <f t="shared" si="430"/>
        <v>14</v>
      </c>
      <c r="PO436">
        <f t="shared" si="430"/>
        <v>15</v>
      </c>
      <c r="PP436">
        <f t="shared" si="430"/>
        <v>16</v>
      </c>
      <c r="PQ436">
        <f t="shared" si="430"/>
        <v>17</v>
      </c>
      <c r="PR436">
        <f t="shared" si="430"/>
        <v>18</v>
      </c>
      <c r="PS436">
        <f>PR436+1</f>
        <v>19</v>
      </c>
      <c r="PT436">
        <f>PS436+1</f>
        <v>20</v>
      </c>
      <c r="PU436">
        <f>PT436+1</f>
        <v>21</v>
      </c>
      <c r="PV436">
        <v>1</v>
      </c>
      <c r="PW436">
        <v>2</v>
      </c>
      <c r="PX436">
        <v>3</v>
      </c>
      <c r="PY436">
        <v>4</v>
      </c>
      <c r="PZ436">
        <v>5</v>
      </c>
      <c r="QA436">
        <v>6</v>
      </c>
      <c r="QB436" s="12">
        <v>7</v>
      </c>
      <c r="QC436" s="12">
        <v>8</v>
      </c>
      <c r="QD436" s="13">
        <v>9</v>
      </c>
    </row>
    <row r="437" spans="1:555" ht="15.75" thickBot="1" x14ac:dyDescent="0.3">
      <c r="A437" s="83" t="s">
        <v>2416</v>
      </c>
      <c r="B437" s="89" t="s">
        <v>2439</v>
      </c>
      <c r="P437" t="s">
        <v>482</v>
      </c>
      <c r="T437" s="14" t="s">
        <v>2182</v>
      </c>
      <c r="U437">
        <v>4</v>
      </c>
      <c r="W437" t="s">
        <v>2445</v>
      </c>
      <c r="X437" t="s">
        <v>2447</v>
      </c>
      <c r="Y437" s="43" t="str">
        <f t="array" ref="Y437">IF(COUNTIFS($X$377:$X437,$X437)=1,"1",VALUE(SUBSTITUTE(INDEX(Y:Y,_xlfn.XMATCH($X437,$X$1:$X436,0,-1)),"A",""))+INDEX(Z:Z,_xlfn.XMATCH($X437,$X$1:$X436,0,-1))+1)</f>
        <v>1</v>
      </c>
      <c r="Z437" s="43">
        <f t="array" ref="Z437">SUM(IF(ISNUMBER(FIND("TmAi",$BE$1:$AAQ$1)),IF(IFERROR(ISODD(SUBSTITUTE($BE437:$AAQ437,"A","")),FALSE),IF(ISODD(SUBSTITUTE($BE437:$AAQ437,"A","")),1,0),0)))</f>
        <v>0</v>
      </c>
      <c r="AA437" t="str">
        <f>CONCATENATE($Y437*2-1,"B")</f>
        <v>1B</v>
      </c>
      <c r="AB437" t="str">
        <f>CONCATENATE($Y437*2,"B")</f>
        <v>2B</v>
      </c>
      <c r="AP437" t="s">
        <v>2184</v>
      </c>
      <c r="AQ437" t="s">
        <v>3247</v>
      </c>
      <c r="AS437" t="s">
        <v>396</v>
      </c>
      <c r="JZ437" s="25" t="str">
        <f>CONCATENATE("XT",U437)</f>
        <v>XT4</v>
      </c>
      <c r="KA437" s="12"/>
      <c r="KB437" s="12"/>
      <c r="KC437" s="12" t="str">
        <f>CONCATENATE(T437,"-AI",REPLACE($X437,1,3,""),"-",AA437)</f>
        <v>N1-AI13-1B</v>
      </c>
      <c r="KD437" s="12" t="str">
        <f>CONCATENATE(T437,"-AI",REPLACE($X437,1,3,""),"-",AB437)</f>
        <v>N1-AI13-2B</v>
      </c>
      <c r="KE437" s="12"/>
      <c r="KF437" s="12"/>
      <c r="KG437" s="12"/>
      <c r="KH437" s="12"/>
      <c r="KI437" s="12">
        <v>22</v>
      </c>
      <c r="KJ437" s="12">
        <f>KI437+1</f>
        <v>23</v>
      </c>
      <c r="KK437" s="12">
        <f>KJ437+1</f>
        <v>24</v>
      </c>
      <c r="KL437" s="12"/>
      <c r="KM437" s="12"/>
      <c r="KN437" s="12" t="s">
        <v>548</v>
      </c>
      <c r="KO437" s="12" t="s">
        <v>548</v>
      </c>
      <c r="KP437" s="12"/>
      <c r="KQ437" s="12"/>
      <c r="KR437" s="12"/>
      <c r="KS437" s="12"/>
      <c r="KT437" s="12"/>
      <c r="KU437" s="12"/>
      <c r="KV437" s="12"/>
      <c r="KW437" s="12"/>
      <c r="KX437" s="12"/>
      <c r="KY437" s="12"/>
      <c r="KZ437" s="12"/>
      <c r="LA437" s="12"/>
      <c r="LB437" s="12"/>
      <c r="LC437" s="12"/>
      <c r="LD437" s="12"/>
      <c r="LE437" s="12"/>
      <c r="LF437" s="12"/>
      <c r="LG437" s="12"/>
      <c r="LH437" s="12"/>
      <c r="LI437" s="12"/>
      <c r="LJ437" s="12"/>
      <c r="LK437" s="12"/>
      <c r="LL437" s="12"/>
      <c r="LM437" s="12"/>
      <c r="LN437" s="12"/>
      <c r="LO437" s="12"/>
      <c r="LP437" s="12"/>
      <c r="LQ437" s="12"/>
      <c r="LR437" s="12"/>
      <c r="LS437" s="12"/>
      <c r="LT437" s="12"/>
      <c r="LU437" s="12"/>
      <c r="LV437" s="12"/>
      <c r="LW437" s="12"/>
      <c r="LX437" s="12"/>
      <c r="LY437" s="12"/>
      <c r="LZ437" s="12"/>
      <c r="MA437" s="12" t="str">
        <f t="shared" si="410"/>
        <v>DI-</v>
      </c>
      <c r="MB437" s="12"/>
      <c r="MC437" s="12"/>
      <c r="MD437" s="12"/>
      <c r="ME437" s="12"/>
      <c r="MF437" s="12"/>
      <c r="MG437" s="12"/>
      <c r="MH437" s="12"/>
      <c r="MI437" s="12"/>
      <c r="MJ437" s="12"/>
      <c r="MK437" s="12"/>
      <c r="ML437" s="12"/>
      <c r="MM437" s="12"/>
      <c r="MN437" s="12"/>
      <c r="MO437" s="12"/>
      <c r="MP437" s="12"/>
      <c r="MQ437" s="12"/>
      <c r="MR437" s="12"/>
      <c r="MS437" s="12"/>
      <c r="MT437" s="12"/>
      <c r="MU437" s="12"/>
      <c r="MV437" s="12"/>
      <c r="MW437" s="12"/>
      <c r="MX437" s="12"/>
      <c r="MY437" s="12"/>
      <c r="MZ437" s="12"/>
      <c r="NA437" s="12"/>
      <c r="NB437" s="12"/>
      <c r="NC437" s="12"/>
      <c r="ND437" s="12"/>
      <c r="NE437" s="12"/>
      <c r="NF437" s="12"/>
      <c r="NG437" s="12"/>
      <c r="NH437" s="12"/>
      <c r="NI437" s="12"/>
      <c r="NJ437" s="12"/>
      <c r="NK437" s="12"/>
      <c r="NL437" s="12"/>
      <c r="NM437" s="12"/>
      <c r="NN437" s="12"/>
      <c r="NO437" s="12"/>
      <c r="NP437" s="12"/>
      <c r="NQ437" s="12"/>
      <c r="NR437" s="12"/>
      <c r="NS437" s="12"/>
      <c r="NT437" s="12"/>
      <c r="NU437" s="12"/>
      <c r="NV437" s="12"/>
      <c r="NW437" s="12"/>
      <c r="NX437" s="12"/>
      <c r="NY437" s="12"/>
      <c r="NZ437" s="12"/>
      <c r="OA437" s="12"/>
      <c r="OB437" s="12"/>
      <c r="OC437" s="12"/>
      <c r="OD437" s="12"/>
      <c r="OE437" s="12"/>
      <c r="OF437" s="12"/>
      <c r="OG437" s="12"/>
      <c r="OH437" s="12"/>
      <c r="OI437" s="12"/>
      <c r="OJ437" s="12"/>
      <c r="OK437" s="12"/>
      <c r="QD437" s="16"/>
    </row>
    <row r="438" spans="1:555" ht="15.75" thickBot="1" x14ac:dyDescent="0.3">
      <c r="A438" s="83" t="s">
        <v>2417</v>
      </c>
      <c r="B438" s="85" t="s">
        <v>2440</v>
      </c>
      <c r="P438" t="s">
        <v>1061</v>
      </c>
      <c r="T438" s="14" t="s">
        <v>2182</v>
      </c>
      <c r="U438">
        <v>4</v>
      </c>
      <c r="W438" t="s">
        <v>2446</v>
      </c>
      <c r="X438" t="str">
        <f>IF(COUNTIF(X$377:X437,X437)&gt;7,REPLACE(X437,LEN(X437),1,VALUE(RIGHT(X437,1))+1),X437)</f>
        <v>A3.13</v>
      </c>
      <c r="Y438" s="43">
        <f t="array" ref="Y438">IF(COUNTIFS($X$377:$X438,$X438)=1,"1",VALUE(SUBSTITUTE(INDEX(Y:Y,_xlfn.XMATCH($X438,$X$1:$X437,0,-1)),"A",""))+INDEX(Z:Z,_xlfn.XMATCH($X438,$X$1:$X437,0,-1))+1)</f>
        <v>2</v>
      </c>
      <c r="Z438" s="43">
        <f t="array" ref="Z438">SUM(IF(ISNUMBER(FIND("TmAi",$BE$1:$AAQ$1)),IF(IFERROR(ISODD(SUBSTITUTE($BE438:$AAQ438,"A","")),FALSE),IF(ISODD(SUBSTITUTE($BE438:$AAQ438,"A","")),1,0),0)))</f>
        <v>11</v>
      </c>
      <c r="AA438" t="str">
        <f t="shared" si="423"/>
        <v>3A</v>
      </c>
      <c r="AB438" t="str">
        <f t="shared" si="424"/>
        <v>3B</v>
      </c>
      <c r="AP438" t="s">
        <v>2184</v>
      </c>
      <c r="AR438" t="s">
        <v>2441</v>
      </c>
      <c r="AS438" t="s">
        <v>396</v>
      </c>
      <c r="JZ438" s="28"/>
      <c r="KA438" s="19"/>
      <c r="KB438" s="19"/>
      <c r="KC438" s="19"/>
      <c r="KD438" s="19"/>
      <c r="KE438" s="19"/>
      <c r="KF438" s="19"/>
      <c r="KG438" s="19"/>
      <c r="KH438" s="19"/>
      <c r="KI438" s="19"/>
      <c r="KJ438" s="19"/>
      <c r="KK438" s="19"/>
      <c r="KL438" s="19"/>
      <c r="KM438" s="19"/>
      <c r="KN438" s="19"/>
      <c r="KO438" s="19"/>
      <c r="KP438" s="19"/>
      <c r="KQ438" s="19"/>
      <c r="KR438" s="19"/>
      <c r="KS438" s="19"/>
      <c r="KT438" s="19"/>
      <c r="KU438" s="19"/>
      <c r="KV438" s="19"/>
      <c r="KW438" s="19"/>
      <c r="KX438" s="19"/>
      <c r="KY438" s="19"/>
      <c r="KZ438" s="19"/>
      <c r="LA438" s="19"/>
      <c r="LB438" s="19"/>
      <c r="LC438" s="19"/>
      <c r="LD438" s="19"/>
      <c r="LE438" s="19"/>
      <c r="LF438" s="19"/>
      <c r="LG438" s="19"/>
      <c r="LH438" s="19"/>
      <c r="LI438" s="19"/>
      <c r="LJ438" s="19"/>
      <c r="LK438" s="19"/>
      <c r="LL438" s="19"/>
      <c r="LM438" s="19"/>
      <c r="LN438" s="19"/>
      <c r="LO438" s="19"/>
      <c r="LP438" s="19"/>
      <c r="LQ438" s="19"/>
      <c r="LR438" s="19"/>
      <c r="LS438" s="19"/>
      <c r="LT438" s="19"/>
      <c r="LU438" s="19"/>
      <c r="LV438" s="19"/>
      <c r="LW438" s="19"/>
      <c r="LX438" s="19"/>
      <c r="LY438" s="19"/>
      <c r="LZ438" s="19"/>
      <c r="MA438" s="19" t="str">
        <f t="shared" si="410"/>
        <v>DI-</v>
      </c>
      <c r="MB438" s="19"/>
      <c r="MC438" s="19"/>
      <c r="MD438" s="19"/>
      <c r="ME438" s="19"/>
      <c r="MF438" s="19"/>
      <c r="MG438" s="19"/>
      <c r="MH438" s="19"/>
      <c r="MI438" s="19"/>
      <c r="MJ438" s="19"/>
      <c r="MK438" s="19"/>
      <c r="ML438" s="19"/>
      <c r="MM438" s="19"/>
      <c r="MN438" s="19"/>
      <c r="MO438" s="19"/>
      <c r="MP438" s="19"/>
      <c r="MQ438" s="19"/>
      <c r="MR438" s="19"/>
      <c r="MS438" s="19"/>
      <c r="MT438" s="19"/>
      <c r="MU438" s="19"/>
      <c r="MV438" s="19"/>
      <c r="MW438" s="19"/>
      <c r="MX438" s="19"/>
      <c r="MY438" s="19"/>
      <c r="MZ438" s="19"/>
      <c r="NA438" s="19"/>
      <c r="NB438" s="19"/>
      <c r="NC438" s="19"/>
      <c r="ND438" s="19"/>
      <c r="NE438" s="19"/>
      <c r="NF438" s="19"/>
      <c r="NG438" s="19"/>
      <c r="NH438" s="19"/>
      <c r="NI438" s="19"/>
      <c r="NJ438" s="19"/>
      <c r="NK438" s="19"/>
      <c r="NL438" s="19"/>
      <c r="NM438" s="19"/>
      <c r="NN438" s="19"/>
      <c r="NO438" s="19"/>
      <c r="NP438" s="19"/>
      <c r="NQ438" s="19"/>
      <c r="NR438" s="19"/>
      <c r="NS438" s="19"/>
      <c r="NT438" s="19"/>
      <c r="NU438" s="19"/>
      <c r="NV438" s="19"/>
      <c r="NW438" s="19"/>
      <c r="NX438" s="19"/>
      <c r="NY438" s="19"/>
      <c r="NZ438" s="19"/>
      <c r="OA438" s="19"/>
      <c r="OB438" s="19"/>
      <c r="OC438" s="19"/>
      <c r="OD438" s="19"/>
      <c r="OE438" s="19"/>
      <c r="OF438" s="19"/>
      <c r="OG438" s="19"/>
      <c r="OH438" s="19"/>
      <c r="OI438" s="19"/>
      <c r="OJ438" s="19"/>
      <c r="OK438" s="19"/>
      <c r="OL438" s="19"/>
      <c r="OM438" s="19"/>
      <c r="ON438" s="19"/>
      <c r="OO438" s="19"/>
      <c r="OP438" s="19"/>
      <c r="OQ438" s="19"/>
      <c r="OR438" s="19"/>
      <c r="OS438" s="19"/>
      <c r="OT438" s="19"/>
      <c r="OU438" s="19"/>
      <c r="OV438" s="19"/>
      <c r="OW438" s="19"/>
      <c r="OX438" s="19"/>
      <c r="OY438" s="19"/>
      <c r="OZ438" s="19"/>
      <c r="PA438" s="19"/>
      <c r="PB438" s="19"/>
      <c r="PC438" s="19"/>
      <c r="PD438" s="19"/>
      <c r="PE438" s="19"/>
      <c r="PF438" s="19"/>
      <c r="PG438" s="19"/>
      <c r="PH438" s="19"/>
      <c r="PI438" s="19"/>
      <c r="PJ438" s="19"/>
      <c r="PK438" s="19"/>
      <c r="PL438" s="19"/>
      <c r="PM438" s="19"/>
      <c r="PN438" s="19"/>
      <c r="PO438" s="19"/>
      <c r="PP438" s="19"/>
      <c r="PQ438" s="19"/>
      <c r="PR438" s="19"/>
      <c r="PS438" s="19"/>
      <c r="PT438" s="19"/>
      <c r="PU438" s="19"/>
      <c r="PV438" s="19"/>
      <c r="PW438" s="19"/>
      <c r="PX438" s="19"/>
      <c r="PY438" s="19"/>
      <c r="PZ438" s="19"/>
      <c r="QA438" s="19"/>
      <c r="QB438" s="19"/>
      <c r="QC438" s="19"/>
      <c r="QD438" s="19"/>
      <c r="QE438" s="23" t="str">
        <f>REPLACE(X438,FIND(".",X438)+1,3,MID(X438,FIND(".",X438)+1,3)+1)</f>
        <v>A3.14</v>
      </c>
      <c r="QF438" s="23" t="str">
        <f>CONCATENATE(VALUE(SUBSTITUTE($AB438,"B",""))+2,"B")</f>
        <v>5B</v>
      </c>
      <c r="QG438" s="23" t="str">
        <f>CONCATENATE(VALUE(SUBSTITUTE($AA438,"A",""))+2,"A")</f>
        <v>5A</v>
      </c>
      <c r="QH438" s="23" t="str">
        <f>CONCATENATE(VALUE(SUBSTITUTE(QF438,"B",""))+2,"B")</f>
        <v>7B</v>
      </c>
      <c r="QI438" s="23" t="str">
        <f>CONCATENATE(VALUE(SUBSTITUTE(QG438,"A",""))+2,"A")</f>
        <v>7A</v>
      </c>
      <c r="QJ438" s="23" t="str">
        <f>CONCATENATE(VALUE(SUBSTITUTE(QH438,"B",""))+2,"B")</f>
        <v>9B</v>
      </c>
      <c r="QK438" s="23" t="str">
        <f>CONCATENATE(VALUE(SUBSTITUTE(QI438,"A",""))+2,"A")</f>
        <v>9A</v>
      </c>
      <c r="QL438" s="23" t="str">
        <f>CONCATENATE(VALUE(SUBSTITUTE(QJ438,"B",""))+2,"B")</f>
        <v>11B</v>
      </c>
      <c r="QM438" s="23" t="str">
        <f>CONCATENATE(VALUE(SUBSTITUTE(QK438,"A",""))+2,"A")</f>
        <v>11A</v>
      </c>
      <c r="QN438" s="23" t="str">
        <f>CONCATENATE(VALUE(SUBSTITUTE(QL438,"B",""))+2,"B")</f>
        <v>13B</v>
      </c>
      <c r="QO438" s="23" t="str">
        <f>CONCATENATE(VALUE(SUBSTITUTE(QM438,"A",""))+2,"A")</f>
        <v>13A</v>
      </c>
      <c r="QP438" s="23" t="s">
        <v>135</v>
      </c>
      <c r="QQ438" s="23" t="s">
        <v>136</v>
      </c>
      <c r="QR438" s="23" t="str">
        <f>CONCATENATE(VALUE(SUBSTITUTE(QP438,"B",""))+2,"B")</f>
        <v>3B</v>
      </c>
      <c r="QS438" s="23" t="str">
        <f>CONCATENATE(VALUE(SUBSTITUTE(QQ438,"A",""))+2,"A")</f>
        <v>3A</v>
      </c>
      <c r="QT438" s="23" t="str">
        <f>CONCATENATE(VALUE(SUBSTITUTE(QR438,"B",""))+2,"B")</f>
        <v>5B</v>
      </c>
      <c r="QU438" s="23" t="str">
        <f>CONCATENATE(VALUE(SUBSTITUTE(QS438,"A",""))+2,"A")</f>
        <v>5A</v>
      </c>
      <c r="QV438" s="23" t="str">
        <f>CONCATENATE(VALUE(SUBSTITUTE(QT438,"B",""))+2,"B")</f>
        <v>7B</v>
      </c>
      <c r="QW438" s="23" t="str">
        <f>CONCATENATE(VALUE(SUBSTITUTE(QU438,"A",""))+2,"A")</f>
        <v>7A</v>
      </c>
      <c r="QX438" s="23" t="str">
        <f>CONCATENATE(VALUE(SUBSTITUTE(QV438,"B",""))+2,"B")</f>
        <v>9B</v>
      </c>
      <c r="QY438" s="23" t="str">
        <f>CONCATENATE(VALUE(SUBSTITUTE(QW438,"A",""))+2,"A")</f>
        <v>9A</v>
      </c>
      <c r="QZ438" s="23" t="str">
        <f>CONCATENATE(VALUE(SUBSTITUTE(QX438,"B",""))+2,"B")</f>
        <v>11B</v>
      </c>
      <c r="RA438" s="23" t="str">
        <f>CONCATENATE(VALUE(SUBSTITUTE(QY438,"A",""))+2,"A")</f>
        <v>11A</v>
      </c>
      <c r="RB438" s="23" t="str">
        <f>CONCATENATE($T438,"-AI",REPLACE($X438,1,3,""),"-",AB438)</f>
        <v>N1-AI13-3B</v>
      </c>
      <c r="RC438" s="23" t="str">
        <f>CONCATENATE($T438,"-AI",REPLACE($X438,1,3,""),"-",AA438)</f>
        <v>N1-AI13-3A</v>
      </c>
      <c r="RD438" s="23" t="str">
        <f t="shared" ref="RD438:RM438" si="431">CONCATENATE($T438,"-AI",REPLACE($X438,1,3,""),"-",QF438)</f>
        <v>N1-AI13-5B</v>
      </c>
      <c r="RE438" s="23" t="str">
        <f t="shared" si="431"/>
        <v>N1-AI13-5A</v>
      </c>
      <c r="RF438" s="23" t="str">
        <f t="shared" si="431"/>
        <v>N1-AI13-7B</v>
      </c>
      <c r="RG438" s="23" t="str">
        <f t="shared" si="431"/>
        <v>N1-AI13-7A</v>
      </c>
      <c r="RH438" s="23" t="str">
        <f t="shared" si="431"/>
        <v>N1-AI13-9B</v>
      </c>
      <c r="RI438" s="23" t="str">
        <f t="shared" si="431"/>
        <v>N1-AI13-9A</v>
      </c>
      <c r="RJ438" s="23" t="str">
        <f t="shared" si="431"/>
        <v>N1-AI13-11B</v>
      </c>
      <c r="RK438" s="23" t="str">
        <f t="shared" si="431"/>
        <v>N1-AI13-11A</v>
      </c>
      <c r="RL438" s="23" t="str">
        <f t="shared" si="431"/>
        <v>N1-AI13-13B</v>
      </c>
      <c r="RM438" s="23" t="str">
        <f t="shared" si="431"/>
        <v>N1-AI13-13A</v>
      </c>
      <c r="RN438" s="23" t="str">
        <f t="shared" ref="RN438:RY438" si="432">CONCATENATE($T438,"-AI",REPLACE($QE438,1,3,""),"-",QP438)</f>
        <v>N1-AI14-1B</v>
      </c>
      <c r="RO438" s="23" t="str">
        <f t="shared" si="432"/>
        <v>N1-AI14-1A</v>
      </c>
      <c r="RP438" s="23" t="str">
        <f t="shared" si="432"/>
        <v>N1-AI14-3B</v>
      </c>
      <c r="RQ438" s="23" t="str">
        <f t="shared" si="432"/>
        <v>N1-AI14-3A</v>
      </c>
      <c r="RR438" s="23" t="str">
        <f t="shared" si="432"/>
        <v>N1-AI14-5B</v>
      </c>
      <c r="RS438" s="23" t="str">
        <f t="shared" si="432"/>
        <v>N1-AI14-5A</v>
      </c>
      <c r="RT438" s="23" t="str">
        <f t="shared" si="432"/>
        <v>N1-AI14-7B</v>
      </c>
      <c r="RU438" s="23" t="str">
        <f t="shared" si="432"/>
        <v>N1-AI14-7A</v>
      </c>
      <c r="RV438" s="23" t="str">
        <f t="shared" si="432"/>
        <v>N1-AI14-9B</v>
      </c>
      <c r="RW438" s="23" t="str">
        <f t="shared" si="432"/>
        <v>N1-AI14-9A</v>
      </c>
      <c r="RX438" s="23" t="str">
        <f t="shared" si="432"/>
        <v>N1-AI14-11B</v>
      </c>
      <c r="RY438" s="23" t="str">
        <f t="shared" si="432"/>
        <v>N1-AI14-11A</v>
      </c>
      <c r="RZ438" s="23" t="str">
        <f>CONCATENATE("XT",$U438)</f>
        <v>XT4</v>
      </c>
      <c r="SA438" s="23">
        <v>25</v>
      </c>
      <c r="SB438" s="23">
        <f>SA438+1</f>
        <v>26</v>
      </c>
      <c r="SC438" s="23">
        <f t="shared" ref="SC438:SX438" si="433">SB438+1</f>
        <v>27</v>
      </c>
      <c r="SD438" s="23">
        <f t="shared" si="433"/>
        <v>28</v>
      </c>
      <c r="SE438" s="23">
        <f t="shared" si="433"/>
        <v>29</v>
      </c>
      <c r="SF438" s="23">
        <f t="shared" si="433"/>
        <v>30</v>
      </c>
      <c r="SG438" s="23">
        <f t="shared" si="433"/>
        <v>31</v>
      </c>
      <c r="SH438" s="23">
        <f t="shared" si="433"/>
        <v>32</v>
      </c>
      <c r="SI438" s="23">
        <f t="shared" si="433"/>
        <v>33</v>
      </c>
      <c r="SJ438" s="23">
        <f t="shared" si="433"/>
        <v>34</v>
      </c>
      <c r="SK438" s="23">
        <f t="shared" si="433"/>
        <v>35</v>
      </c>
      <c r="SL438" s="23">
        <f t="shared" si="433"/>
        <v>36</v>
      </c>
      <c r="SM438" s="23">
        <f t="shared" si="433"/>
        <v>37</v>
      </c>
      <c r="SN438" s="23">
        <f t="shared" si="433"/>
        <v>38</v>
      </c>
      <c r="SO438" s="23">
        <f t="shared" si="433"/>
        <v>39</v>
      </c>
      <c r="SP438" s="23">
        <f t="shared" si="433"/>
        <v>40</v>
      </c>
      <c r="SQ438" s="23">
        <f t="shared" si="433"/>
        <v>41</v>
      </c>
      <c r="SR438" s="23">
        <f t="shared" si="433"/>
        <v>42</v>
      </c>
      <c r="SS438" s="23">
        <f t="shared" si="433"/>
        <v>43</v>
      </c>
      <c r="ST438" s="23">
        <f t="shared" si="433"/>
        <v>44</v>
      </c>
      <c r="SU438" s="23">
        <f t="shared" si="433"/>
        <v>45</v>
      </c>
      <c r="SV438" s="23">
        <f t="shared" si="433"/>
        <v>46</v>
      </c>
      <c r="SW438" s="23">
        <f t="shared" si="433"/>
        <v>47</v>
      </c>
      <c r="SX438" s="23">
        <f t="shared" si="433"/>
        <v>48</v>
      </c>
      <c r="SY438" s="23">
        <f>SX438+1</f>
        <v>49</v>
      </c>
      <c r="SZ438" s="23" t="s">
        <v>2418</v>
      </c>
      <c r="TA438" s="23" t="s">
        <v>2419</v>
      </c>
      <c r="TB438" s="23" t="s">
        <v>2420</v>
      </c>
      <c r="TC438" s="23" t="s">
        <v>2421</v>
      </c>
      <c r="TD438" s="23" t="s">
        <v>2422</v>
      </c>
      <c r="TE438" s="23" t="s">
        <v>2423</v>
      </c>
      <c r="TF438" s="23" t="s">
        <v>2424</v>
      </c>
      <c r="TG438" s="23" t="s">
        <v>2425</v>
      </c>
      <c r="TH438" s="23" t="s">
        <v>2426</v>
      </c>
      <c r="TI438" s="23" t="s">
        <v>2427</v>
      </c>
      <c r="TJ438" s="23" t="s">
        <v>2428</v>
      </c>
      <c r="TK438" s="23" t="s">
        <v>2429</v>
      </c>
      <c r="TL438" s="23" t="s">
        <v>1059</v>
      </c>
      <c r="TM438" s="23" t="s">
        <v>1128</v>
      </c>
      <c r="TN438" s="23" t="s">
        <v>1129</v>
      </c>
      <c r="TO438" s="23" t="s">
        <v>1130</v>
      </c>
      <c r="TP438" s="23" t="s">
        <v>1132</v>
      </c>
      <c r="TQ438" s="23" t="s">
        <v>1131</v>
      </c>
      <c r="TR438" s="23" t="s">
        <v>1133</v>
      </c>
      <c r="TS438" s="23" t="s">
        <v>1134</v>
      </c>
      <c r="TT438" s="23" t="s">
        <v>1135</v>
      </c>
      <c r="TU438" s="23" t="s">
        <v>1136</v>
      </c>
      <c r="TV438" s="23" t="s">
        <v>1137</v>
      </c>
      <c r="TW438" s="24" t="s">
        <v>1138</v>
      </c>
    </row>
    <row r="439" spans="1:555" x14ac:dyDescent="0.25">
      <c r="A439" s="83" t="s">
        <v>2460</v>
      </c>
      <c r="B439" s="86" t="s">
        <v>2448</v>
      </c>
      <c r="C439" t="s">
        <v>1012</v>
      </c>
      <c r="P439" t="s">
        <v>1011</v>
      </c>
      <c r="T439" s="14" t="s">
        <v>2182</v>
      </c>
      <c r="U439">
        <v>5</v>
      </c>
      <c r="W439" t="s">
        <v>2481</v>
      </c>
      <c r="X439" t="s">
        <v>2407</v>
      </c>
      <c r="Y439" s="43" t="str">
        <f t="array" ref="Y439">IF(COUNTIFS($X$377:$X439,$X439)=1,"1",VALUE(SUBSTITUTE(INDEX(Y:Y,_xlfn.XMATCH($X439,$X$1:$X438,0,-1)),"A",""))+INDEX(Z:Z,_xlfn.XMATCH($X439,$X$1:$X438,0,-1))+1)</f>
        <v>1</v>
      </c>
      <c r="Z439" s="43">
        <f t="array" ref="Z439">SUM(IF(ISNUMBER(FIND("TmAi",$BE$1:$AAQ$1)),IF(IFERROR(ISODD(SUBSTITUTE($BE439:$AAQ439,"A","")),FALSE),IF(ISODD(SUBSTITUTE($BE439:$AAQ439,"A","")),1,0),0)))</f>
        <v>1</v>
      </c>
      <c r="AA439" t="str">
        <f t="shared" si="423"/>
        <v>1A</v>
      </c>
      <c r="AB439" t="str">
        <f t="shared" si="424"/>
        <v>1B</v>
      </c>
      <c r="AP439" t="s">
        <v>2184</v>
      </c>
      <c r="AR439" t="s">
        <v>2449</v>
      </c>
      <c r="AS439" t="s">
        <v>396</v>
      </c>
      <c r="MA439" t="str">
        <f t="shared" si="410"/>
        <v>DI-</v>
      </c>
      <c r="OL439" s="25" t="str">
        <f>CONCATENATE("XT",$U439)</f>
        <v>XT5</v>
      </c>
      <c r="OM439" s="12" t="s">
        <v>2461</v>
      </c>
      <c r="ON439" s="12" t="s">
        <v>2450</v>
      </c>
      <c r="OO439" s="12"/>
      <c r="OP439" s="12"/>
      <c r="OQ439" s="12" t="str">
        <f>CONCATENATE(REPLACE($AA439,LEN($AA439),1,"")+1,RIGHT($AA439))</f>
        <v>2A</v>
      </c>
      <c r="OR439" s="12" t="str">
        <f>CONCATENATE(REPLACE($AB439,LEN($AB439),1,"")+1,RIGHT($AB439))</f>
        <v>2B</v>
      </c>
      <c r="OS439" s="12" t="str">
        <f t="shared" ref="OS439:OV441" si="434">CONCATENATE(REPLACE(OQ439,LEN(OQ439),1,"")+1,RIGHT(OQ439))</f>
        <v>3A</v>
      </c>
      <c r="OT439" s="12" t="str">
        <f t="shared" si="434"/>
        <v>3B</v>
      </c>
      <c r="OU439" s="12" t="str">
        <f t="shared" si="434"/>
        <v>4A</v>
      </c>
      <c r="OV439" s="12" t="str">
        <f t="shared" si="434"/>
        <v>4B</v>
      </c>
      <c r="OW439" s="12"/>
      <c r="OX439" s="12"/>
      <c r="OY439" s="12"/>
      <c r="OZ439" s="12"/>
      <c r="PA439" s="12" t="str">
        <f>CONCATENATE($T439,"-AI",REPLACE($X439,1,3,""),"-",$AA439)</f>
        <v>N1-AI21-1A</v>
      </c>
      <c r="PB439" s="12" t="str">
        <f>CONCATENATE($T439,"-AI",REPLACE($X439,1,3,""),"-",$AB439)</f>
        <v>N1-AI21-1B</v>
      </c>
      <c r="PC439" s="12" t="str">
        <f t="shared" ref="PC439:PH441" si="435">CONCATENATE($T439,"-AI",REPLACE($X439,1,3,""),"-",OQ439)</f>
        <v>N1-AI21-2A</v>
      </c>
      <c r="PD439" s="12" t="str">
        <f t="shared" si="435"/>
        <v>N1-AI21-2B</v>
      </c>
      <c r="PE439" s="12" t="str">
        <f t="shared" si="435"/>
        <v>N1-AI21-3A</v>
      </c>
      <c r="PF439" s="12" t="str">
        <f t="shared" si="435"/>
        <v>N1-AI21-3B</v>
      </c>
      <c r="PG439" s="12" t="str">
        <f t="shared" si="435"/>
        <v>N1-AI21-4A</v>
      </c>
      <c r="PH439" s="12" t="str">
        <f t="shared" si="435"/>
        <v>N1-AI21-4B</v>
      </c>
      <c r="PI439" s="12"/>
      <c r="PJ439" s="12"/>
      <c r="PK439" s="12"/>
      <c r="PL439" s="12"/>
      <c r="PM439" s="12">
        <f t="array" ref="PM439">IF(COUNTIFS($U$377:$U439,$U439)=1,1,INDEX(PM:PM,_xlfn.XMATCH($U439,$U$377:EF438,0,-1))+COUNT(PM438:PR438))</f>
        <v>1</v>
      </c>
      <c r="PN439" s="12">
        <f t="shared" ref="PN439:PR441" si="436">PM439+1</f>
        <v>2</v>
      </c>
      <c r="PO439" s="12">
        <f t="shared" si="436"/>
        <v>3</v>
      </c>
      <c r="PP439" s="12">
        <f t="shared" si="436"/>
        <v>4</v>
      </c>
      <c r="PQ439" s="12">
        <f t="shared" si="436"/>
        <v>5</v>
      </c>
      <c r="PR439" s="12">
        <f t="shared" si="436"/>
        <v>6</v>
      </c>
      <c r="PS439" s="12"/>
      <c r="PT439" s="12"/>
      <c r="PU439" s="12"/>
      <c r="PV439" s="12">
        <v>1</v>
      </c>
      <c r="PW439" s="12">
        <v>2</v>
      </c>
      <c r="PX439" s="12">
        <v>3</v>
      </c>
      <c r="PY439" s="12">
        <v>4</v>
      </c>
      <c r="PZ439" s="12">
        <v>5</v>
      </c>
      <c r="QA439" s="13">
        <v>6</v>
      </c>
    </row>
    <row r="440" spans="1:555" ht="15.75" thickBot="1" x14ac:dyDescent="0.3">
      <c r="A440" s="83" t="s">
        <v>2462</v>
      </c>
      <c r="B440" s="83" t="s">
        <v>2451</v>
      </c>
      <c r="C440" t="s">
        <v>1012</v>
      </c>
      <c r="P440" t="s">
        <v>1011</v>
      </c>
      <c r="T440" s="14" t="s">
        <v>2182</v>
      </c>
      <c r="U440">
        <v>5</v>
      </c>
      <c r="W440" t="s">
        <v>2482</v>
      </c>
      <c r="X440" t="str">
        <f>IF(COUNTIF(X$377:X439,X439)&gt;7,REPLACE(X439,LEN(X439),1,VALUE(RIGHT(X439,1))+1),X439)</f>
        <v>A3.21</v>
      </c>
      <c r="Y440" s="43">
        <f t="array" ref="Y440">IF(COUNTIFS($X$377:$X440,$X440)=1,"1",VALUE(SUBSTITUTE(INDEX(Y:Y,_xlfn.XMATCH($X440,$X$1:$X439,0,-1)),"A",""))+INDEX(Z:Z,_xlfn.XMATCH($X440,$X$1:$X439,0,-1))+1)</f>
        <v>3</v>
      </c>
      <c r="Z440" s="43">
        <f t="array" ref="Z440">SUM(IF(ISNUMBER(FIND("TmAi",$BE$1:$AAQ$1)),IF(IFERROR(ISODD(SUBSTITUTE($BE440:$AAQ440,"A","")),FALSE),IF(ISODD(SUBSTITUTE($BE440:$AAQ440,"A","")),1,0),0)))</f>
        <v>1</v>
      </c>
      <c r="AA440" t="str">
        <f t="shared" si="423"/>
        <v>5A</v>
      </c>
      <c r="AB440" t="str">
        <f t="shared" si="424"/>
        <v>5B</v>
      </c>
      <c r="AP440" t="s">
        <v>2184</v>
      </c>
      <c r="AR440" t="s">
        <v>2449</v>
      </c>
      <c r="AS440" t="s">
        <v>396</v>
      </c>
      <c r="MA440" t="str">
        <f t="shared" si="410"/>
        <v>DI-</v>
      </c>
      <c r="OL440" s="27" t="str">
        <f>CONCATENATE("XT",$U440)</f>
        <v>XT5</v>
      </c>
      <c r="OM440" t="s">
        <v>2463</v>
      </c>
      <c r="ON440" t="s">
        <v>2452</v>
      </c>
      <c r="OQ440" t="str">
        <f>CONCATENATE(REPLACE($AA440,LEN($AA440),1,"")+1,RIGHT($AA440))</f>
        <v>6A</v>
      </c>
      <c r="OR440" t="str">
        <f>CONCATENATE(REPLACE($AB440,LEN($AB440),1,"")+1,RIGHT($AB440))</f>
        <v>6B</v>
      </c>
      <c r="OS440" t="str">
        <f t="shared" si="434"/>
        <v>7A</v>
      </c>
      <c r="OT440" t="str">
        <f t="shared" si="434"/>
        <v>7B</v>
      </c>
      <c r="OU440" t="str">
        <f t="shared" si="434"/>
        <v>8A</v>
      </c>
      <c r="OV440" t="str">
        <f t="shared" si="434"/>
        <v>8B</v>
      </c>
      <c r="PA440" t="str">
        <f>CONCATENATE($T440,"-AI",REPLACE($X440,1,3,""),"-",$AA440)</f>
        <v>N1-AI21-5A</v>
      </c>
      <c r="PB440" t="str">
        <f>CONCATENATE($T440,"-AI",REPLACE($X440,1,3,""),"-",$AB440)</f>
        <v>N1-AI21-5B</v>
      </c>
      <c r="PC440" t="str">
        <f t="shared" si="435"/>
        <v>N1-AI21-6A</v>
      </c>
      <c r="PD440" t="str">
        <f t="shared" si="435"/>
        <v>N1-AI21-6B</v>
      </c>
      <c r="PE440" t="str">
        <f t="shared" si="435"/>
        <v>N1-AI21-7A</v>
      </c>
      <c r="PF440" t="str">
        <f t="shared" si="435"/>
        <v>N1-AI21-7B</v>
      </c>
      <c r="PG440" t="str">
        <f t="shared" si="435"/>
        <v>N1-AI21-8A</v>
      </c>
      <c r="PH440" t="str">
        <f t="shared" si="435"/>
        <v>N1-AI21-8B</v>
      </c>
      <c r="PM440">
        <f t="array" ref="PM440">IF(COUNTIFS($U$2:$U440,$U440)=1,1,INDEX(PM:PM,_xlfn.XMATCH($U440,$U$1:$U439,0,-1))+COUNT(PM439:PR439))</f>
        <v>7</v>
      </c>
      <c r="PN440">
        <f t="shared" si="436"/>
        <v>8</v>
      </c>
      <c r="PO440">
        <f t="shared" si="436"/>
        <v>9</v>
      </c>
      <c r="PP440">
        <f t="shared" si="436"/>
        <v>10</v>
      </c>
      <c r="PQ440">
        <f t="shared" si="436"/>
        <v>11</v>
      </c>
      <c r="PR440">
        <f t="shared" si="436"/>
        <v>12</v>
      </c>
      <c r="PV440">
        <v>7</v>
      </c>
      <c r="PW440">
        <v>8</v>
      </c>
      <c r="PX440">
        <v>9</v>
      </c>
      <c r="PY440">
        <v>10</v>
      </c>
      <c r="PZ440">
        <v>11</v>
      </c>
      <c r="QA440" s="16">
        <v>12</v>
      </c>
    </row>
    <row r="441" spans="1:555" ht="15.75" thickBot="1" x14ac:dyDescent="0.3">
      <c r="A441" s="83" t="s">
        <v>2464</v>
      </c>
      <c r="B441" s="83" t="s">
        <v>2453</v>
      </c>
      <c r="C441" t="s">
        <v>1012</v>
      </c>
      <c r="P441" t="s">
        <v>1047</v>
      </c>
      <c r="T441" s="14" t="s">
        <v>2182</v>
      </c>
      <c r="U441">
        <v>5</v>
      </c>
      <c r="W441" t="s">
        <v>2483</v>
      </c>
      <c r="X441" t="str">
        <f>IF(COUNTIF(X$377:X440,X440)&gt;7,REPLACE(X440,LEN(X440),1,VALUE(RIGHT(X440,1))+1),X440)</f>
        <v>A3.21</v>
      </c>
      <c r="Y441" s="43">
        <f t="array" ref="Y441">IF(COUNTIFS($X$377:$X441,$X441)=1,"1",VALUE(SUBSTITUTE(INDEX(Y:Y,_xlfn.XMATCH($X441,$X$1:$X440,0,-1)),"A",""))+INDEX(Z:Z,_xlfn.XMATCH($X441,$X$1:$X440,0,-1))+1)</f>
        <v>5</v>
      </c>
      <c r="Z441" s="43">
        <f t="array" ref="Z441">SUM(IF(ISNUMBER(FIND("TmAi",$BE$1:$AAQ$1)),IF(IFERROR(ISODD(SUBSTITUTE($BE441:$AAQ441,"A","")),FALSE),IF(ISODD(SUBSTITUTE($BE441:$AAQ441,"A","")),1,0),0)))</f>
        <v>2</v>
      </c>
      <c r="AA441" t="str">
        <f t="shared" si="423"/>
        <v>9A</v>
      </c>
      <c r="AB441" t="str">
        <f t="shared" si="424"/>
        <v>9B</v>
      </c>
      <c r="AP441" t="s">
        <v>2184</v>
      </c>
      <c r="AR441" t="s">
        <v>2454</v>
      </c>
      <c r="AS441" t="s">
        <v>396</v>
      </c>
      <c r="MA441" t="str">
        <f t="shared" si="410"/>
        <v>DI-</v>
      </c>
      <c r="OL441" s="27" t="str">
        <f>CONCATENATE("XT",$U441)</f>
        <v>XT5</v>
      </c>
      <c r="OM441" t="s">
        <v>2465</v>
      </c>
      <c r="ON441" t="s">
        <v>2455</v>
      </c>
      <c r="OO441" t="s">
        <v>2466</v>
      </c>
      <c r="OP441" t="s">
        <v>2456</v>
      </c>
      <c r="OQ441" t="str">
        <f>CONCATENATE(REPLACE($AA441,LEN($AA441),1,"")+1,RIGHT($AA441))</f>
        <v>10A</v>
      </c>
      <c r="OR441" t="str">
        <f>CONCATENATE(REPLACE($AB441,LEN($AB441),1,"")+1,RIGHT($AB441))</f>
        <v>10B</v>
      </c>
      <c r="OS441" t="str">
        <f t="shared" si="434"/>
        <v>11A</v>
      </c>
      <c r="OT441" t="str">
        <f t="shared" si="434"/>
        <v>11B</v>
      </c>
      <c r="OU441" t="str">
        <f t="shared" si="434"/>
        <v>12A</v>
      </c>
      <c r="OV441" t="str">
        <f t="shared" si="434"/>
        <v>12B</v>
      </c>
      <c r="OW441" t="str">
        <f>CONCATENATE(REPLACE(OU441,LEN(OU441),1,"")+1,RIGHT(OU441))</f>
        <v>13A</v>
      </c>
      <c r="OX441" t="str">
        <f>CONCATENATE(REPLACE(OV441,LEN(OV441),1,"")+1,RIGHT(OV441))</f>
        <v>13B</v>
      </c>
      <c r="OY441" t="str">
        <f>CONCATENATE(REPLACE(OW441,LEN(OW441),1,"")+1,RIGHT(OW441))</f>
        <v>14A</v>
      </c>
      <c r="OZ441" t="str">
        <f>CONCATENATE(REPLACE(OX441,LEN(OX441),1,"")+1,RIGHT(OX441))</f>
        <v>14B</v>
      </c>
      <c r="PA441" t="str">
        <f>CONCATENATE($T441,"-AI",REPLACE($X441,1,3,""),"-",$AA441)</f>
        <v>N1-AI21-9A</v>
      </c>
      <c r="PB441" t="str">
        <f>CONCATENATE($T441,"-AI",REPLACE($X441,1,3,""),"-",$AB441)</f>
        <v>N1-AI21-9B</v>
      </c>
      <c r="PC441" t="str">
        <f t="shared" si="435"/>
        <v>N1-AI21-10A</v>
      </c>
      <c r="PD441" t="str">
        <f t="shared" si="435"/>
        <v>N1-AI21-10B</v>
      </c>
      <c r="PE441" t="str">
        <f t="shared" si="435"/>
        <v>N1-AI21-11A</v>
      </c>
      <c r="PF441" t="str">
        <f t="shared" si="435"/>
        <v>N1-AI21-11B</v>
      </c>
      <c r="PG441" t="str">
        <f t="shared" si="435"/>
        <v>N1-AI21-12A</v>
      </c>
      <c r="PH441" t="str">
        <f t="shared" si="435"/>
        <v>N1-AI21-12B</v>
      </c>
      <c r="PI441" t="str">
        <f>CONCATENATE($T441,"-AI",REPLACE($X441,1,3,""),"-",OW441)</f>
        <v>N1-AI21-13A</v>
      </c>
      <c r="PJ441" t="str">
        <f>CONCATENATE($T441,"-AI",REPLACE($X441,1,3,""),"-",OX441)</f>
        <v>N1-AI21-13B</v>
      </c>
      <c r="PK441" t="str">
        <f>CONCATENATE($T441,"-AI",REPLACE($X441,1,3,""),"-",OY441)</f>
        <v>N1-AI21-14A</v>
      </c>
      <c r="PL441" t="str">
        <f>CONCATENATE($T441,"-AI",REPLACE($X441,1,3,""),"-",OZ441)</f>
        <v>N1-AI21-14B</v>
      </c>
      <c r="PM441">
        <f t="array" ref="PM441">IF(COUNTIFS($U$2:$U441,$U441)=1,1,INDEX(PM:PM,_xlfn.XMATCH($U441,$U$1:$U440,0,-1))+COUNT(PM440:PR440))</f>
        <v>13</v>
      </c>
      <c r="PN441">
        <f t="shared" si="436"/>
        <v>14</v>
      </c>
      <c r="PO441">
        <f t="shared" si="436"/>
        <v>15</v>
      </c>
      <c r="PP441">
        <f t="shared" si="436"/>
        <v>16</v>
      </c>
      <c r="PQ441">
        <f t="shared" si="436"/>
        <v>17</v>
      </c>
      <c r="PR441">
        <f t="shared" si="436"/>
        <v>18</v>
      </c>
      <c r="PS441">
        <f>PR441+1</f>
        <v>19</v>
      </c>
      <c r="PT441">
        <f>PS441+1</f>
        <v>20</v>
      </c>
      <c r="PU441">
        <f>PT441+1</f>
        <v>21</v>
      </c>
      <c r="PV441">
        <v>1</v>
      </c>
      <c r="PW441">
        <v>2</v>
      </c>
      <c r="PX441">
        <v>3</v>
      </c>
      <c r="PY441">
        <v>4</v>
      </c>
      <c r="PZ441">
        <v>5</v>
      </c>
      <c r="QA441">
        <v>6</v>
      </c>
      <c r="QB441" s="12">
        <v>7</v>
      </c>
      <c r="QC441" s="12">
        <v>8</v>
      </c>
      <c r="QD441" s="13">
        <v>9</v>
      </c>
    </row>
    <row r="442" spans="1:555" ht="15.75" thickBot="1" x14ac:dyDescent="0.3">
      <c r="A442" s="83" t="s">
        <v>2467</v>
      </c>
      <c r="B442" s="89" t="s">
        <v>2457</v>
      </c>
      <c r="P442" t="s">
        <v>482</v>
      </c>
      <c r="T442" s="14" t="s">
        <v>2182</v>
      </c>
      <c r="U442">
        <v>5</v>
      </c>
      <c r="W442" t="s">
        <v>2484</v>
      </c>
      <c r="X442" t="s">
        <v>2486</v>
      </c>
      <c r="Y442" s="43" t="str">
        <f t="array" ref="Y442">IF(COUNTIFS($X$377:$X442,$X442)=1,"1",VALUE(SUBSTITUTE(INDEX(Y:Y,_xlfn.XMATCH($X442,$X$1:$X441,0,-1)),"A",""))+INDEX(Z:Z,_xlfn.XMATCH($X442,$X$1:$X441,0,-1))+1)</f>
        <v>1</v>
      </c>
      <c r="Z442" s="43">
        <f t="array" ref="Z442">SUM(IF(ISNUMBER(FIND("TmAi",$BE$1:$AAQ$1)),IF(IFERROR(ISODD(SUBSTITUTE($BE442:$AAQ442,"A","")),FALSE),IF(ISODD(SUBSTITUTE($BE442:$AAQ442,"A","")),1,0),0)))</f>
        <v>0</v>
      </c>
      <c r="AA442" t="str">
        <f>CONCATENATE($Y442*2-1,"B")</f>
        <v>1B</v>
      </c>
      <c r="AB442" t="str">
        <f>CONCATENATE($Y442*2,"B")</f>
        <v>2B</v>
      </c>
      <c r="AP442" t="s">
        <v>2184</v>
      </c>
      <c r="AQ442" t="s">
        <v>3248</v>
      </c>
      <c r="AS442" t="s">
        <v>396</v>
      </c>
      <c r="JZ442" s="25" t="str">
        <f>CONCATENATE("XT",U442)</f>
        <v>XT5</v>
      </c>
      <c r="KA442" s="12"/>
      <c r="KB442" s="12"/>
      <c r="KC442" s="12" t="str">
        <f>CONCATENATE(T442,"-AI",REPLACE($X442,1,3,""),"-",AA442)</f>
        <v>N1-AI15-1B</v>
      </c>
      <c r="KD442" s="12" t="str">
        <f>CONCATENATE(T442,"-AI",REPLACE($X442,1,3,""),"-",AB442)</f>
        <v>N1-AI15-2B</v>
      </c>
      <c r="KE442" s="12"/>
      <c r="KF442" s="12"/>
      <c r="KG442" s="12"/>
      <c r="KH442" s="12"/>
      <c r="KI442" s="12">
        <v>22</v>
      </c>
      <c r="KJ442" s="12">
        <f>KI442+1</f>
        <v>23</v>
      </c>
      <c r="KK442" s="12">
        <f>KJ442+1</f>
        <v>24</v>
      </c>
      <c r="KL442" s="12"/>
      <c r="KM442" s="12"/>
      <c r="KN442" s="12" t="s">
        <v>548</v>
      </c>
      <c r="KO442" s="12" t="s">
        <v>548</v>
      </c>
      <c r="KP442" s="12"/>
      <c r="KQ442" s="12"/>
      <c r="KR442" s="12"/>
      <c r="KS442" s="12"/>
      <c r="KT442" s="12"/>
      <c r="KU442" s="12"/>
      <c r="KV442" s="12"/>
      <c r="KW442" s="12"/>
      <c r="KX442" s="12"/>
      <c r="KY442" s="12"/>
      <c r="KZ442" s="12"/>
      <c r="LA442" s="12"/>
      <c r="LB442" s="12"/>
      <c r="LC442" s="12"/>
      <c r="LD442" s="12"/>
      <c r="LE442" s="12"/>
      <c r="LF442" s="12"/>
      <c r="LG442" s="12"/>
      <c r="LH442" s="12"/>
      <c r="LI442" s="12"/>
      <c r="LJ442" s="12"/>
      <c r="LK442" s="12"/>
      <c r="LL442" s="12"/>
      <c r="LM442" s="12"/>
      <c r="LN442" s="12"/>
      <c r="LO442" s="12"/>
      <c r="LP442" s="12"/>
      <c r="LQ442" s="12"/>
      <c r="LR442" s="12"/>
      <c r="LS442" s="12"/>
      <c r="LT442" s="12"/>
      <c r="LU442" s="12"/>
      <c r="LV442" s="12"/>
      <c r="LW442" s="12"/>
      <c r="LX442" s="12"/>
      <c r="LY442" s="12"/>
      <c r="LZ442" s="12"/>
      <c r="MA442" s="12" t="str">
        <f t="shared" si="410"/>
        <v>DI-</v>
      </c>
      <c r="MB442" s="12"/>
      <c r="MC442" s="12"/>
      <c r="MD442" s="12"/>
      <c r="ME442" s="12"/>
      <c r="MF442" s="12"/>
      <c r="MG442" s="12"/>
      <c r="MH442" s="12"/>
      <c r="MI442" s="12"/>
      <c r="MJ442" s="12"/>
      <c r="MK442" s="12"/>
      <c r="ML442" s="12"/>
      <c r="MM442" s="12"/>
      <c r="MN442" s="12"/>
      <c r="MO442" s="12"/>
      <c r="MP442" s="12"/>
      <c r="MQ442" s="12"/>
      <c r="MR442" s="12"/>
      <c r="MS442" s="12"/>
      <c r="MT442" s="12"/>
      <c r="MU442" s="12"/>
      <c r="MV442" s="12"/>
      <c r="MW442" s="12"/>
      <c r="MX442" s="12"/>
      <c r="MY442" s="12"/>
      <c r="MZ442" s="12"/>
      <c r="NA442" s="12"/>
      <c r="NB442" s="12"/>
      <c r="NC442" s="12"/>
      <c r="ND442" s="12"/>
      <c r="NE442" s="12"/>
      <c r="NF442" s="12"/>
      <c r="NG442" s="12"/>
      <c r="NH442" s="12"/>
      <c r="NI442" s="12"/>
      <c r="NJ442" s="12"/>
      <c r="NK442" s="12"/>
      <c r="NL442" s="12"/>
      <c r="NM442" s="12"/>
      <c r="NN442" s="12"/>
      <c r="NO442" s="12"/>
      <c r="NP442" s="12"/>
      <c r="NQ442" s="12"/>
      <c r="NR442" s="12"/>
      <c r="NS442" s="12"/>
      <c r="NT442" s="12"/>
      <c r="NU442" s="12"/>
      <c r="NV442" s="12"/>
      <c r="NW442" s="12"/>
      <c r="NX442" s="12"/>
      <c r="NY442" s="12"/>
      <c r="NZ442" s="12"/>
      <c r="OA442" s="12"/>
      <c r="OB442" s="12"/>
      <c r="OC442" s="12"/>
      <c r="OD442" s="12"/>
      <c r="OE442" s="12"/>
      <c r="OF442" s="12"/>
      <c r="OG442" s="12"/>
      <c r="OH442" s="12"/>
      <c r="OI442" s="12"/>
      <c r="OJ442" s="12"/>
      <c r="OK442" s="12"/>
      <c r="QD442" s="16"/>
    </row>
    <row r="443" spans="1:555" ht="15.75" thickBot="1" x14ac:dyDescent="0.3">
      <c r="A443" s="83" t="s">
        <v>2468</v>
      </c>
      <c r="B443" s="85" t="s">
        <v>2458</v>
      </c>
      <c r="P443" t="s">
        <v>1061</v>
      </c>
      <c r="T443" s="14" t="s">
        <v>2182</v>
      </c>
      <c r="U443">
        <v>5</v>
      </c>
      <c r="W443" t="s">
        <v>2485</v>
      </c>
      <c r="X443" t="str">
        <f>IF(COUNTIF(X$377:X442,X442)&gt;7,REPLACE(X442,LEN(X442),1,VALUE(RIGHT(X442,1))+1),X442)</f>
        <v>A3.15</v>
      </c>
      <c r="Y443" s="43">
        <f t="array" ref="Y443">IF(COUNTIFS($X$377:$X443,$X443)=1,"1",VALUE(SUBSTITUTE(INDEX(Y:Y,_xlfn.XMATCH($X443,$X$1:$X442,0,-1)),"A",""))+INDEX(Z:Z,_xlfn.XMATCH($X443,$X$1:$X442,0,-1))+1)</f>
        <v>2</v>
      </c>
      <c r="Z443" s="43">
        <f t="array" ref="Z443">SUM(IF(ISNUMBER(FIND("TmAi",$BE$1:$AAQ$1)),IF(IFERROR(ISODD(SUBSTITUTE($BE443:$AAQ443,"A","")),FALSE),IF(ISODD(SUBSTITUTE($BE443:$AAQ443,"A","")),1,0),0)))</f>
        <v>11</v>
      </c>
      <c r="AA443" t="str">
        <f t="shared" si="423"/>
        <v>3A</v>
      </c>
      <c r="AB443" t="str">
        <f t="shared" si="424"/>
        <v>3B</v>
      </c>
      <c r="AP443" t="s">
        <v>2184</v>
      </c>
      <c r="AR443" t="s">
        <v>2459</v>
      </c>
      <c r="AS443" t="s">
        <v>396</v>
      </c>
      <c r="JZ443" s="28"/>
      <c r="KA443" s="19"/>
      <c r="KB443" s="19"/>
      <c r="KC443" s="19"/>
      <c r="KD443" s="19"/>
      <c r="KE443" s="19"/>
      <c r="KF443" s="19"/>
      <c r="KG443" s="19"/>
      <c r="KH443" s="19"/>
      <c r="KI443" s="19"/>
      <c r="KJ443" s="19"/>
      <c r="KK443" s="19"/>
      <c r="KL443" s="19"/>
      <c r="KM443" s="19"/>
      <c r="KN443" s="19"/>
      <c r="KO443" s="19"/>
      <c r="KP443" s="19"/>
      <c r="KQ443" s="19"/>
      <c r="KR443" s="19"/>
      <c r="KS443" s="19"/>
      <c r="KT443" s="19"/>
      <c r="KU443" s="19"/>
      <c r="KV443" s="19"/>
      <c r="KW443" s="19"/>
      <c r="KX443" s="19"/>
      <c r="KY443" s="19"/>
      <c r="KZ443" s="19"/>
      <c r="LA443" s="19"/>
      <c r="LB443" s="19"/>
      <c r="LC443" s="19"/>
      <c r="LD443" s="19"/>
      <c r="LE443" s="19"/>
      <c r="LF443" s="19"/>
      <c r="LG443" s="19"/>
      <c r="LH443" s="19"/>
      <c r="LI443" s="19"/>
      <c r="LJ443" s="19"/>
      <c r="LK443" s="19"/>
      <c r="LL443" s="19"/>
      <c r="LM443" s="19"/>
      <c r="LN443" s="19"/>
      <c r="LO443" s="19"/>
      <c r="LP443" s="19"/>
      <c r="LQ443" s="19"/>
      <c r="LR443" s="19"/>
      <c r="LS443" s="19"/>
      <c r="LT443" s="19"/>
      <c r="LU443" s="19"/>
      <c r="LV443" s="19"/>
      <c r="LW443" s="19"/>
      <c r="LX443" s="19"/>
      <c r="LY443" s="19"/>
      <c r="LZ443" s="19"/>
      <c r="MA443" s="19" t="str">
        <f t="shared" si="410"/>
        <v>DI-</v>
      </c>
      <c r="MB443" s="19"/>
      <c r="MC443" s="19"/>
      <c r="MD443" s="19"/>
      <c r="ME443" s="19"/>
      <c r="MF443" s="19"/>
      <c r="MG443" s="19"/>
      <c r="MH443" s="19"/>
      <c r="MI443" s="19"/>
      <c r="MJ443" s="19"/>
      <c r="MK443" s="19"/>
      <c r="ML443" s="19"/>
      <c r="MM443" s="19"/>
      <c r="MN443" s="19"/>
      <c r="MO443" s="19"/>
      <c r="MP443" s="19"/>
      <c r="MQ443" s="19"/>
      <c r="MR443" s="19"/>
      <c r="MS443" s="19"/>
      <c r="MT443" s="19"/>
      <c r="MU443" s="19"/>
      <c r="MV443" s="19"/>
      <c r="MW443" s="19"/>
      <c r="MX443" s="19"/>
      <c r="MY443" s="19"/>
      <c r="MZ443" s="19"/>
      <c r="NA443" s="19"/>
      <c r="NB443" s="19"/>
      <c r="NC443" s="19"/>
      <c r="ND443" s="19"/>
      <c r="NE443" s="19"/>
      <c r="NF443" s="19"/>
      <c r="NG443" s="19"/>
      <c r="NH443" s="19"/>
      <c r="NI443" s="19"/>
      <c r="NJ443" s="19"/>
      <c r="NK443" s="19"/>
      <c r="NL443" s="19"/>
      <c r="NM443" s="19"/>
      <c r="NN443" s="19"/>
      <c r="NO443" s="19"/>
      <c r="NP443" s="19"/>
      <c r="NQ443" s="19"/>
      <c r="NR443" s="19"/>
      <c r="NS443" s="19"/>
      <c r="NT443" s="19"/>
      <c r="NU443" s="19"/>
      <c r="NV443" s="19"/>
      <c r="NW443" s="19"/>
      <c r="NX443" s="19"/>
      <c r="NY443" s="19"/>
      <c r="NZ443" s="19"/>
      <c r="OA443" s="19"/>
      <c r="OB443" s="19"/>
      <c r="OC443" s="19"/>
      <c r="OD443" s="19"/>
      <c r="OE443" s="19"/>
      <c r="OF443" s="19"/>
      <c r="OG443" s="19"/>
      <c r="OH443" s="19"/>
      <c r="OI443" s="19"/>
      <c r="OJ443" s="19"/>
      <c r="OK443" s="19"/>
      <c r="OL443" s="19"/>
      <c r="OM443" s="19"/>
      <c r="ON443" s="19"/>
      <c r="OO443" s="19"/>
      <c r="OP443" s="19"/>
      <c r="OQ443" s="19"/>
      <c r="OR443" s="19"/>
      <c r="OS443" s="19"/>
      <c r="OT443" s="19"/>
      <c r="OU443" s="19"/>
      <c r="OV443" s="19"/>
      <c r="OW443" s="19"/>
      <c r="OX443" s="19"/>
      <c r="OY443" s="19"/>
      <c r="OZ443" s="19"/>
      <c r="PA443" s="19"/>
      <c r="PB443" s="19"/>
      <c r="PC443" s="19"/>
      <c r="PD443" s="19"/>
      <c r="PE443" s="19"/>
      <c r="PF443" s="19"/>
      <c r="PG443" s="19"/>
      <c r="PH443" s="19"/>
      <c r="PI443" s="19"/>
      <c r="PJ443" s="19"/>
      <c r="PK443" s="19"/>
      <c r="PL443" s="19"/>
      <c r="PM443" s="19"/>
      <c r="PN443" s="19"/>
      <c r="PO443" s="19"/>
      <c r="PP443" s="19"/>
      <c r="PQ443" s="19"/>
      <c r="PR443" s="19"/>
      <c r="PS443" s="19"/>
      <c r="PT443" s="19"/>
      <c r="PU443" s="19"/>
      <c r="PV443" s="19"/>
      <c r="PW443" s="19"/>
      <c r="PX443" s="19"/>
      <c r="PY443" s="19"/>
      <c r="PZ443" s="19"/>
      <c r="QA443" s="19"/>
      <c r="QB443" s="19"/>
      <c r="QC443" s="19"/>
      <c r="QD443" s="19"/>
      <c r="QE443" s="23" t="str">
        <f>REPLACE(X443,FIND(".",X443)+1,3,MID(X443,FIND(".",X443)+1,3)+1)</f>
        <v>A3.16</v>
      </c>
      <c r="QF443" s="23" t="str">
        <f>CONCATENATE(VALUE(SUBSTITUTE($AB443,"B",""))+2,"B")</f>
        <v>5B</v>
      </c>
      <c r="QG443" s="23" t="str">
        <f>CONCATENATE(VALUE(SUBSTITUTE($AA443,"A",""))+2,"A")</f>
        <v>5A</v>
      </c>
      <c r="QH443" s="23" t="str">
        <f>CONCATENATE(VALUE(SUBSTITUTE(QF443,"B",""))+2,"B")</f>
        <v>7B</v>
      </c>
      <c r="QI443" s="23" t="str">
        <f>CONCATENATE(VALUE(SUBSTITUTE(QG443,"A",""))+2,"A")</f>
        <v>7A</v>
      </c>
      <c r="QJ443" s="23" t="str">
        <f>CONCATENATE(VALUE(SUBSTITUTE(QH443,"B",""))+2,"B")</f>
        <v>9B</v>
      </c>
      <c r="QK443" s="23" t="str">
        <f>CONCATENATE(VALUE(SUBSTITUTE(QI443,"A",""))+2,"A")</f>
        <v>9A</v>
      </c>
      <c r="QL443" s="23" t="str">
        <f>CONCATENATE(VALUE(SUBSTITUTE(QJ443,"B",""))+2,"B")</f>
        <v>11B</v>
      </c>
      <c r="QM443" s="23" t="str">
        <f>CONCATENATE(VALUE(SUBSTITUTE(QK443,"A",""))+2,"A")</f>
        <v>11A</v>
      </c>
      <c r="QN443" s="23" t="str">
        <f>CONCATENATE(VALUE(SUBSTITUTE(QL443,"B",""))+2,"B")</f>
        <v>13B</v>
      </c>
      <c r="QO443" s="23" t="str">
        <f>CONCATENATE(VALUE(SUBSTITUTE(QM443,"A",""))+2,"A")</f>
        <v>13A</v>
      </c>
      <c r="QP443" s="23" t="s">
        <v>135</v>
      </c>
      <c r="QQ443" s="23" t="s">
        <v>136</v>
      </c>
      <c r="QR443" s="23" t="str">
        <f>CONCATENATE(VALUE(SUBSTITUTE(QP443,"B",""))+2,"B")</f>
        <v>3B</v>
      </c>
      <c r="QS443" s="23" t="str">
        <f>CONCATENATE(VALUE(SUBSTITUTE(QQ443,"A",""))+2,"A")</f>
        <v>3A</v>
      </c>
      <c r="QT443" s="23" t="str">
        <f>CONCATENATE(VALUE(SUBSTITUTE(QR443,"B",""))+2,"B")</f>
        <v>5B</v>
      </c>
      <c r="QU443" s="23" t="str">
        <f>CONCATENATE(VALUE(SUBSTITUTE(QS443,"A",""))+2,"A")</f>
        <v>5A</v>
      </c>
      <c r="QV443" s="23" t="str">
        <f>CONCATENATE(VALUE(SUBSTITUTE(QT443,"B",""))+2,"B")</f>
        <v>7B</v>
      </c>
      <c r="QW443" s="23" t="str">
        <f>CONCATENATE(VALUE(SUBSTITUTE(QU443,"A",""))+2,"A")</f>
        <v>7A</v>
      </c>
      <c r="QX443" s="23" t="str">
        <f>CONCATENATE(VALUE(SUBSTITUTE(QV443,"B",""))+2,"B")</f>
        <v>9B</v>
      </c>
      <c r="QY443" s="23" t="str">
        <f>CONCATENATE(VALUE(SUBSTITUTE(QW443,"A",""))+2,"A")</f>
        <v>9A</v>
      </c>
      <c r="QZ443" s="23" t="str">
        <f>CONCATENATE(VALUE(SUBSTITUTE(QX443,"B",""))+2,"B")</f>
        <v>11B</v>
      </c>
      <c r="RA443" s="23" t="str">
        <f>CONCATENATE(VALUE(SUBSTITUTE(QY443,"A",""))+2,"A")</f>
        <v>11A</v>
      </c>
      <c r="RB443" s="23" t="str">
        <f>CONCATENATE($T443,"-AI",REPLACE($X443,1,3,""),"-",AB443)</f>
        <v>N1-AI15-3B</v>
      </c>
      <c r="RC443" s="23" t="str">
        <f>CONCATENATE($T443,"-AI",REPLACE($X443,1,3,""),"-",AA443)</f>
        <v>N1-AI15-3A</v>
      </c>
      <c r="RD443" s="23" t="str">
        <f t="shared" ref="RD443:RM443" si="437">CONCATENATE($T443,"-AI",REPLACE($X443,1,3,""),"-",QF443)</f>
        <v>N1-AI15-5B</v>
      </c>
      <c r="RE443" s="23" t="str">
        <f t="shared" si="437"/>
        <v>N1-AI15-5A</v>
      </c>
      <c r="RF443" s="23" t="str">
        <f t="shared" si="437"/>
        <v>N1-AI15-7B</v>
      </c>
      <c r="RG443" s="23" t="str">
        <f t="shared" si="437"/>
        <v>N1-AI15-7A</v>
      </c>
      <c r="RH443" s="23" t="str">
        <f t="shared" si="437"/>
        <v>N1-AI15-9B</v>
      </c>
      <c r="RI443" s="23" t="str">
        <f t="shared" si="437"/>
        <v>N1-AI15-9A</v>
      </c>
      <c r="RJ443" s="23" t="str">
        <f t="shared" si="437"/>
        <v>N1-AI15-11B</v>
      </c>
      <c r="RK443" s="23" t="str">
        <f t="shared" si="437"/>
        <v>N1-AI15-11A</v>
      </c>
      <c r="RL443" s="23" t="str">
        <f t="shared" si="437"/>
        <v>N1-AI15-13B</v>
      </c>
      <c r="RM443" s="23" t="str">
        <f t="shared" si="437"/>
        <v>N1-AI15-13A</v>
      </c>
      <c r="RN443" s="23" t="str">
        <f t="shared" ref="RN443:RY443" si="438">CONCATENATE($T443,"-AI",REPLACE($QE443,1,3,""),"-",QP443)</f>
        <v>N1-AI16-1B</v>
      </c>
      <c r="RO443" s="23" t="str">
        <f t="shared" si="438"/>
        <v>N1-AI16-1A</v>
      </c>
      <c r="RP443" s="23" t="str">
        <f t="shared" si="438"/>
        <v>N1-AI16-3B</v>
      </c>
      <c r="RQ443" s="23" t="str">
        <f t="shared" si="438"/>
        <v>N1-AI16-3A</v>
      </c>
      <c r="RR443" s="23" t="str">
        <f t="shared" si="438"/>
        <v>N1-AI16-5B</v>
      </c>
      <c r="RS443" s="23" t="str">
        <f t="shared" si="438"/>
        <v>N1-AI16-5A</v>
      </c>
      <c r="RT443" s="23" t="str">
        <f t="shared" si="438"/>
        <v>N1-AI16-7B</v>
      </c>
      <c r="RU443" s="23" t="str">
        <f t="shared" si="438"/>
        <v>N1-AI16-7A</v>
      </c>
      <c r="RV443" s="23" t="str">
        <f t="shared" si="438"/>
        <v>N1-AI16-9B</v>
      </c>
      <c r="RW443" s="23" t="str">
        <f t="shared" si="438"/>
        <v>N1-AI16-9A</v>
      </c>
      <c r="RX443" s="23" t="str">
        <f t="shared" si="438"/>
        <v>N1-AI16-11B</v>
      </c>
      <c r="RY443" s="23" t="str">
        <f t="shared" si="438"/>
        <v>N1-AI16-11A</v>
      </c>
      <c r="RZ443" s="23" t="str">
        <f>CONCATENATE("XT",$U443)</f>
        <v>XT5</v>
      </c>
      <c r="SA443" s="23">
        <v>25</v>
      </c>
      <c r="SB443" s="23">
        <f>SA443+1</f>
        <v>26</v>
      </c>
      <c r="SC443" s="23">
        <f t="shared" ref="SC443:SX443" si="439">SB443+1</f>
        <v>27</v>
      </c>
      <c r="SD443" s="23">
        <f t="shared" si="439"/>
        <v>28</v>
      </c>
      <c r="SE443" s="23">
        <f t="shared" si="439"/>
        <v>29</v>
      </c>
      <c r="SF443" s="23">
        <f t="shared" si="439"/>
        <v>30</v>
      </c>
      <c r="SG443" s="23">
        <f t="shared" si="439"/>
        <v>31</v>
      </c>
      <c r="SH443" s="23">
        <f t="shared" si="439"/>
        <v>32</v>
      </c>
      <c r="SI443" s="23">
        <f t="shared" si="439"/>
        <v>33</v>
      </c>
      <c r="SJ443" s="23">
        <f t="shared" si="439"/>
        <v>34</v>
      </c>
      <c r="SK443" s="23">
        <f t="shared" si="439"/>
        <v>35</v>
      </c>
      <c r="SL443" s="23">
        <f t="shared" si="439"/>
        <v>36</v>
      </c>
      <c r="SM443" s="23">
        <f t="shared" si="439"/>
        <v>37</v>
      </c>
      <c r="SN443" s="23">
        <f t="shared" si="439"/>
        <v>38</v>
      </c>
      <c r="SO443" s="23">
        <f t="shared" si="439"/>
        <v>39</v>
      </c>
      <c r="SP443" s="23">
        <f t="shared" si="439"/>
        <v>40</v>
      </c>
      <c r="SQ443" s="23">
        <f t="shared" si="439"/>
        <v>41</v>
      </c>
      <c r="SR443" s="23">
        <f t="shared" si="439"/>
        <v>42</v>
      </c>
      <c r="SS443" s="23">
        <f t="shared" si="439"/>
        <v>43</v>
      </c>
      <c r="ST443" s="23">
        <f t="shared" si="439"/>
        <v>44</v>
      </c>
      <c r="SU443" s="23">
        <f t="shared" si="439"/>
        <v>45</v>
      </c>
      <c r="SV443" s="23">
        <f t="shared" si="439"/>
        <v>46</v>
      </c>
      <c r="SW443" s="23">
        <f t="shared" si="439"/>
        <v>47</v>
      </c>
      <c r="SX443" s="23">
        <f t="shared" si="439"/>
        <v>48</v>
      </c>
      <c r="SY443" s="23">
        <f>SX443+1</f>
        <v>49</v>
      </c>
      <c r="SZ443" s="23" t="s">
        <v>2469</v>
      </c>
      <c r="TA443" s="23" t="s">
        <v>2470</v>
      </c>
      <c r="TB443" s="23" t="s">
        <v>2471</v>
      </c>
      <c r="TC443" s="23" t="s">
        <v>2472</v>
      </c>
      <c r="TD443" s="23" t="s">
        <v>2473</v>
      </c>
      <c r="TE443" s="23" t="s">
        <v>2474</v>
      </c>
      <c r="TF443" s="23" t="s">
        <v>2475</v>
      </c>
      <c r="TG443" s="23" t="s">
        <v>2476</v>
      </c>
      <c r="TH443" s="23" t="s">
        <v>2477</v>
      </c>
      <c r="TI443" s="23" t="s">
        <v>2478</v>
      </c>
      <c r="TJ443" s="23" t="s">
        <v>2479</v>
      </c>
      <c r="TK443" s="23" t="s">
        <v>2480</v>
      </c>
      <c r="TL443" s="23" t="s">
        <v>1059</v>
      </c>
      <c r="TM443" s="23" t="s">
        <v>1128</v>
      </c>
      <c r="TN443" s="23" t="s">
        <v>1129</v>
      </c>
      <c r="TO443" s="23" t="s">
        <v>1130</v>
      </c>
      <c r="TP443" s="23" t="s">
        <v>1132</v>
      </c>
      <c r="TQ443" s="23" t="s">
        <v>1131</v>
      </c>
      <c r="TR443" s="23" t="s">
        <v>1133</v>
      </c>
      <c r="TS443" s="23" t="s">
        <v>1134</v>
      </c>
      <c r="TT443" s="23" t="s">
        <v>1135</v>
      </c>
      <c r="TU443" s="23" t="s">
        <v>1136</v>
      </c>
      <c r="TV443" s="23" t="s">
        <v>1137</v>
      </c>
      <c r="TW443" s="24" t="s">
        <v>1138</v>
      </c>
    </row>
    <row r="444" spans="1:555" ht="30.75" thickBot="1" x14ac:dyDescent="0.3">
      <c r="A444" s="83" t="s">
        <v>2487</v>
      </c>
      <c r="B444" s="83" t="s">
        <v>2488</v>
      </c>
      <c r="P444" t="s">
        <v>1939</v>
      </c>
      <c r="T444" s="27" t="s">
        <v>2182</v>
      </c>
      <c r="U444">
        <v>58</v>
      </c>
      <c r="V444" t="s">
        <v>2487</v>
      </c>
      <c r="AP444" t="s">
        <v>2184</v>
      </c>
      <c r="AQ444" t="s">
        <v>2489</v>
      </c>
      <c r="MA444" t="str">
        <f t="shared" si="410"/>
        <v>DI-</v>
      </c>
      <c r="TX444" s="63" t="s">
        <v>1947</v>
      </c>
      <c r="TY444" s="23" t="s">
        <v>1948</v>
      </c>
      <c r="TZ444" s="23" t="s">
        <v>1949</v>
      </c>
      <c r="UA444" s="23" t="s">
        <v>1950</v>
      </c>
      <c r="UB444" s="23" t="s">
        <v>1951</v>
      </c>
      <c r="UC444" s="23" t="s">
        <v>1952</v>
      </c>
      <c r="UD444" s="23" t="s">
        <v>1953</v>
      </c>
      <c r="UE444" s="23" t="s">
        <v>1954</v>
      </c>
      <c r="UF444" s="23" t="str">
        <f>CONCATENATE("XT",$U444)</f>
        <v>XT58</v>
      </c>
      <c r="UG444" s="23">
        <v>1</v>
      </c>
      <c r="UH444" s="23">
        <f>UG444+1</f>
        <v>2</v>
      </c>
      <c r="UI444" s="24">
        <f>UH444+1</f>
        <v>3</v>
      </c>
    </row>
    <row r="445" spans="1:555" x14ac:dyDescent="0.25">
      <c r="A445" s="83" t="s">
        <v>2498</v>
      </c>
      <c r="B445" s="83" t="s">
        <v>2499</v>
      </c>
      <c r="C445" t="s">
        <v>498</v>
      </c>
      <c r="P445" t="s">
        <v>482</v>
      </c>
      <c r="T445" s="14" t="s">
        <v>2182</v>
      </c>
      <c r="U445">
        <v>1</v>
      </c>
      <c r="V445" t="s">
        <v>2500</v>
      </c>
      <c r="X445" t="s">
        <v>917</v>
      </c>
      <c r="Y445" s="43" t="str">
        <f t="array" ref="Y445">IF(COUNTIFS($X$377:$X445,$X445)=1,"1",VALUE(SUBSTITUTE(INDEX(Y:Y,_xlfn.XMATCH($X445,$X$1:$X444,0,-1)),"A",""))+INDEX(Z:Z,_xlfn.XMATCH($X445,$X$1:$X444,0,-1))+1)</f>
        <v>1</v>
      </c>
      <c r="Z445" s="43">
        <f t="array" ref="Z445">SUM(IF(ISNUMBER(FIND("TmAi",$BE$1:$AAQ$1)),IF(IFERROR(ISODD(SUBSTITUTE($BE445:$AAQ445,"A","")),FALSE),IF(ISODD(SUBSTITUTE($BE445:$AAQ445,"A","")),1,0),0)))</f>
        <v>0</v>
      </c>
      <c r="AA445" t="str">
        <f>CONCATENATE($Y445*2-1,"B")</f>
        <v>1B</v>
      </c>
      <c r="AB445" t="str">
        <f>CONCATENATE($Y445*2,"B")</f>
        <v>2B</v>
      </c>
      <c r="AP445" t="s">
        <v>2184</v>
      </c>
      <c r="AS445" t="s">
        <v>396</v>
      </c>
      <c r="JZ445" s="27" t="str">
        <f>CONCATENATE("XT",U445)</f>
        <v>XT1</v>
      </c>
      <c r="KC445" t="str">
        <f>CONCATENATE(T445,"-AI",REPLACE($X445,1,3,""),"-",AA445)</f>
        <v>N1-AI17-1B</v>
      </c>
      <c r="KD445" t="str">
        <f>CONCATENATE(T445,"-AI",REPLACE($X445,1,3,""),"-",AB445)</f>
        <v>N1-AI17-2B</v>
      </c>
      <c r="KI445">
        <f t="array" ref="KI445">IF(COUNTIFS($U$2:$U445,$U445)=1,1,INDEX(KI:KI,_xlfn.XMATCH(U445,U$1:U444,0,-1))+COUNT(KI423:KM423))</f>
        <v>142</v>
      </c>
      <c r="KJ445">
        <f>KI445+1</f>
        <v>143</v>
      </c>
      <c r="KK445">
        <f>KJ445+1</f>
        <v>144</v>
      </c>
      <c r="KN445">
        <v>1</v>
      </c>
      <c r="KO445" s="16">
        <v>2</v>
      </c>
      <c r="KS445" s="16"/>
      <c r="MA445" t="str">
        <f t="shared" si="410"/>
        <v>DI-</v>
      </c>
    </row>
    <row r="446" spans="1:555" ht="15.75" thickBot="1" x14ac:dyDescent="0.3">
      <c r="A446" s="83" t="s">
        <v>2501</v>
      </c>
      <c r="B446" s="83" t="s">
        <v>2502</v>
      </c>
      <c r="C446" t="s">
        <v>498</v>
      </c>
      <c r="P446" t="s">
        <v>482</v>
      </c>
      <c r="T446" s="14" t="s">
        <v>2182</v>
      </c>
      <c r="U446">
        <v>1</v>
      </c>
      <c r="V446" t="s">
        <v>2503</v>
      </c>
      <c r="X446" t="str">
        <f>IF(COUNTIF(X$377:X445,X445)&gt;7,REPLACE(X445,LEN(X445),1,VALUE(RIGHT(X445,1))+1),X445)</f>
        <v>A3.17</v>
      </c>
      <c r="Y446" s="43">
        <f t="array" ref="Y446">IF(COUNTIFS($X$377:$X446,$X446)=1,"1",VALUE(SUBSTITUTE(INDEX(Y:Y,_xlfn.XMATCH($X446,$X$1:$X445,0,-1)),"A",""))+INDEX(Z:Z,_xlfn.XMATCH($X446,$X$1:$X445,0,-1))+1)</f>
        <v>2</v>
      </c>
      <c r="Z446" s="43">
        <f t="array" ref="Z446">SUM(IF(ISNUMBER(FIND("TmAi",$BE$1:$AAQ$1)),IF(IFERROR(ISODD(SUBSTITUTE($BE446:$AAQ446,"A","")),FALSE),IF(ISODD(SUBSTITUTE($BE446:$AAQ446,"A","")),1,0),0)))</f>
        <v>0</v>
      </c>
      <c r="AA446" t="str">
        <f>CONCATENATE($Y446*2-1,"B")</f>
        <v>3B</v>
      </c>
      <c r="AB446" t="str">
        <f>CONCATENATE($Y446*2,"B")</f>
        <v>4B</v>
      </c>
      <c r="AP446" t="s">
        <v>2184</v>
      </c>
      <c r="AS446" t="s">
        <v>396</v>
      </c>
      <c r="JZ446" s="27" t="str">
        <f>CONCATENATE("XT",U446)</f>
        <v>XT1</v>
      </c>
      <c r="KC446" t="str">
        <f>CONCATENATE(T446,"-AI",REPLACE($X446,1,3,""),"-",AA446)</f>
        <v>N1-AI17-3B</v>
      </c>
      <c r="KD446" t="str">
        <f>CONCATENATE(T446,"-AI",REPLACE($X446,1,3,""),"-",AB446)</f>
        <v>N1-AI17-4B</v>
      </c>
      <c r="KI446">
        <f t="array" ref="KI446">IF(COUNTIFS($U$2:$U446,$U446)=1,1,INDEX(KI:KI,_xlfn.XMATCH(U446,U$1:U445,0,-1))+COUNT(KI445:KM445))</f>
        <v>145</v>
      </c>
      <c r="KJ446">
        <f>KI446+1</f>
        <v>146</v>
      </c>
      <c r="KK446">
        <f>KJ446+1</f>
        <v>147</v>
      </c>
      <c r="KN446">
        <v>1</v>
      </c>
      <c r="KO446" s="16">
        <v>2</v>
      </c>
      <c r="KS446" s="16"/>
      <c r="MA446" t="str">
        <f t="shared" si="410"/>
        <v>DI-</v>
      </c>
    </row>
    <row r="447" spans="1:555" ht="30.75" thickBot="1" x14ac:dyDescent="0.3">
      <c r="A447" s="83" t="s">
        <v>2677</v>
      </c>
      <c r="B447" s="83" t="s">
        <v>2678</v>
      </c>
      <c r="P447" t="s">
        <v>1939</v>
      </c>
      <c r="T447" s="27" t="s">
        <v>2182</v>
      </c>
      <c r="U447">
        <v>58</v>
      </c>
      <c r="V447" t="s">
        <v>2677</v>
      </c>
      <c r="AP447" t="s">
        <v>2184</v>
      </c>
      <c r="AQ447" t="s">
        <v>2710</v>
      </c>
      <c r="MA447" t="str">
        <f t="shared" si="410"/>
        <v>DI-</v>
      </c>
      <c r="TX447" s="63" t="s">
        <v>1958</v>
      </c>
      <c r="TY447" s="23" t="s">
        <v>1948</v>
      </c>
      <c r="TZ447" s="23" t="s">
        <v>1949</v>
      </c>
      <c r="UA447" s="23" t="s">
        <v>1950</v>
      </c>
      <c r="UB447" s="23" t="s">
        <v>1951</v>
      </c>
      <c r="UC447" s="23" t="s">
        <v>1955</v>
      </c>
      <c r="UD447" s="23" t="s">
        <v>1956</v>
      </c>
      <c r="UE447" s="23" t="s">
        <v>1957</v>
      </c>
      <c r="UF447" s="23" t="str">
        <f>CONCATENATE("XT",$U447)</f>
        <v>XT58</v>
      </c>
      <c r="UG447" s="23">
        <v>4</v>
      </c>
      <c r="UH447" s="23">
        <f>UG447+1</f>
        <v>5</v>
      </c>
      <c r="UI447" s="24">
        <f>UH447+1</f>
        <v>6</v>
      </c>
    </row>
    <row r="448" spans="1:555" x14ac:dyDescent="0.25">
      <c r="A448" s="83" t="s">
        <v>2506</v>
      </c>
      <c r="B448" s="83" t="s">
        <v>2505</v>
      </c>
      <c r="C448" s="3"/>
      <c r="O448" s="2"/>
      <c r="P448" t="s">
        <v>129</v>
      </c>
      <c r="Q448" s="1"/>
      <c r="S448" s="1" t="s">
        <v>130</v>
      </c>
      <c r="T448" s="14" t="s">
        <v>2182</v>
      </c>
      <c r="U448" s="59">
        <v>6</v>
      </c>
      <c r="V448" s="15" t="s">
        <v>2507</v>
      </c>
      <c r="W448" s="15"/>
      <c r="AC448" t="s">
        <v>131</v>
      </c>
      <c r="AD448" s="43">
        <v>1</v>
      </c>
      <c r="AE448" s="43">
        <f t="array" ref="AE448">SUM(IF(ISNUMBER(FIND("TmDi",$BE$1:$AAQ$1)),IF(IFERROR(ISNUMBER(VALUE(SUBSTITUTE($BE448:$AAQ448,"B",""))),FALSE),IF(ISNUMBER(VALUE(SUBSTITUTE($BE448:$AAQ448,"B",""))),1,0),0)))</f>
        <v>5</v>
      </c>
      <c r="AF448" t="str">
        <f t="shared" ref="AF448:AF539" si="440">CONCATENATE("C",$AD448)</f>
        <v>C1</v>
      </c>
      <c r="AG448" t="str">
        <f t="shared" ref="AG448:AG539" si="441">CONCATENATE("B",$AD448)</f>
        <v>B1</v>
      </c>
      <c r="AH448" t="s">
        <v>132</v>
      </c>
      <c r="AI448" s="62">
        <v>1</v>
      </c>
      <c r="AJ448" s="62">
        <f t="array" ref="AJ448">SUM(IF(ISNUMBER(FIND("TmDo",$BE$1:$AAQ$1)),IF(IFERROR(ISNUMBER(VALUE(SUBSTITUTE($BE448:$AAQ448,"B",""))),FALSE),IF(ISNUMBER(VALUE(SUBSTITUTE($BE448:$AAQ448,"B",""))),1,0),0)))</f>
        <v>2</v>
      </c>
      <c r="AK448" t="str">
        <f t="shared" ref="AK448:AK479" si="442">CONCATENATE($AI448,"A")</f>
        <v>1A</v>
      </c>
      <c r="AL448" t="str">
        <f t="shared" ref="AL448:AL479" si="443">CONCATENATE($AI448,"B")</f>
        <v>1B</v>
      </c>
      <c r="AM448" t="s">
        <v>141</v>
      </c>
      <c r="AP448" t="s">
        <v>2184</v>
      </c>
      <c r="AQ448" t="s">
        <v>2508</v>
      </c>
      <c r="AT448" t="s">
        <v>139</v>
      </c>
      <c r="AU448" t="s">
        <v>140</v>
      </c>
      <c r="BD448" s="16"/>
      <c r="BE448" s="25" t="str">
        <f t="shared" ref="BE448:BE457" si="444">CONCATENATE("XT",U448)</f>
        <v>XT6</v>
      </c>
      <c r="BF448" s="12" t="str">
        <f t="shared" ref="BF448:BF457" si="445">CONCATENATE("C",REPLACE(AF448,1,1,"")+1)</f>
        <v>C2</v>
      </c>
      <c r="BG448" s="12" t="str">
        <f t="shared" ref="BG448:BG457" si="446">CONCATENATE("B",REPLACE(AG448,1,1,"")+1)</f>
        <v>B2</v>
      </c>
      <c r="BH448" s="12" t="str">
        <f t="shared" ref="BH448:BH457" si="447">CONCATENATE("C",REPLACE(BF448,1,1,"")+1)</f>
        <v>C3</v>
      </c>
      <c r="BI448" s="12" t="str">
        <f t="shared" ref="BI448:BI457" si="448">CONCATENATE("B",REPLACE(BG448,1,1,"")+1)</f>
        <v>B3</v>
      </c>
      <c r="BJ448" s="12" t="str">
        <f t="shared" ref="BJ448:BJ457" si="449">CONCATENATE("C",REPLACE(BH448,1,1,"")+1)</f>
        <v>C4</v>
      </c>
      <c r="BK448" s="12" t="str">
        <f t="shared" ref="BK448:BK457" si="450">CONCATENATE("B",REPLACE(BI448,1,1,"")+1)</f>
        <v>B4</v>
      </c>
      <c r="BL448" s="12" t="str">
        <f t="shared" ref="BL448:BL457" si="451">CONCATENATE("C",REPLACE(BJ448,1,1,"")+1)</f>
        <v>C5</v>
      </c>
      <c r="BM448" s="12" t="str">
        <f t="shared" ref="BM448:BM457" si="452">CONCATENATE("B",REPLACE(BK448,1,1,"")+1)</f>
        <v>B5</v>
      </c>
      <c r="BN448" s="12" t="str">
        <f t="shared" ref="BN448:BN457" si="453">CONCATENATE("C",REPLACE(BL448,1,1,"")+1)</f>
        <v>C6</v>
      </c>
      <c r="BO448" s="12" t="str">
        <f t="shared" ref="BO448:BO457" si="454">CONCATENATE("B",REPLACE(BM448,1,1,"")+1)</f>
        <v>B6</v>
      </c>
      <c r="BP448" s="12" t="str">
        <f t="shared" ref="BP448:BP490" si="455">CONCATENATE(REPLACE(AK448,LEN(AK448),1,"")+1,"A")</f>
        <v>2A</v>
      </c>
      <c r="BQ448" s="12" t="str">
        <f t="shared" ref="BQ448:BQ490" si="456">CONCATENATE(REPLACE(AL448,LEN(AL448),1,"")+1,"B")</f>
        <v>2B</v>
      </c>
      <c r="BR448" s="12" t="str">
        <f t="shared" ref="BR448:BR490" si="457">CONCATENATE(REPLACE(BP448,LEN(BP448),1,"")+1,"A")</f>
        <v>3A</v>
      </c>
      <c r="BS448" s="12" t="str">
        <f t="shared" ref="BS448:BS490" si="458">CONCATENATE(REPLACE(BQ448,LEN(BQ448),1,"")+1,"B")</f>
        <v>3B</v>
      </c>
      <c r="BT448" s="12" t="str">
        <f t="shared" ref="BT448:BT457" si="459">CONCATENATE("DI",REPLACE($AC448,1,3,""),"-",AF448)</f>
        <v>DI1-C1</v>
      </c>
      <c r="BU448" s="12" t="str">
        <f t="shared" ref="BU448:BU457" si="460">CONCATENATE("DI",REPLACE($AC448,1,3,""),"-",AG448)</f>
        <v>DI1-B1</v>
      </c>
      <c r="BV448" s="12" t="str">
        <f t="shared" ref="BV448:BV457" si="461">CONCATENATE("DI",REPLACE($AC448,1,3,""),"-",BF448)</f>
        <v>DI1-C2</v>
      </c>
      <c r="BW448" s="12" t="str">
        <f t="shared" ref="BW448:BW457" si="462">CONCATENATE("DI",REPLACE($AC448,1,3,""),"-",BG448)</f>
        <v>DI1-B2</v>
      </c>
      <c r="BX448" s="12" t="str">
        <f t="shared" ref="BX448:BX457" si="463">CONCATENATE("DI",REPLACE($AC448,1,3,""),"-",BH448)</f>
        <v>DI1-C3</v>
      </c>
      <c r="BY448" s="12" t="str">
        <f t="shared" ref="BY448:BY457" si="464">CONCATENATE("DI",REPLACE($AC448,1,3,""),"-",BI448)</f>
        <v>DI1-B3</v>
      </c>
      <c r="BZ448" s="12" t="str">
        <f t="shared" ref="BZ448:BZ457" si="465">CONCATENATE("DI",REPLACE($AC448,1,3,""),"-",BJ448)</f>
        <v>DI1-C4</v>
      </c>
      <c r="CA448" s="12" t="str">
        <f t="shared" ref="CA448:CA457" si="466">CONCATENATE("DI",REPLACE($AC448,1,3,""),"-",BK448)</f>
        <v>DI1-B4</v>
      </c>
      <c r="CB448" s="12" t="str">
        <f t="shared" ref="CB448:CB457" si="467">CONCATENATE("DI",REPLACE($AC448,1,3,""),"-",BL448)</f>
        <v>DI1-C5</v>
      </c>
      <c r="CC448" s="12" t="str">
        <f t="shared" ref="CC448:CC457" si="468">CONCATENATE("DI",REPLACE($AC448,1,3,""),"-",BM448)</f>
        <v>DI1-B5</v>
      </c>
      <c r="CD448" s="12" t="str">
        <f t="shared" ref="CD448:CD457" si="469">CONCATENATE("DI",REPLACE($AC448,1,3,""),"-",BN448)</f>
        <v>DI1-C6</v>
      </c>
      <c r="CE448" s="12" t="str">
        <f t="shared" ref="CE448:CE457" si="470">CONCATENATE("DI",REPLACE($AC448,1,3,""),"-",BO448)</f>
        <v>DI1-B6</v>
      </c>
      <c r="CF448" s="12" t="str">
        <f t="shared" ref="CF448:CF457" si="471">CONCATENATE("DO",REPLACE($AH448,1,3,""),"-",AK448)</f>
        <v>DO1-1A</v>
      </c>
      <c r="CG448" s="12" t="str">
        <f t="shared" ref="CG448:CG457" si="472">CONCATENATE("DO",REPLACE($AH448,1,3,""),"-",AL448)</f>
        <v>DO1-1B</v>
      </c>
      <c r="CH448" s="12" t="str">
        <f t="shared" ref="CH448:CH457" si="473">CONCATENATE("DO",REPLACE($AH448,1,3,""),"-",BP448)</f>
        <v>DO1-2A</v>
      </c>
      <c r="CI448" s="12" t="str">
        <f t="shared" ref="CI448:CI457" si="474">CONCATENATE("DO",REPLACE($AH448,1,3,""),"-",BQ448)</f>
        <v>DO1-2B</v>
      </c>
      <c r="CJ448" s="12" t="str">
        <f t="shared" ref="CJ448:CJ457" si="475">CONCATENATE("DO",REPLACE($AH448,1,3,""),"-",BR448)</f>
        <v>DO1-3A</v>
      </c>
      <c r="CK448" s="12" t="str">
        <f t="shared" ref="CK448:CK457" si="476">CONCATENATE("DO",REPLACE($AH448,1,3,""),"-",BS448)</f>
        <v>DO1-3B</v>
      </c>
      <c r="CL448" s="12" t="str">
        <f t="shared" ref="CL448:CL490" si="477">CONCATENATE("K",$U448,"-10")</f>
        <v>K6-10</v>
      </c>
      <c r="CM448" s="12" t="str">
        <f t="shared" ref="CM448:CM490" si="478">CONCATENATE("K",$U448,"-03")</f>
        <v>K6-03</v>
      </c>
      <c r="CN448" s="12" t="str">
        <f t="shared" ref="CN448:CN490" si="479">CONCATENATE("K",$U448,"-04")</f>
        <v>K6-04</v>
      </c>
      <c r="CO448" s="12" t="str">
        <f t="shared" ref="CO448:CO490" si="480">CONCATENATE("K",$U448,"-01")</f>
        <v>K6-01</v>
      </c>
      <c r="CP448" s="12" t="str">
        <f t="shared" ref="CP448:CP490" si="481">CONCATENATE("K",$U448,"-08")</f>
        <v>K6-08</v>
      </c>
      <c r="CQ448" s="12" t="str">
        <f t="shared" ref="CQ448:CQ490" si="482">CONCATENATE("K",$U448,"-02")</f>
        <v>K6-02</v>
      </c>
      <c r="CR448" s="12" t="str">
        <f t="shared" ref="CR448:CR490" si="483">CONCATENATE("K",$U448,"-09")</f>
        <v>K6-09</v>
      </c>
      <c r="CS448" s="12" t="str">
        <f t="shared" ref="CS448:CS490" si="484">CONCATENATE("K",$U448,"-05")</f>
        <v>K6-05</v>
      </c>
      <c r="CT448" s="12" t="str">
        <f t="shared" ref="CT448:CT490" si="485">CONCATENATE("K",$U448,"-11")</f>
        <v>K6-11</v>
      </c>
      <c r="CU448" s="12" t="str">
        <f t="shared" ref="CU448:CU490" si="486">CONCATENATE($T448,"-M",$U448,"-A9")</f>
        <v>N1-M6-A9</v>
      </c>
      <c r="CV448" s="12" t="str">
        <f t="shared" ref="CV448:CV490" si="487">CONCATENATE($T448,"-M",$U448,"-A7")</f>
        <v>N1-M6-A7</v>
      </c>
      <c r="CW448" s="12" t="str">
        <f t="shared" ref="CW448:CW490" si="488">CONCATENATE($T448,"-M",$U448,"-A8")</f>
        <v>N1-M6-A8</v>
      </c>
      <c r="CX448" s="12" t="str">
        <f t="shared" ref="CX448:CX490" si="489">CONCATENATE($T448,"-M",$U448,"-A6")</f>
        <v>N1-M6-A6</v>
      </c>
      <c r="CY448" s="12" t="str">
        <f t="shared" ref="CY448:CY490" si="490">CONCATENATE($T448,"-M",$U448,"-A30")</f>
        <v>N1-M6-A30</v>
      </c>
      <c r="CZ448" s="12" t="str">
        <f t="shared" ref="CZ448:CZ490" si="491">CONCATENATE($T448,"-M",$U448,"-N")</f>
        <v>N1-M6-N</v>
      </c>
      <c r="DA448" s="12" t="str">
        <f t="shared" ref="DA448:DA457" si="492">CONCATENATE($T448,"-A220-M",U448)</f>
        <v>N1-A220-M6</v>
      </c>
      <c r="DB448" s="12" t="str">
        <f t="shared" ref="DB448:DB490" si="493">CONCATENATE($T448,"-M",$U448,"-XM01")</f>
        <v>N1-M6-XM01</v>
      </c>
      <c r="DC448" s="12" t="str">
        <f t="shared" ref="DC448:DC490" si="494">CONCATENATE($T448,"-M",$U448,"-A1")</f>
        <v>N1-M6-A1</v>
      </c>
      <c r="DD448" s="12" t="str">
        <f t="shared" ref="DD448:DD490" si="495">CONCATENATE($T448,"-M",$U448,"-A5")</f>
        <v>N1-M6-A5</v>
      </c>
      <c r="DE448" s="12" t="str">
        <f t="shared" ref="DE448:DE490" si="496">CONCATENATE($T448,"-M",$U448,"-A11")</f>
        <v>N1-M6-A11</v>
      </c>
      <c r="DF448" s="12" t="str">
        <f t="shared" ref="DF448:DF490" si="497">CONCATENATE($T448,"-M",$U448,"-A12")</f>
        <v>N1-M6-A12</v>
      </c>
      <c r="DG448" s="12" t="str">
        <f t="shared" ref="DG448:DG490" si="498">CONCATENATE($T448,"-M",$U448,"-A19")</f>
        <v>N1-M6-A19</v>
      </c>
      <c r="DH448" s="12" t="str">
        <f t="shared" ref="DH448:DH490" si="499">CONCATENATE($T448,"-M",$U448,"-A20")</f>
        <v>N1-M6-A20</v>
      </c>
      <c r="DI448" s="12" t="s">
        <v>142</v>
      </c>
      <c r="DJ448" s="12" t="s">
        <v>143</v>
      </c>
      <c r="DK448" s="12">
        <v>11</v>
      </c>
      <c r="DL448" s="12">
        <v>14</v>
      </c>
      <c r="DM448" s="12">
        <v>12</v>
      </c>
      <c r="DN448" s="12" t="s">
        <v>144</v>
      </c>
      <c r="DO448" s="12" t="s">
        <v>145</v>
      </c>
      <c r="DP448" s="12">
        <v>1</v>
      </c>
      <c r="DQ448" s="12">
        <v>2</v>
      </c>
      <c r="DR448" s="12">
        <v>3</v>
      </c>
      <c r="DS448" s="12">
        <v>4</v>
      </c>
      <c r="DT448" s="12">
        <v>5</v>
      </c>
      <c r="DU448" s="12">
        <v>6</v>
      </c>
      <c r="DV448" s="12">
        <v>7</v>
      </c>
      <c r="DW448" s="12">
        <v>8</v>
      </c>
      <c r="DX448" s="12">
        <v>9</v>
      </c>
      <c r="DY448" s="12">
        <v>10</v>
      </c>
      <c r="DZ448" s="12">
        <v>11</v>
      </c>
      <c r="EA448" s="12">
        <v>12</v>
      </c>
      <c r="EB448" s="12">
        <v>13</v>
      </c>
      <c r="EC448" s="12">
        <v>14</v>
      </c>
      <c r="ED448" s="12">
        <v>1</v>
      </c>
      <c r="EE448" s="12">
        <v>3</v>
      </c>
      <c r="EF448" s="12">
        <v>4</v>
      </c>
      <c r="EG448" s="12">
        <v>7</v>
      </c>
      <c r="EH448" s="12">
        <v>8</v>
      </c>
      <c r="EI448" s="12">
        <v>9</v>
      </c>
      <c r="EJ448" s="12">
        <v>10</v>
      </c>
      <c r="EK448" s="12">
        <v>13</v>
      </c>
      <c r="EL448" s="12">
        <v>14</v>
      </c>
      <c r="EM448" s="12">
        <v>15</v>
      </c>
      <c r="EN448" s="12">
        <v>16</v>
      </c>
      <c r="EO448" s="12">
        <v>22</v>
      </c>
      <c r="EP448" s="12">
        <v>23</v>
      </c>
      <c r="EQ448" s="13">
        <v>24</v>
      </c>
      <c r="MA448" t="str">
        <f t="shared" si="410"/>
        <v>DI1-B1</v>
      </c>
    </row>
    <row r="449" spans="1:339" x14ac:dyDescent="0.25">
      <c r="A449" s="83" t="s">
        <v>2510</v>
      </c>
      <c r="B449" s="83" t="s">
        <v>2509</v>
      </c>
      <c r="C449" s="3"/>
      <c r="O449" s="2"/>
      <c r="P449" t="s">
        <v>129</v>
      </c>
      <c r="Q449" s="1"/>
      <c r="S449" s="1" t="s">
        <v>130</v>
      </c>
      <c r="T449" s="14" t="s">
        <v>2182</v>
      </c>
      <c r="U449" s="59">
        <v>7</v>
      </c>
      <c r="V449" s="15" t="s">
        <v>2511</v>
      </c>
      <c r="W449" s="15"/>
      <c r="AC449" t="str">
        <f t="shared" ref="AC449:AC487" si="500">IF(AD448+AE448&gt;25,REPLACE(AC448,LEN(AC448),1,VALUE(RIGHT(AC448,1))+1),AC448)</f>
        <v>A5.1</v>
      </c>
      <c r="AD449" s="43">
        <f t="array" ref="AD449">IF(COUNTIFS(AC$377:AC449,AC449)=1,"1",VALUE(SUBSTITUTE(INDEX(AD:AD,_xlfn.XMATCH(AC449,AC$1:AC448,0,-1)),"A",""))+INDEX(AE:AE,_xlfn.XMATCH(AC449,AC$1:AC448,0,-1))+1)</f>
        <v>7</v>
      </c>
      <c r="AE449" s="43">
        <f t="array" ref="AE449">SUM(IF(ISNUMBER(FIND("TmDi",$BE$1:$AAQ$1)),IF(IFERROR(ISNUMBER(VALUE(SUBSTITUTE($BE449:$AAQ449,"B",""))),FALSE),IF(ISNUMBER(VALUE(SUBSTITUTE($BE449:$AAQ449,"B",""))),1,0),0)))</f>
        <v>5</v>
      </c>
      <c r="AF449" t="str">
        <f t="shared" si="440"/>
        <v>C7</v>
      </c>
      <c r="AG449" t="str">
        <f t="shared" si="441"/>
        <v>B7</v>
      </c>
      <c r="AH449" t="str">
        <f t="shared" ref="AH449:AH455" si="501">IF(AI448+AJ448&gt;25,REPLACE(AH448,LEN(AH448),1,VALUE(RIGHT(AH448,1))+1),AH448)</f>
        <v>A6.1</v>
      </c>
      <c r="AI449" s="69">
        <f t="array" ref="AI449">IF(COUNTIFS(AH$377:AH449,AH449)=1,"1",VALUE(SUBSTITUTE(INDEX(AI:AI,_xlfn.XMATCH(AH449,AH$1:AH448,0,-1)),"A",""))+INDEX(AJ:AJ,_xlfn.XMATCH(AH449,AH$1:AH448,0,-1))+1)</f>
        <v>4</v>
      </c>
      <c r="AJ449" s="62">
        <f t="array" ref="AJ449">SUM(IF(ISNUMBER(FIND("TmDo",$BE$1:$AAQ$1)),IF(IFERROR(ISNUMBER(VALUE(SUBSTITUTE($BE449:$AAQ449,"B",""))),FALSE),IF(ISNUMBER(VALUE(SUBSTITUTE($BE449:$AAQ449,"B",""))),1,0),0)))</f>
        <v>2</v>
      </c>
      <c r="AK449" t="str">
        <f t="shared" si="442"/>
        <v>4A</v>
      </c>
      <c r="AL449" t="str">
        <f t="shared" si="443"/>
        <v>4B</v>
      </c>
      <c r="AM449" t="s">
        <v>150</v>
      </c>
      <c r="AP449" t="s">
        <v>2184</v>
      </c>
      <c r="AQ449" t="s">
        <v>2508</v>
      </c>
      <c r="AT449" t="s">
        <v>139</v>
      </c>
      <c r="AU449" t="s">
        <v>140</v>
      </c>
      <c r="BD449" s="16"/>
      <c r="BE449" s="27" t="str">
        <f t="shared" si="444"/>
        <v>XT7</v>
      </c>
      <c r="BF449" t="str">
        <f t="shared" si="445"/>
        <v>C8</v>
      </c>
      <c r="BG449" t="str">
        <f t="shared" si="446"/>
        <v>B8</v>
      </c>
      <c r="BH449" t="str">
        <f t="shared" si="447"/>
        <v>C9</v>
      </c>
      <c r="BI449" t="str">
        <f t="shared" si="448"/>
        <v>B9</v>
      </c>
      <c r="BJ449" t="str">
        <f t="shared" si="449"/>
        <v>C10</v>
      </c>
      <c r="BK449" t="str">
        <f t="shared" si="450"/>
        <v>B10</v>
      </c>
      <c r="BL449" t="str">
        <f t="shared" si="451"/>
        <v>C11</v>
      </c>
      <c r="BM449" t="str">
        <f t="shared" si="452"/>
        <v>B11</v>
      </c>
      <c r="BN449" t="str">
        <f t="shared" si="453"/>
        <v>C12</v>
      </c>
      <c r="BO449" t="str">
        <f t="shared" si="454"/>
        <v>B12</v>
      </c>
      <c r="BP449" t="str">
        <f t="shared" si="455"/>
        <v>5A</v>
      </c>
      <c r="BQ449" t="str">
        <f t="shared" si="456"/>
        <v>5B</v>
      </c>
      <c r="BR449" t="str">
        <f t="shared" si="457"/>
        <v>6A</v>
      </c>
      <c r="BS449" t="str">
        <f t="shared" si="458"/>
        <v>6B</v>
      </c>
      <c r="BT449" t="str">
        <f t="shared" si="459"/>
        <v>DI1-C7</v>
      </c>
      <c r="BU449" t="str">
        <f t="shared" si="460"/>
        <v>DI1-B7</v>
      </c>
      <c r="BV449" t="str">
        <f t="shared" si="461"/>
        <v>DI1-C8</v>
      </c>
      <c r="BW449" t="str">
        <f t="shared" si="462"/>
        <v>DI1-B8</v>
      </c>
      <c r="BX449" t="str">
        <f t="shared" si="463"/>
        <v>DI1-C9</v>
      </c>
      <c r="BY449" t="str">
        <f t="shared" si="464"/>
        <v>DI1-B9</v>
      </c>
      <c r="BZ449" t="str">
        <f t="shared" si="465"/>
        <v>DI1-C10</v>
      </c>
      <c r="CA449" t="str">
        <f t="shared" si="466"/>
        <v>DI1-B10</v>
      </c>
      <c r="CB449" t="str">
        <f t="shared" si="467"/>
        <v>DI1-C11</v>
      </c>
      <c r="CC449" t="str">
        <f t="shared" si="468"/>
        <v>DI1-B11</v>
      </c>
      <c r="CD449" t="str">
        <f t="shared" si="469"/>
        <v>DI1-C12</v>
      </c>
      <c r="CE449" t="str">
        <f t="shared" si="470"/>
        <v>DI1-B12</v>
      </c>
      <c r="CF449" t="str">
        <f t="shared" si="471"/>
        <v>DO1-4A</v>
      </c>
      <c r="CG449" t="str">
        <f t="shared" si="472"/>
        <v>DO1-4B</v>
      </c>
      <c r="CH449" t="str">
        <f t="shared" si="473"/>
        <v>DO1-5A</v>
      </c>
      <c r="CI449" t="str">
        <f t="shared" si="474"/>
        <v>DO1-5B</v>
      </c>
      <c r="CJ449" t="str">
        <f t="shared" si="475"/>
        <v>DO1-6A</v>
      </c>
      <c r="CK449" t="str">
        <f t="shared" si="476"/>
        <v>DO1-6B</v>
      </c>
      <c r="CL449" t="str">
        <f t="shared" si="477"/>
        <v>K7-10</v>
      </c>
      <c r="CM449" t="str">
        <f t="shared" si="478"/>
        <v>K7-03</v>
      </c>
      <c r="CN449" t="str">
        <f t="shared" si="479"/>
        <v>K7-04</v>
      </c>
      <c r="CO449" t="str">
        <f t="shared" si="480"/>
        <v>K7-01</v>
      </c>
      <c r="CP449" t="str">
        <f t="shared" si="481"/>
        <v>K7-08</v>
      </c>
      <c r="CQ449" t="str">
        <f t="shared" si="482"/>
        <v>K7-02</v>
      </c>
      <c r="CR449" t="str">
        <f t="shared" si="483"/>
        <v>K7-09</v>
      </c>
      <c r="CS449" t="str">
        <f t="shared" si="484"/>
        <v>K7-05</v>
      </c>
      <c r="CT449" t="str">
        <f t="shared" si="485"/>
        <v>K7-11</v>
      </c>
      <c r="CU449" t="str">
        <f t="shared" si="486"/>
        <v>N1-M7-A9</v>
      </c>
      <c r="CV449" t="str">
        <f t="shared" si="487"/>
        <v>N1-M7-A7</v>
      </c>
      <c r="CW449" t="str">
        <f t="shared" si="488"/>
        <v>N1-M7-A8</v>
      </c>
      <c r="CX449" t="str">
        <f t="shared" si="489"/>
        <v>N1-M7-A6</v>
      </c>
      <c r="CY449" t="str">
        <f t="shared" si="490"/>
        <v>N1-M7-A30</v>
      </c>
      <c r="CZ449" t="str">
        <f t="shared" si="491"/>
        <v>N1-M7-N</v>
      </c>
      <c r="DA449" t="str">
        <f t="shared" si="492"/>
        <v>N1-A220-M7</v>
      </c>
      <c r="DB449" t="str">
        <f t="shared" si="493"/>
        <v>N1-M7-XM01</v>
      </c>
      <c r="DC449" t="str">
        <f t="shared" si="494"/>
        <v>N1-M7-A1</v>
      </c>
      <c r="DD449" t="str">
        <f t="shared" si="495"/>
        <v>N1-M7-A5</v>
      </c>
      <c r="DE449" t="str">
        <f t="shared" si="496"/>
        <v>N1-M7-A11</v>
      </c>
      <c r="DF449" t="str">
        <f t="shared" si="497"/>
        <v>N1-M7-A12</v>
      </c>
      <c r="DG449" t="str">
        <f t="shared" si="498"/>
        <v>N1-M7-A19</v>
      </c>
      <c r="DH449" t="str">
        <f t="shared" si="499"/>
        <v>N1-M7-A20</v>
      </c>
      <c r="DI449" t="s">
        <v>142</v>
      </c>
      <c r="DJ449" t="s">
        <v>143</v>
      </c>
      <c r="DK449">
        <v>11</v>
      </c>
      <c r="DL449">
        <v>14</v>
      </c>
      <c r="DM449">
        <v>12</v>
      </c>
      <c r="DN449" t="s">
        <v>144</v>
      </c>
      <c r="DO449" t="s">
        <v>145</v>
      </c>
      <c r="DP449">
        <v>1</v>
      </c>
      <c r="DQ449">
        <v>2</v>
      </c>
      <c r="DR449">
        <v>3</v>
      </c>
      <c r="DS449">
        <v>4</v>
      </c>
      <c r="DT449">
        <v>5</v>
      </c>
      <c r="DU449">
        <v>6</v>
      </c>
      <c r="DV449">
        <v>7</v>
      </c>
      <c r="DW449">
        <v>8</v>
      </c>
      <c r="DX449">
        <v>9</v>
      </c>
      <c r="DY449">
        <v>10</v>
      </c>
      <c r="DZ449">
        <v>11</v>
      </c>
      <c r="EA449">
        <v>12</v>
      </c>
      <c r="EB449">
        <v>13</v>
      </c>
      <c r="EC449">
        <v>14</v>
      </c>
      <c r="ED449">
        <v>1</v>
      </c>
      <c r="EE449">
        <v>3</v>
      </c>
      <c r="EF449">
        <v>4</v>
      </c>
      <c r="EG449">
        <v>7</v>
      </c>
      <c r="EH449">
        <v>8</v>
      </c>
      <c r="EI449">
        <v>9</v>
      </c>
      <c r="EJ449">
        <v>10</v>
      </c>
      <c r="EK449">
        <v>13</v>
      </c>
      <c r="EL449">
        <v>14</v>
      </c>
      <c r="EM449">
        <v>15</v>
      </c>
      <c r="EN449">
        <v>16</v>
      </c>
      <c r="EO449">
        <v>22</v>
      </c>
      <c r="EP449">
        <v>23</v>
      </c>
      <c r="EQ449" s="16">
        <v>24</v>
      </c>
      <c r="MA449" t="str">
        <f t="shared" si="410"/>
        <v>DI1-B7</v>
      </c>
    </row>
    <row r="450" spans="1:339" x14ac:dyDescent="0.25">
      <c r="A450" s="83" t="s">
        <v>2513</v>
      </c>
      <c r="B450" s="83" t="s">
        <v>2512</v>
      </c>
      <c r="C450" s="3"/>
      <c r="O450" s="2"/>
      <c r="P450" t="s">
        <v>129</v>
      </c>
      <c r="Q450" s="1"/>
      <c r="S450" s="1" t="s">
        <v>130</v>
      </c>
      <c r="T450" s="14" t="s">
        <v>2182</v>
      </c>
      <c r="U450" s="59">
        <v>8</v>
      </c>
      <c r="V450" s="15" t="s">
        <v>2514</v>
      </c>
      <c r="W450" s="15"/>
      <c r="AC450" t="str">
        <f t="shared" si="500"/>
        <v>A5.1</v>
      </c>
      <c r="AD450" s="43">
        <f t="array" ref="AD450">IF(COUNTIFS(AC$377:AC450,AC450)=1,"1",VALUE(SUBSTITUTE(INDEX(AD:AD,_xlfn.XMATCH(AC450,AC$1:AC449,0,-1)),"A",""))+INDEX(AE:AE,_xlfn.XMATCH(AC450,AC$1:AC449,0,-1))+1)</f>
        <v>13</v>
      </c>
      <c r="AE450" s="43">
        <f t="array" ref="AE450">SUM(IF(ISNUMBER(FIND("TmDi",$BE$1:$AAQ$1)),IF(IFERROR(ISNUMBER(VALUE(SUBSTITUTE($BE450:$AAQ450,"B",""))),FALSE),IF(ISNUMBER(VALUE(SUBSTITUTE($BE450:$AAQ450,"B",""))),1,0),0)))</f>
        <v>5</v>
      </c>
      <c r="AF450" t="str">
        <f t="shared" si="440"/>
        <v>C13</v>
      </c>
      <c r="AG450" t="str">
        <f t="shared" si="441"/>
        <v>B13</v>
      </c>
      <c r="AH450" t="str">
        <f t="shared" si="501"/>
        <v>A6.1</v>
      </c>
      <c r="AI450" s="69">
        <f t="array" ref="AI450">IF(COUNTIFS(AH$377:AH450,AH450)=1,"1",VALUE(SUBSTITUTE(INDEX(AI:AI,_xlfn.XMATCH(AH450,AH$1:AH449,0,-1)),"A",""))+INDEX(AJ:AJ,_xlfn.XMATCH(AH450,AH$1:AH449,0,-1))+1)</f>
        <v>7</v>
      </c>
      <c r="AJ450" s="62">
        <f t="array" ref="AJ450">SUM(IF(ISNUMBER(FIND("TmDo",$BE$1:$AAQ$1)),IF(IFERROR(ISNUMBER(VALUE(SUBSTITUTE($BE450:$AAQ450,"B",""))),FALSE),IF(ISNUMBER(VALUE(SUBSTITUTE($BE450:$AAQ450,"B",""))),1,0),0)))</f>
        <v>2</v>
      </c>
      <c r="AK450" t="str">
        <f t="shared" si="442"/>
        <v>7A</v>
      </c>
      <c r="AL450" t="str">
        <f t="shared" si="443"/>
        <v>7B</v>
      </c>
      <c r="AM450" t="s">
        <v>155</v>
      </c>
      <c r="AP450" t="s">
        <v>2184</v>
      </c>
      <c r="AQ450" t="s">
        <v>2508</v>
      </c>
      <c r="AT450" t="s">
        <v>139</v>
      </c>
      <c r="AU450" t="s">
        <v>140</v>
      </c>
      <c r="BD450" s="16"/>
      <c r="BE450" s="27" t="str">
        <f t="shared" si="444"/>
        <v>XT8</v>
      </c>
      <c r="BF450" t="str">
        <f t="shared" si="445"/>
        <v>C14</v>
      </c>
      <c r="BG450" t="str">
        <f t="shared" si="446"/>
        <v>B14</v>
      </c>
      <c r="BH450" t="str">
        <f t="shared" si="447"/>
        <v>C15</v>
      </c>
      <c r="BI450" t="str">
        <f t="shared" si="448"/>
        <v>B15</v>
      </c>
      <c r="BJ450" t="str">
        <f t="shared" si="449"/>
        <v>C16</v>
      </c>
      <c r="BK450" t="str">
        <f t="shared" si="450"/>
        <v>B16</v>
      </c>
      <c r="BL450" t="str">
        <f t="shared" si="451"/>
        <v>C17</v>
      </c>
      <c r="BM450" t="str">
        <f t="shared" si="452"/>
        <v>B17</v>
      </c>
      <c r="BN450" t="str">
        <f t="shared" si="453"/>
        <v>C18</v>
      </c>
      <c r="BO450" t="str">
        <f t="shared" si="454"/>
        <v>B18</v>
      </c>
      <c r="BP450" t="str">
        <f t="shared" si="455"/>
        <v>8A</v>
      </c>
      <c r="BQ450" t="str">
        <f t="shared" si="456"/>
        <v>8B</v>
      </c>
      <c r="BR450" t="str">
        <f t="shared" si="457"/>
        <v>9A</v>
      </c>
      <c r="BS450" t="str">
        <f t="shared" si="458"/>
        <v>9B</v>
      </c>
      <c r="BT450" t="str">
        <f t="shared" si="459"/>
        <v>DI1-C13</v>
      </c>
      <c r="BU450" t="str">
        <f t="shared" si="460"/>
        <v>DI1-B13</v>
      </c>
      <c r="BV450" t="str">
        <f t="shared" si="461"/>
        <v>DI1-C14</v>
      </c>
      <c r="BW450" t="str">
        <f t="shared" si="462"/>
        <v>DI1-B14</v>
      </c>
      <c r="BX450" t="str">
        <f t="shared" si="463"/>
        <v>DI1-C15</v>
      </c>
      <c r="BY450" t="str">
        <f t="shared" si="464"/>
        <v>DI1-B15</v>
      </c>
      <c r="BZ450" t="str">
        <f t="shared" si="465"/>
        <v>DI1-C16</v>
      </c>
      <c r="CA450" t="str">
        <f t="shared" si="466"/>
        <v>DI1-B16</v>
      </c>
      <c r="CB450" t="str">
        <f t="shared" si="467"/>
        <v>DI1-C17</v>
      </c>
      <c r="CC450" t="str">
        <f t="shared" si="468"/>
        <v>DI1-B17</v>
      </c>
      <c r="CD450" t="str">
        <f t="shared" si="469"/>
        <v>DI1-C18</v>
      </c>
      <c r="CE450" t="str">
        <f t="shared" si="470"/>
        <v>DI1-B18</v>
      </c>
      <c r="CF450" t="str">
        <f t="shared" si="471"/>
        <v>DO1-7A</v>
      </c>
      <c r="CG450" t="str">
        <f t="shared" si="472"/>
        <v>DO1-7B</v>
      </c>
      <c r="CH450" t="str">
        <f t="shared" si="473"/>
        <v>DO1-8A</v>
      </c>
      <c r="CI450" t="str">
        <f t="shared" si="474"/>
        <v>DO1-8B</v>
      </c>
      <c r="CJ450" t="str">
        <f t="shared" si="475"/>
        <v>DO1-9A</v>
      </c>
      <c r="CK450" t="str">
        <f t="shared" si="476"/>
        <v>DO1-9B</v>
      </c>
      <c r="CL450" t="str">
        <f t="shared" si="477"/>
        <v>K8-10</v>
      </c>
      <c r="CM450" t="str">
        <f t="shared" si="478"/>
        <v>K8-03</v>
      </c>
      <c r="CN450" t="str">
        <f t="shared" si="479"/>
        <v>K8-04</v>
      </c>
      <c r="CO450" t="str">
        <f t="shared" si="480"/>
        <v>K8-01</v>
      </c>
      <c r="CP450" t="str">
        <f t="shared" si="481"/>
        <v>K8-08</v>
      </c>
      <c r="CQ450" t="str">
        <f t="shared" si="482"/>
        <v>K8-02</v>
      </c>
      <c r="CR450" t="str">
        <f t="shared" si="483"/>
        <v>K8-09</v>
      </c>
      <c r="CS450" t="str">
        <f t="shared" si="484"/>
        <v>K8-05</v>
      </c>
      <c r="CT450" t="str">
        <f t="shared" si="485"/>
        <v>K8-11</v>
      </c>
      <c r="CU450" t="str">
        <f t="shared" si="486"/>
        <v>N1-M8-A9</v>
      </c>
      <c r="CV450" t="str">
        <f t="shared" si="487"/>
        <v>N1-M8-A7</v>
      </c>
      <c r="CW450" t="str">
        <f t="shared" si="488"/>
        <v>N1-M8-A8</v>
      </c>
      <c r="CX450" t="str">
        <f t="shared" si="489"/>
        <v>N1-M8-A6</v>
      </c>
      <c r="CY450" t="str">
        <f t="shared" si="490"/>
        <v>N1-M8-A30</v>
      </c>
      <c r="CZ450" t="str">
        <f t="shared" si="491"/>
        <v>N1-M8-N</v>
      </c>
      <c r="DA450" t="str">
        <f t="shared" si="492"/>
        <v>N1-A220-M8</v>
      </c>
      <c r="DB450" t="str">
        <f t="shared" si="493"/>
        <v>N1-M8-XM01</v>
      </c>
      <c r="DC450" t="str">
        <f t="shared" si="494"/>
        <v>N1-M8-A1</v>
      </c>
      <c r="DD450" t="str">
        <f t="shared" si="495"/>
        <v>N1-M8-A5</v>
      </c>
      <c r="DE450" t="str">
        <f t="shared" si="496"/>
        <v>N1-M8-A11</v>
      </c>
      <c r="DF450" t="str">
        <f t="shared" si="497"/>
        <v>N1-M8-A12</v>
      </c>
      <c r="DG450" t="str">
        <f t="shared" si="498"/>
        <v>N1-M8-A19</v>
      </c>
      <c r="DH450" t="str">
        <f t="shared" si="499"/>
        <v>N1-M8-A20</v>
      </c>
      <c r="DI450" t="s">
        <v>142</v>
      </c>
      <c r="DJ450" t="s">
        <v>143</v>
      </c>
      <c r="DK450">
        <v>11</v>
      </c>
      <c r="DL450">
        <v>14</v>
      </c>
      <c r="DM450">
        <v>12</v>
      </c>
      <c r="DN450" t="s">
        <v>144</v>
      </c>
      <c r="DO450" t="s">
        <v>145</v>
      </c>
      <c r="DP450">
        <v>1</v>
      </c>
      <c r="DQ450">
        <v>2</v>
      </c>
      <c r="DR450">
        <v>3</v>
      </c>
      <c r="DS450">
        <v>4</v>
      </c>
      <c r="DT450">
        <v>5</v>
      </c>
      <c r="DU450">
        <v>6</v>
      </c>
      <c r="DV450">
        <v>7</v>
      </c>
      <c r="DW450">
        <v>8</v>
      </c>
      <c r="DX450">
        <v>9</v>
      </c>
      <c r="DY450">
        <v>10</v>
      </c>
      <c r="DZ450">
        <v>11</v>
      </c>
      <c r="EA450">
        <v>12</v>
      </c>
      <c r="EB450">
        <v>13</v>
      </c>
      <c r="EC450">
        <v>14</v>
      </c>
      <c r="ED450">
        <v>1</v>
      </c>
      <c r="EE450">
        <v>3</v>
      </c>
      <c r="EF450">
        <v>4</v>
      </c>
      <c r="EG450">
        <v>7</v>
      </c>
      <c r="EH450">
        <v>8</v>
      </c>
      <c r="EI450">
        <v>9</v>
      </c>
      <c r="EJ450">
        <v>10</v>
      </c>
      <c r="EK450">
        <v>13</v>
      </c>
      <c r="EL450">
        <v>14</v>
      </c>
      <c r="EM450">
        <v>15</v>
      </c>
      <c r="EN450">
        <v>16</v>
      </c>
      <c r="EO450">
        <v>22</v>
      </c>
      <c r="EP450">
        <v>23</v>
      </c>
      <c r="EQ450" s="16">
        <v>24</v>
      </c>
      <c r="MA450" t="str">
        <f t="shared" si="410"/>
        <v>DI1-B13</v>
      </c>
    </row>
    <row r="451" spans="1:339" x14ac:dyDescent="0.25">
      <c r="A451" s="83" t="s">
        <v>2516</v>
      </c>
      <c r="B451" s="83" t="s">
        <v>2515</v>
      </c>
      <c r="C451" s="3"/>
      <c r="O451" s="2"/>
      <c r="P451" t="s">
        <v>129</v>
      </c>
      <c r="Q451" s="1"/>
      <c r="S451" s="1" t="s">
        <v>130</v>
      </c>
      <c r="T451" s="14" t="s">
        <v>2182</v>
      </c>
      <c r="U451" s="59">
        <v>9</v>
      </c>
      <c r="V451" s="15" t="s">
        <v>2523</v>
      </c>
      <c r="W451" s="15"/>
      <c r="AC451" t="str">
        <f t="shared" si="500"/>
        <v>A5.1</v>
      </c>
      <c r="AD451" s="43">
        <f t="array" ref="AD451">IF(COUNTIFS(AC$377:AC451,AC451)=1,"1",VALUE(SUBSTITUTE(INDEX(AD:AD,_xlfn.XMATCH(AC451,AC$1:AC450,0,-1)),"A",""))+INDEX(AE:AE,_xlfn.XMATCH(AC451,AC$1:AC450,0,-1))+1)</f>
        <v>19</v>
      </c>
      <c r="AE451" s="43">
        <f t="array" ref="AE451">SUM(IF(ISNUMBER(FIND("TmDi",$BE$1:$AAQ$1)),IF(IFERROR(ISNUMBER(VALUE(SUBSTITUTE($BE451:$AAQ451,"B",""))),FALSE),IF(ISNUMBER(VALUE(SUBSTITUTE($BE451:$AAQ451,"B",""))),1,0),0)))</f>
        <v>5</v>
      </c>
      <c r="AF451" t="str">
        <f t="shared" si="440"/>
        <v>C19</v>
      </c>
      <c r="AG451" t="str">
        <f t="shared" si="441"/>
        <v>B19</v>
      </c>
      <c r="AH451" t="str">
        <f t="shared" si="501"/>
        <v>A6.1</v>
      </c>
      <c r="AI451" s="69">
        <f t="array" ref="AI451">IF(COUNTIFS(AH$377:AH451,AH451)=1,"1",VALUE(SUBSTITUTE(INDEX(AI:AI,_xlfn.XMATCH(AH451,AH$1:AH450,0,-1)),"A",""))+INDEX(AJ:AJ,_xlfn.XMATCH(AH451,AH$1:AH450,0,-1))+1)</f>
        <v>10</v>
      </c>
      <c r="AJ451" s="62">
        <f t="array" ref="AJ451">SUM(IF(ISNUMBER(FIND("TmDo",$BE$1:$AAQ$1)),IF(IFERROR(ISNUMBER(VALUE(SUBSTITUTE($BE451:$AAQ451,"B",""))),FALSE),IF(ISNUMBER(VALUE(SUBSTITUTE($BE451:$AAQ451,"B",""))),1,0),0)))</f>
        <v>2</v>
      </c>
      <c r="AK451" t="str">
        <f t="shared" si="442"/>
        <v>10A</v>
      </c>
      <c r="AL451" t="str">
        <f t="shared" si="443"/>
        <v>10B</v>
      </c>
      <c r="AM451" t="s">
        <v>158</v>
      </c>
      <c r="AP451" t="s">
        <v>2184</v>
      </c>
      <c r="AQ451" t="s">
        <v>2508</v>
      </c>
      <c r="AT451" t="s">
        <v>139</v>
      </c>
      <c r="AU451" t="s">
        <v>140</v>
      </c>
      <c r="BD451" s="16"/>
      <c r="BE451" s="27" t="str">
        <f t="shared" si="444"/>
        <v>XT9</v>
      </c>
      <c r="BF451" t="str">
        <f t="shared" si="445"/>
        <v>C20</v>
      </c>
      <c r="BG451" t="str">
        <f t="shared" si="446"/>
        <v>B20</v>
      </c>
      <c r="BH451" t="str">
        <f t="shared" si="447"/>
        <v>C21</v>
      </c>
      <c r="BI451" t="str">
        <f t="shared" si="448"/>
        <v>B21</v>
      </c>
      <c r="BJ451" t="str">
        <f t="shared" si="449"/>
        <v>C22</v>
      </c>
      <c r="BK451" t="str">
        <f t="shared" si="450"/>
        <v>B22</v>
      </c>
      <c r="BL451" t="str">
        <f t="shared" si="451"/>
        <v>C23</v>
      </c>
      <c r="BM451" t="str">
        <f t="shared" si="452"/>
        <v>B23</v>
      </c>
      <c r="BN451" t="str">
        <f t="shared" si="453"/>
        <v>C24</v>
      </c>
      <c r="BO451" t="str">
        <f t="shared" si="454"/>
        <v>B24</v>
      </c>
      <c r="BP451" t="str">
        <f t="shared" si="455"/>
        <v>11A</v>
      </c>
      <c r="BQ451" t="str">
        <f t="shared" si="456"/>
        <v>11B</v>
      </c>
      <c r="BR451" t="str">
        <f t="shared" si="457"/>
        <v>12A</v>
      </c>
      <c r="BS451" t="str">
        <f t="shared" si="458"/>
        <v>12B</v>
      </c>
      <c r="BT451" t="str">
        <f t="shared" si="459"/>
        <v>DI1-C19</v>
      </c>
      <c r="BU451" t="str">
        <f t="shared" si="460"/>
        <v>DI1-B19</v>
      </c>
      <c r="BV451" t="str">
        <f t="shared" si="461"/>
        <v>DI1-C20</v>
      </c>
      <c r="BW451" t="str">
        <f t="shared" si="462"/>
        <v>DI1-B20</v>
      </c>
      <c r="BX451" t="str">
        <f t="shared" si="463"/>
        <v>DI1-C21</v>
      </c>
      <c r="BY451" t="str">
        <f t="shared" si="464"/>
        <v>DI1-B21</v>
      </c>
      <c r="BZ451" t="str">
        <f t="shared" si="465"/>
        <v>DI1-C22</v>
      </c>
      <c r="CA451" t="str">
        <f t="shared" si="466"/>
        <v>DI1-B22</v>
      </c>
      <c r="CB451" t="str">
        <f t="shared" si="467"/>
        <v>DI1-C23</v>
      </c>
      <c r="CC451" t="str">
        <f t="shared" si="468"/>
        <v>DI1-B23</v>
      </c>
      <c r="CD451" t="str">
        <f t="shared" si="469"/>
        <v>DI1-C24</v>
      </c>
      <c r="CE451" t="str">
        <f t="shared" si="470"/>
        <v>DI1-B24</v>
      </c>
      <c r="CF451" t="str">
        <f t="shared" si="471"/>
        <v>DO1-10A</v>
      </c>
      <c r="CG451" t="str">
        <f t="shared" si="472"/>
        <v>DO1-10B</v>
      </c>
      <c r="CH451" t="str">
        <f t="shared" si="473"/>
        <v>DO1-11A</v>
      </c>
      <c r="CI451" t="str">
        <f t="shared" si="474"/>
        <v>DO1-11B</v>
      </c>
      <c r="CJ451" t="str">
        <f t="shared" si="475"/>
        <v>DO1-12A</v>
      </c>
      <c r="CK451" t="str">
        <f t="shared" si="476"/>
        <v>DO1-12B</v>
      </c>
      <c r="CL451" t="str">
        <f t="shared" si="477"/>
        <v>K9-10</v>
      </c>
      <c r="CM451" t="str">
        <f t="shared" si="478"/>
        <v>K9-03</v>
      </c>
      <c r="CN451" t="str">
        <f t="shared" si="479"/>
        <v>K9-04</v>
      </c>
      <c r="CO451" t="str">
        <f t="shared" si="480"/>
        <v>K9-01</v>
      </c>
      <c r="CP451" t="str">
        <f t="shared" si="481"/>
        <v>K9-08</v>
      </c>
      <c r="CQ451" t="str">
        <f t="shared" si="482"/>
        <v>K9-02</v>
      </c>
      <c r="CR451" t="str">
        <f t="shared" si="483"/>
        <v>K9-09</v>
      </c>
      <c r="CS451" t="str">
        <f t="shared" si="484"/>
        <v>K9-05</v>
      </c>
      <c r="CT451" t="str">
        <f t="shared" si="485"/>
        <v>K9-11</v>
      </c>
      <c r="CU451" t="str">
        <f t="shared" si="486"/>
        <v>N1-M9-A9</v>
      </c>
      <c r="CV451" t="str">
        <f t="shared" si="487"/>
        <v>N1-M9-A7</v>
      </c>
      <c r="CW451" t="str">
        <f t="shared" si="488"/>
        <v>N1-M9-A8</v>
      </c>
      <c r="CX451" t="str">
        <f t="shared" si="489"/>
        <v>N1-M9-A6</v>
      </c>
      <c r="CY451" t="str">
        <f t="shared" si="490"/>
        <v>N1-M9-A30</v>
      </c>
      <c r="CZ451" t="str">
        <f t="shared" si="491"/>
        <v>N1-M9-N</v>
      </c>
      <c r="DA451" t="str">
        <f t="shared" si="492"/>
        <v>N1-A220-M9</v>
      </c>
      <c r="DB451" t="str">
        <f t="shared" si="493"/>
        <v>N1-M9-XM01</v>
      </c>
      <c r="DC451" t="str">
        <f t="shared" si="494"/>
        <v>N1-M9-A1</v>
      </c>
      <c r="DD451" t="str">
        <f t="shared" si="495"/>
        <v>N1-M9-A5</v>
      </c>
      <c r="DE451" t="str">
        <f t="shared" si="496"/>
        <v>N1-M9-A11</v>
      </c>
      <c r="DF451" t="str">
        <f t="shared" si="497"/>
        <v>N1-M9-A12</v>
      </c>
      <c r="DG451" t="str">
        <f t="shared" si="498"/>
        <v>N1-M9-A19</v>
      </c>
      <c r="DH451" t="str">
        <f t="shared" si="499"/>
        <v>N1-M9-A20</v>
      </c>
      <c r="DI451" t="s">
        <v>142</v>
      </c>
      <c r="DJ451" t="s">
        <v>143</v>
      </c>
      <c r="DK451">
        <v>11</v>
      </c>
      <c r="DL451">
        <v>14</v>
      </c>
      <c r="DM451">
        <v>12</v>
      </c>
      <c r="DN451" t="s">
        <v>144</v>
      </c>
      <c r="DO451" t="s">
        <v>145</v>
      </c>
      <c r="DP451">
        <v>1</v>
      </c>
      <c r="DQ451">
        <v>2</v>
      </c>
      <c r="DR451">
        <v>3</v>
      </c>
      <c r="DS451">
        <v>4</v>
      </c>
      <c r="DT451">
        <v>5</v>
      </c>
      <c r="DU451">
        <v>6</v>
      </c>
      <c r="DV451">
        <v>7</v>
      </c>
      <c r="DW451">
        <v>8</v>
      </c>
      <c r="DX451">
        <v>9</v>
      </c>
      <c r="DY451">
        <v>10</v>
      </c>
      <c r="DZ451">
        <v>11</v>
      </c>
      <c r="EA451">
        <v>12</v>
      </c>
      <c r="EB451">
        <v>13</v>
      </c>
      <c r="EC451">
        <v>14</v>
      </c>
      <c r="ED451">
        <v>1</v>
      </c>
      <c r="EE451">
        <v>3</v>
      </c>
      <c r="EF451">
        <v>4</v>
      </c>
      <c r="EG451">
        <v>7</v>
      </c>
      <c r="EH451">
        <v>8</v>
      </c>
      <c r="EI451">
        <v>9</v>
      </c>
      <c r="EJ451">
        <v>10</v>
      </c>
      <c r="EK451">
        <v>13</v>
      </c>
      <c r="EL451">
        <v>14</v>
      </c>
      <c r="EM451">
        <v>15</v>
      </c>
      <c r="EN451">
        <v>16</v>
      </c>
      <c r="EO451">
        <v>22</v>
      </c>
      <c r="EP451">
        <v>23</v>
      </c>
      <c r="EQ451" s="16">
        <v>24</v>
      </c>
      <c r="MA451" t="str">
        <f t="shared" si="410"/>
        <v>DI1-B19</v>
      </c>
    </row>
    <row r="452" spans="1:339" x14ac:dyDescent="0.25">
      <c r="A452" s="83" t="s">
        <v>2518</v>
      </c>
      <c r="B452" s="83" t="s">
        <v>2517</v>
      </c>
      <c r="C452" s="3"/>
      <c r="O452" s="2"/>
      <c r="P452" t="s">
        <v>129</v>
      </c>
      <c r="Q452" s="1"/>
      <c r="S452" s="1" t="s">
        <v>130</v>
      </c>
      <c r="T452" s="14" t="s">
        <v>2182</v>
      </c>
      <c r="U452" s="59">
        <v>10</v>
      </c>
      <c r="V452" s="15" t="s">
        <v>2524</v>
      </c>
      <c r="W452" s="15"/>
      <c r="AC452" t="str">
        <f t="shared" si="500"/>
        <v>A5.1</v>
      </c>
      <c r="AD452" s="43">
        <f t="array" ref="AD452">IF(COUNTIFS(AC$377:AC452,AC452)=1,"1",VALUE(SUBSTITUTE(INDEX(AD:AD,_xlfn.XMATCH(AC452,AC$1:AC451,0,-1)),"A",""))+INDEX(AE:AE,_xlfn.XMATCH(AC452,AC$1:AC451,0,-1))+1)</f>
        <v>25</v>
      </c>
      <c r="AE452" s="43">
        <f t="array" ref="AE452">SUM(IF(ISNUMBER(FIND("TmDi",$BE$1:$AAQ$1)),IF(IFERROR(ISNUMBER(VALUE(SUBSTITUTE($BE452:$AAQ452,"B",""))),FALSE),IF(ISNUMBER(VALUE(SUBSTITUTE($BE452:$AAQ452,"B",""))),1,0),0)))</f>
        <v>5</v>
      </c>
      <c r="AF452" t="str">
        <f t="shared" si="440"/>
        <v>C25</v>
      </c>
      <c r="AG452" t="str">
        <f t="shared" si="441"/>
        <v>B25</v>
      </c>
      <c r="AH452" t="str">
        <f t="shared" si="501"/>
        <v>A6.1</v>
      </c>
      <c r="AI452" s="69">
        <f t="array" ref="AI452">IF(COUNTIFS(AH$377:AH452,AH452)=1,"1",VALUE(SUBSTITUTE(INDEX(AI:AI,_xlfn.XMATCH(AH452,AH$1:AH451,0,-1)),"A",""))+INDEX(AJ:AJ,_xlfn.XMATCH(AH452,AH$1:AH451,0,-1))+1)</f>
        <v>13</v>
      </c>
      <c r="AJ452" s="62">
        <f t="array" ref="AJ452">SUM(IF(ISNUMBER(FIND("TmDo",$BE$1:$AAQ$1)),IF(IFERROR(ISNUMBER(VALUE(SUBSTITUTE($BE452:$AAQ452,"B",""))),FALSE),IF(ISNUMBER(VALUE(SUBSTITUTE($BE452:$AAQ452,"B",""))),1,0),0)))</f>
        <v>2</v>
      </c>
      <c r="AK452" t="str">
        <f t="shared" si="442"/>
        <v>13A</v>
      </c>
      <c r="AL452" t="str">
        <f t="shared" si="443"/>
        <v>13B</v>
      </c>
      <c r="AM452" t="s">
        <v>161</v>
      </c>
      <c r="AP452" t="s">
        <v>2184</v>
      </c>
      <c r="AQ452" t="s">
        <v>2508</v>
      </c>
      <c r="AT452" t="s">
        <v>139</v>
      </c>
      <c r="AU452" t="s">
        <v>140</v>
      </c>
      <c r="BD452" s="16"/>
      <c r="BE452" s="27" t="str">
        <f t="shared" si="444"/>
        <v>XT10</v>
      </c>
      <c r="BF452" t="str">
        <f t="shared" si="445"/>
        <v>C26</v>
      </c>
      <c r="BG452" t="str">
        <f t="shared" si="446"/>
        <v>B26</v>
      </c>
      <c r="BH452" t="str">
        <f t="shared" si="447"/>
        <v>C27</v>
      </c>
      <c r="BI452" t="str">
        <f t="shared" si="448"/>
        <v>B27</v>
      </c>
      <c r="BJ452" t="str">
        <f t="shared" si="449"/>
        <v>C28</v>
      </c>
      <c r="BK452" t="str">
        <f t="shared" si="450"/>
        <v>B28</v>
      </c>
      <c r="BL452" t="str">
        <f t="shared" si="451"/>
        <v>C29</v>
      </c>
      <c r="BM452" t="str">
        <f t="shared" si="452"/>
        <v>B29</v>
      </c>
      <c r="BN452" t="str">
        <f t="shared" si="453"/>
        <v>C30</v>
      </c>
      <c r="BO452" t="str">
        <f t="shared" si="454"/>
        <v>B30</v>
      </c>
      <c r="BP452" t="str">
        <f t="shared" si="455"/>
        <v>14A</v>
      </c>
      <c r="BQ452" t="str">
        <f t="shared" si="456"/>
        <v>14B</v>
      </c>
      <c r="BR452" t="str">
        <f t="shared" si="457"/>
        <v>15A</v>
      </c>
      <c r="BS452" t="str">
        <f t="shared" si="458"/>
        <v>15B</v>
      </c>
      <c r="BT452" t="str">
        <f t="shared" si="459"/>
        <v>DI1-C25</v>
      </c>
      <c r="BU452" t="str">
        <f t="shared" si="460"/>
        <v>DI1-B25</v>
      </c>
      <c r="BV452" t="str">
        <f t="shared" si="461"/>
        <v>DI1-C26</v>
      </c>
      <c r="BW452" t="str">
        <f t="shared" si="462"/>
        <v>DI1-B26</v>
      </c>
      <c r="BX452" t="str">
        <f t="shared" si="463"/>
        <v>DI1-C27</v>
      </c>
      <c r="BY452" t="str">
        <f t="shared" si="464"/>
        <v>DI1-B27</v>
      </c>
      <c r="BZ452" t="str">
        <f t="shared" si="465"/>
        <v>DI1-C28</v>
      </c>
      <c r="CA452" t="str">
        <f t="shared" si="466"/>
        <v>DI1-B28</v>
      </c>
      <c r="CB452" t="str">
        <f t="shared" si="467"/>
        <v>DI1-C29</v>
      </c>
      <c r="CC452" t="str">
        <f t="shared" si="468"/>
        <v>DI1-B29</v>
      </c>
      <c r="CD452" t="str">
        <f t="shared" si="469"/>
        <v>DI1-C30</v>
      </c>
      <c r="CE452" t="str">
        <f t="shared" si="470"/>
        <v>DI1-B30</v>
      </c>
      <c r="CF452" t="str">
        <f t="shared" si="471"/>
        <v>DO1-13A</v>
      </c>
      <c r="CG452" t="str">
        <f t="shared" si="472"/>
        <v>DO1-13B</v>
      </c>
      <c r="CH452" t="str">
        <f t="shared" si="473"/>
        <v>DO1-14A</v>
      </c>
      <c r="CI452" t="str">
        <f t="shared" si="474"/>
        <v>DO1-14B</v>
      </c>
      <c r="CJ452" t="str">
        <f t="shared" si="475"/>
        <v>DO1-15A</v>
      </c>
      <c r="CK452" t="str">
        <f t="shared" si="476"/>
        <v>DO1-15B</v>
      </c>
      <c r="CL452" t="str">
        <f t="shared" si="477"/>
        <v>K10-10</v>
      </c>
      <c r="CM452" t="str">
        <f t="shared" si="478"/>
        <v>K10-03</v>
      </c>
      <c r="CN452" t="str">
        <f t="shared" si="479"/>
        <v>K10-04</v>
      </c>
      <c r="CO452" t="str">
        <f t="shared" si="480"/>
        <v>K10-01</v>
      </c>
      <c r="CP452" t="str">
        <f t="shared" si="481"/>
        <v>K10-08</v>
      </c>
      <c r="CQ452" t="str">
        <f t="shared" si="482"/>
        <v>K10-02</v>
      </c>
      <c r="CR452" t="str">
        <f t="shared" si="483"/>
        <v>K10-09</v>
      </c>
      <c r="CS452" t="str">
        <f t="shared" si="484"/>
        <v>K10-05</v>
      </c>
      <c r="CT452" t="str">
        <f t="shared" si="485"/>
        <v>K10-11</v>
      </c>
      <c r="CU452" t="str">
        <f t="shared" si="486"/>
        <v>N1-M10-A9</v>
      </c>
      <c r="CV452" t="str">
        <f t="shared" si="487"/>
        <v>N1-M10-A7</v>
      </c>
      <c r="CW452" t="str">
        <f t="shared" si="488"/>
        <v>N1-M10-A8</v>
      </c>
      <c r="CX452" t="str">
        <f t="shared" si="489"/>
        <v>N1-M10-A6</v>
      </c>
      <c r="CY452" t="str">
        <f t="shared" si="490"/>
        <v>N1-M10-A30</v>
      </c>
      <c r="CZ452" t="str">
        <f t="shared" si="491"/>
        <v>N1-M10-N</v>
      </c>
      <c r="DA452" t="str">
        <f t="shared" si="492"/>
        <v>N1-A220-M10</v>
      </c>
      <c r="DB452" t="str">
        <f t="shared" si="493"/>
        <v>N1-M10-XM01</v>
      </c>
      <c r="DC452" t="str">
        <f t="shared" si="494"/>
        <v>N1-M10-A1</v>
      </c>
      <c r="DD452" t="str">
        <f t="shared" si="495"/>
        <v>N1-M10-A5</v>
      </c>
      <c r="DE452" t="str">
        <f t="shared" si="496"/>
        <v>N1-M10-A11</v>
      </c>
      <c r="DF452" t="str">
        <f t="shared" si="497"/>
        <v>N1-M10-A12</v>
      </c>
      <c r="DG452" t="str">
        <f t="shared" si="498"/>
        <v>N1-M10-A19</v>
      </c>
      <c r="DH452" t="str">
        <f t="shared" si="499"/>
        <v>N1-M10-A20</v>
      </c>
      <c r="DI452" t="s">
        <v>142</v>
      </c>
      <c r="DJ452" t="s">
        <v>143</v>
      </c>
      <c r="DK452">
        <v>11</v>
      </c>
      <c r="DL452">
        <v>14</v>
      </c>
      <c r="DM452">
        <v>12</v>
      </c>
      <c r="DN452" t="s">
        <v>144</v>
      </c>
      <c r="DO452" t="s">
        <v>145</v>
      </c>
      <c r="DP452">
        <v>1</v>
      </c>
      <c r="DQ452">
        <v>2</v>
      </c>
      <c r="DR452">
        <v>3</v>
      </c>
      <c r="DS452">
        <v>4</v>
      </c>
      <c r="DT452">
        <v>5</v>
      </c>
      <c r="DU452">
        <v>6</v>
      </c>
      <c r="DV452">
        <v>7</v>
      </c>
      <c r="DW452">
        <v>8</v>
      </c>
      <c r="DX452">
        <v>9</v>
      </c>
      <c r="DY452">
        <v>10</v>
      </c>
      <c r="DZ452">
        <v>11</v>
      </c>
      <c r="EA452">
        <v>12</v>
      </c>
      <c r="EB452">
        <v>13</v>
      </c>
      <c r="EC452">
        <v>14</v>
      </c>
      <c r="ED452">
        <v>1</v>
      </c>
      <c r="EE452">
        <v>3</v>
      </c>
      <c r="EF452">
        <v>4</v>
      </c>
      <c r="EG452">
        <v>7</v>
      </c>
      <c r="EH452">
        <v>8</v>
      </c>
      <c r="EI452">
        <v>9</v>
      </c>
      <c r="EJ452">
        <v>10</v>
      </c>
      <c r="EK452">
        <v>13</v>
      </c>
      <c r="EL452">
        <v>14</v>
      </c>
      <c r="EM452">
        <v>15</v>
      </c>
      <c r="EN452">
        <v>16</v>
      </c>
      <c r="EO452">
        <v>22</v>
      </c>
      <c r="EP452">
        <v>23</v>
      </c>
      <c r="EQ452" s="16">
        <v>24</v>
      </c>
      <c r="MA452" t="str">
        <f t="shared" si="410"/>
        <v>DI1-B25</v>
      </c>
    </row>
    <row r="453" spans="1:339" x14ac:dyDescent="0.25">
      <c r="A453" s="83" t="s">
        <v>2520</v>
      </c>
      <c r="B453" s="83" t="s">
        <v>2519</v>
      </c>
      <c r="C453" s="3"/>
      <c r="O453" s="2"/>
      <c r="P453" t="s">
        <v>129</v>
      </c>
      <c r="Q453" s="1"/>
      <c r="S453" s="1" t="s">
        <v>130</v>
      </c>
      <c r="T453" s="14" t="s">
        <v>2182</v>
      </c>
      <c r="U453" s="59">
        <v>11</v>
      </c>
      <c r="V453" s="15" t="s">
        <v>2525</v>
      </c>
      <c r="W453" s="15"/>
      <c r="AC453" t="str">
        <f t="shared" si="500"/>
        <v>A5.2</v>
      </c>
      <c r="AD453" s="43" t="str">
        <f t="array" ref="AD453">IF(COUNTIFS(AC$377:AC453,AC453)=1,"1",VALUE(SUBSTITUTE(INDEX(AD:AD,_xlfn.XMATCH(AC453,AC$1:AC452,0,-1)),"A",""))+INDEX(AE:AE,_xlfn.XMATCH(AC453,AC$1:AC452,0,-1))+1)</f>
        <v>1</v>
      </c>
      <c r="AE453" s="43">
        <f t="array" ref="AE453">SUM(IF(ISNUMBER(FIND("TmDi",$BE$1:$AAQ$1)),IF(IFERROR(ISNUMBER(VALUE(SUBSTITUTE($BE453:$AAQ453,"B",""))),FALSE),IF(ISNUMBER(VALUE(SUBSTITUTE($BE453:$AAQ453,"B",""))),1,0),0)))</f>
        <v>5</v>
      </c>
      <c r="AF453" t="str">
        <f t="shared" si="440"/>
        <v>C1</v>
      </c>
      <c r="AG453" t="str">
        <f t="shared" si="441"/>
        <v>B1</v>
      </c>
      <c r="AH453" t="str">
        <f t="shared" si="501"/>
        <v>A6.1</v>
      </c>
      <c r="AI453" s="69">
        <f t="array" ref="AI453">IF(COUNTIFS(AH$377:AH453,AH453)=1,"1",VALUE(SUBSTITUTE(INDEX(AI:AI,_xlfn.XMATCH(AH453,AH$1:AH452,0,-1)),"A",""))+INDEX(AJ:AJ,_xlfn.XMATCH(AH453,AH$1:AH452,0,-1))+1)</f>
        <v>16</v>
      </c>
      <c r="AJ453" s="62">
        <f t="array" ref="AJ453">SUM(IF(ISNUMBER(FIND("TmDo",$BE$1:$AAQ$1)),IF(IFERROR(ISNUMBER(VALUE(SUBSTITUTE($BE453:$AAQ453,"B",""))),FALSE),IF(ISNUMBER(VALUE(SUBSTITUTE($BE453:$AAQ453,"B",""))),1,0),0)))</f>
        <v>2</v>
      </c>
      <c r="AK453" t="str">
        <f t="shared" si="442"/>
        <v>16A</v>
      </c>
      <c r="AL453" t="str">
        <f t="shared" si="443"/>
        <v>16B</v>
      </c>
      <c r="AM453" t="s">
        <v>163</v>
      </c>
      <c r="AP453" t="s">
        <v>2184</v>
      </c>
      <c r="AQ453" t="s">
        <v>2508</v>
      </c>
      <c r="AT453" t="s">
        <v>139</v>
      </c>
      <c r="AU453" t="s">
        <v>140</v>
      </c>
      <c r="BD453" s="16"/>
      <c r="BE453" s="27" t="str">
        <f t="shared" si="444"/>
        <v>XT11</v>
      </c>
      <c r="BF453" t="str">
        <f t="shared" si="445"/>
        <v>C2</v>
      </c>
      <c r="BG453" t="str">
        <f t="shared" si="446"/>
        <v>B2</v>
      </c>
      <c r="BH453" t="str">
        <f t="shared" si="447"/>
        <v>C3</v>
      </c>
      <c r="BI453" t="str">
        <f t="shared" si="448"/>
        <v>B3</v>
      </c>
      <c r="BJ453" t="str">
        <f t="shared" si="449"/>
        <v>C4</v>
      </c>
      <c r="BK453" t="str">
        <f t="shared" si="450"/>
        <v>B4</v>
      </c>
      <c r="BL453" t="str">
        <f t="shared" si="451"/>
        <v>C5</v>
      </c>
      <c r="BM453" t="str">
        <f t="shared" si="452"/>
        <v>B5</v>
      </c>
      <c r="BN453" t="str">
        <f t="shared" si="453"/>
        <v>C6</v>
      </c>
      <c r="BO453" t="str">
        <f t="shared" si="454"/>
        <v>B6</v>
      </c>
      <c r="BP453" t="str">
        <f t="shared" si="455"/>
        <v>17A</v>
      </c>
      <c r="BQ453" t="str">
        <f t="shared" si="456"/>
        <v>17B</v>
      </c>
      <c r="BR453" t="str">
        <f t="shared" si="457"/>
        <v>18A</v>
      </c>
      <c r="BS453" t="str">
        <f t="shared" si="458"/>
        <v>18B</v>
      </c>
      <c r="BT453" t="str">
        <f t="shared" si="459"/>
        <v>DI2-C1</v>
      </c>
      <c r="BU453" t="str">
        <f t="shared" si="460"/>
        <v>DI2-B1</v>
      </c>
      <c r="BV453" t="str">
        <f t="shared" si="461"/>
        <v>DI2-C2</v>
      </c>
      <c r="BW453" t="str">
        <f t="shared" si="462"/>
        <v>DI2-B2</v>
      </c>
      <c r="BX453" t="str">
        <f t="shared" si="463"/>
        <v>DI2-C3</v>
      </c>
      <c r="BY453" t="str">
        <f t="shared" si="464"/>
        <v>DI2-B3</v>
      </c>
      <c r="BZ453" t="str">
        <f t="shared" si="465"/>
        <v>DI2-C4</v>
      </c>
      <c r="CA453" t="str">
        <f t="shared" si="466"/>
        <v>DI2-B4</v>
      </c>
      <c r="CB453" t="str">
        <f t="shared" si="467"/>
        <v>DI2-C5</v>
      </c>
      <c r="CC453" t="str">
        <f t="shared" si="468"/>
        <v>DI2-B5</v>
      </c>
      <c r="CD453" t="str">
        <f t="shared" si="469"/>
        <v>DI2-C6</v>
      </c>
      <c r="CE453" t="str">
        <f t="shared" si="470"/>
        <v>DI2-B6</v>
      </c>
      <c r="CF453" t="str">
        <f t="shared" si="471"/>
        <v>DO1-16A</v>
      </c>
      <c r="CG453" t="str">
        <f t="shared" si="472"/>
        <v>DO1-16B</v>
      </c>
      <c r="CH453" t="str">
        <f t="shared" si="473"/>
        <v>DO1-17A</v>
      </c>
      <c r="CI453" t="str">
        <f t="shared" si="474"/>
        <v>DO1-17B</v>
      </c>
      <c r="CJ453" t="str">
        <f t="shared" si="475"/>
        <v>DO1-18A</v>
      </c>
      <c r="CK453" t="str">
        <f t="shared" si="476"/>
        <v>DO1-18B</v>
      </c>
      <c r="CL453" t="str">
        <f t="shared" si="477"/>
        <v>K11-10</v>
      </c>
      <c r="CM453" t="str">
        <f t="shared" si="478"/>
        <v>K11-03</v>
      </c>
      <c r="CN453" t="str">
        <f t="shared" si="479"/>
        <v>K11-04</v>
      </c>
      <c r="CO453" t="str">
        <f t="shared" si="480"/>
        <v>K11-01</v>
      </c>
      <c r="CP453" t="str">
        <f t="shared" si="481"/>
        <v>K11-08</v>
      </c>
      <c r="CQ453" t="str">
        <f t="shared" si="482"/>
        <v>K11-02</v>
      </c>
      <c r="CR453" t="str">
        <f t="shared" si="483"/>
        <v>K11-09</v>
      </c>
      <c r="CS453" t="str">
        <f t="shared" si="484"/>
        <v>K11-05</v>
      </c>
      <c r="CT453" t="str">
        <f t="shared" si="485"/>
        <v>K11-11</v>
      </c>
      <c r="CU453" t="str">
        <f t="shared" si="486"/>
        <v>N1-M11-A9</v>
      </c>
      <c r="CV453" t="str">
        <f t="shared" si="487"/>
        <v>N1-M11-A7</v>
      </c>
      <c r="CW453" t="str">
        <f t="shared" si="488"/>
        <v>N1-M11-A8</v>
      </c>
      <c r="CX453" t="str">
        <f t="shared" si="489"/>
        <v>N1-M11-A6</v>
      </c>
      <c r="CY453" t="str">
        <f t="shared" si="490"/>
        <v>N1-M11-A30</v>
      </c>
      <c r="CZ453" t="str">
        <f t="shared" si="491"/>
        <v>N1-M11-N</v>
      </c>
      <c r="DA453" t="str">
        <f t="shared" si="492"/>
        <v>N1-A220-M11</v>
      </c>
      <c r="DB453" t="str">
        <f t="shared" si="493"/>
        <v>N1-M11-XM01</v>
      </c>
      <c r="DC453" t="str">
        <f t="shared" si="494"/>
        <v>N1-M11-A1</v>
      </c>
      <c r="DD453" t="str">
        <f t="shared" si="495"/>
        <v>N1-M11-A5</v>
      </c>
      <c r="DE453" t="str">
        <f t="shared" si="496"/>
        <v>N1-M11-A11</v>
      </c>
      <c r="DF453" t="str">
        <f t="shared" si="497"/>
        <v>N1-M11-A12</v>
      </c>
      <c r="DG453" t="str">
        <f t="shared" si="498"/>
        <v>N1-M11-A19</v>
      </c>
      <c r="DH453" t="str">
        <f t="shared" si="499"/>
        <v>N1-M11-A20</v>
      </c>
      <c r="DI453" t="s">
        <v>142</v>
      </c>
      <c r="DJ453" t="s">
        <v>143</v>
      </c>
      <c r="DK453">
        <v>11</v>
      </c>
      <c r="DL453">
        <v>14</v>
      </c>
      <c r="DM453">
        <v>12</v>
      </c>
      <c r="DN453" t="s">
        <v>144</v>
      </c>
      <c r="DO453" t="s">
        <v>145</v>
      </c>
      <c r="DP453">
        <v>1</v>
      </c>
      <c r="DQ453">
        <v>2</v>
      </c>
      <c r="DR453">
        <v>3</v>
      </c>
      <c r="DS453">
        <v>4</v>
      </c>
      <c r="DT453">
        <v>5</v>
      </c>
      <c r="DU453">
        <v>6</v>
      </c>
      <c r="DV453">
        <v>7</v>
      </c>
      <c r="DW453">
        <v>8</v>
      </c>
      <c r="DX453">
        <v>9</v>
      </c>
      <c r="DY453">
        <v>10</v>
      </c>
      <c r="DZ453">
        <v>11</v>
      </c>
      <c r="EA453">
        <v>12</v>
      </c>
      <c r="EB453">
        <v>13</v>
      </c>
      <c r="EC453">
        <v>14</v>
      </c>
      <c r="ED453">
        <v>1</v>
      </c>
      <c r="EE453">
        <v>3</v>
      </c>
      <c r="EF453">
        <v>4</v>
      </c>
      <c r="EG453">
        <v>7</v>
      </c>
      <c r="EH453">
        <v>8</v>
      </c>
      <c r="EI453">
        <v>9</v>
      </c>
      <c r="EJ453">
        <v>10</v>
      </c>
      <c r="EK453">
        <v>13</v>
      </c>
      <c r="EL453">
        <v>14</v>
      </c>
      <c r="EM453">
        <v>15</v>
      </c>
      <c r="EN453">
        <v>16</v>
      </c>
      <c r="EO453">
        <v>22</v>
      </c>
      <c r="EP453">
        <v>23</v>
      </c>
      <c r="EQ453" s="16">
        <v>24</v>
      </c>
      <c r="MA453" t="str">
        <f t="shared" si="410"/>
        <v>DI2-B1</v>
      </c>
    </row>
    <row r="454" spans="1:339" x14ac:dyDescent="0.25">
      <c r="A454" s="83" t="s">
        <v>2522</v>
      </c>
      <c r="B454" s="83" t="s">
        <v>2521</v>
      </c>
      <c r="C454" s="3"/>
      <c r="O454" s="2"/>
      <c r="P454" t="s">
        <v>129</v>
      </c>
      <c r="Q454" s="1"/>
      <c r="S454" s="1" t="s">
        <v>130</v>
      </c>
      <c r="T454" s="14" t="s">
        <v>2182</v>
      </c>
      <c r="U454" s="59">
        <v>12</v>
      </c>
      <c r="V454" s="15" t="s">
        <v>2526</v>
      </c>
      <c r="W454" s="15"/>
      <c r="AC454" t="str">
        <f t="shared" si="500"/>
        <v>A5.2</v>
      </c>
      <c r="AD454" s="43">
        <f t="array" ref="AD454">IF(COUNTIFS(AC$377:AC454,AC454)=1,"1",VALUE(SUBSTITUTE(INDEX(AD:AD,_xlfn.XMATCH(AC454,AC$1:AC453,0,-1)),"A",""))+INDEX(AE:AE,_xlfn.XMATCH(AC454,AC$1:AC453,0,-1))+1)</f>
        <v>7</v>
      </c>
      <c r="AE454" s="43">
        <f t="array" ref="AE454">SUM(IF(ISNUMBER(FIND("TmDi",$BE$1:$AAQ$1)),IF(IFERROR(ISNUMBER(VALUE(SUBSTITUTE($BE454:$AAQ454,"B",""))),FALSE),IF(ISNUMBER(VALUE(SUBSTITUTE($BE454:$AAQ454,"B",""))),1,0),0)))</f>
        <v>5</v>
      </c>
      <c r="AF454" t="str">
        <f t="shared" si="440"/>
        <v>C7</v>
      </c>
      <c r="AG454" t="str">
        <f t="shared" si="441"/>
        <v>B7</v>
      </c>
      <c r="AH454" t="str">
        <f t="shared" si="501"/>
        <v>A6.1</v>
      </c>
      <c r="AI454" s="69">
        <f t="array" ref="AI454">IF(COUNTIFS(AH$377:AH454,AH454)=1,"1",VALUE(SUBSTITUTE(INDEX(AI:AI,_xlfn.XMATCH(AH454,AH$1:AH453,0,-1)),"A",""))+INDEX(AJ:AJ,_xlfn.XMATCH(AH454,AH$1:AH453,0,-1))+1)</f>
        <v>19</v>
      </c>
      <c r="AJ454" s="62">
        <f t="array" ref="AJ454">SUM(IF(ISNUMBER(FIND("TmDo",$BE$1:$AAQ$1)),IF(IFERROR(ISNUMBER(VALUE(SUBSTITUTE($BE454:$AAQ454,"B",""))),FALSE),IF(ISNUMBER(VALUE(SUBSTITUTE($BE454:$AAQ454,"B",""))),1,0),0)))</f>
        <v>2</v>
      </c>
      <c r="AK454" t="str">
        <f t="shared" si="442"/>
        <v>19A</v>
      </c>
      <c r="AL454" t="str">
        <f t="shared" si="443"/>
        <v>19B</v>
      </c>
      <c r="AM454" t="s">
        <v>166</v>
      </c>
      <c r="AP454" t="s">
        <v>2184</v>
      </c>
      <c r="AQ454" t="s">
        <v>2508</v>
      </c>
      <c r="AT454" t="s">
        <v>139</v>
      </c>
      <c r="AU454" t="s">
        <v>140</v>
      </c>
      <c r="BD454" s="16"/>
      <c r="BE454" s="27" t="str">
        <f t="shared" si="444"/>
        <v>XT12</v>
      </c>
      <c r="BF454" t="str">
        <f t="shared" si="445"/>
        <v>C8</v>
      </c>
      <c r="BG454" t="str">
        <f t="shared" si="446"/>
        <v>B8</v>
      </c>
      <c r="BH454" t="str">
        <f t="shared" si="447"/>
        <v>C9</v>
      </c>
      <c r="BI454" t="str">
        <f t="shared" si="448"/>
        <v>B9</v>
      </c>
      <c r="BJ454" t="str">
        <f t="shared" si="449"/>
        <v>C10</v>
      </c>
      <c r="BK454" t="str">
        <f t="shared" si="450"/>
        <v>B10</v>
      </c>
      <c r="BL454" t="str">
        <f t="shared" si="451"/>
        <v>C11</v>
      </c>
      <c r="BM454" t="str">
        <f t="shared" si="452"/>
        <v>B11</v>
      </c>
      <c r="BN454" t="str">
        <f t="shared" si="453"/>
        <v>C12</v>
      </c>
      <c r="BO454" t="str">
        <f t="shared" si="454"/>
        <v>B12</v>
      </c>
      <c r="BP454" t="str">
        <f t="shared" si="455"/>
        <v>20A</v>
      </c>
      <c r="BQ454" t="str">
        <f t="shared" si="456"/>
        <v>20B</v>
      </c>
      <c r="BR454" t="str">
        <f t="shared" si="457"/>
        <v>21A</v>
      </c>
      <c r="BS454" t="str">
        <f t="shared" si="458"/>
        <v>21B</v>
      </c>
      <c r="BT454" t="str">
        <f t="shared" si="459"/>
        <v>DI2-C7</v>
      </c>
      <c r="BU454" t="str">
        <f t="shared" si="460"/>
        <v>DI2-B7</v>
      </c>
      <c r="BV454" t="str">
        <f t="shared" si="461"/>
        <v>DI2-C8</v>
      </c>
      <c r="BW454" t="str">
        <f t="shared" si="462"/>
        <v>DI2-B8</v>
      </c>
      <c r="BX454" t="str">
        <f t="shared" si="463"/>
        <v>DI2-C9</v>
      </c>
      <c r="BY454" t="str">
        <f t="shared" si="464"/>
        <v>DI2-B9</v>
      </c>
      <c r="BZ454" t="str">
        <f t="shared" si="465"/>
        <v>DI2-C10</v>
      </c>
      <c r="CA454" t="str">
        <f t="shared" si="466"/>
        <v>DI2-B10</v>
      </c>
      <c r="CB454" t="str">
        <f t="shared" si="467"/>
        <v>DI2-C11</v>
      </c>
      <c r="CC454" t="str">
        <f t="shared" si="468"/>
        <v>DI2-B11</v>
      </c>
      <c r="CD454" t="str">
        <f t="shared" si="469"/>
        <v>DI2-C12</v>
      </c>
      <c r="CE454" t="str">
        <f t="shared" si="470"/>
        <v>DI2-B12</v>
      </c>
      <c r="CF454" t="str">
        <f t="shared" si="471"/>
        <v>DO1-19A</v>
      </c>
      <c r="CG454" t="str">
        <f t="shared" si="472"/>
        <v>DO1-19B</v>
      </c>
      <c r="CH454" t="str">
        <f t="shared" si="473"/>
        <v>DO1-20A</v>
      </c>
      <c r="CI454" t="str">
        <f t="shared" si="474"/>
        <v>DO1-20B</v>
      </c>
      <c r="CJ454" t="str">
        <f t="shared" si="475"/>
        <v>DO1-21A</v>
      </c>
      <c r="CK454" t="str">
        <f t="shared" si="476"/>
        <v>DO1-21B</v>
      </c>
      <c r="CL454" t="str">
        <f t="shared" si="477"/>
        <v>K12-10</v>
      </c>
      <c r="CM454" t="str">
        <f t="shared" si="478"/>
        <v>K12-03</v>
      </c>
      <c r="CN454" t="str">
        <f t="shared" si="479"/>
        <v>K12-04</v>
      </c>
      <c r="CO454" t="str">
        <f t="shared" si="480"/>
        <v>K12-01</v>
      </c>
      <c r="CP454" t="str">
        <f t="shared" si="481"/>
        <v>K12-08</v>
      </c>
      <c r="CQ454" t="str">
        <f t="shared" si="482"/>
        <v>K12-02</v>
      </c>
      <c r="CR454" t="str">
        <f t="shared" si="483"/>
        <v>K12-09</v>
      </c>
      <c r="CS454" t="str">
        <f t="shared" si="484"/>
        <v>K12-05</v>
      </c>
      <c r="CT454" t="str">
        <f t="shared" si="485"/>
        <v>K12-11</v>
      </c>
      <c r="CU454" t="str">
        <f t="shared" si="486"/>
        <v>N1-M12-A9</v>
      </c>
      <c r="CV454" t="str">
        <f t="shared" si="487"/>
        <v>N1-M12-A7</v>
      </c>
      <c r="CW454" t="str">
        <f t="shared" si="488"/>
        <v>N1-M12-A8</v>
      </c>
      <c r="CX454" t="str">
        <f t="shared" si="489"/>
        <v>N1-M12-A6</v>
      </c>
      <c r="CY454" t="str">
        <f t="shared" si="490"/>
        <v>N1-M12-A30</v>
      </c>
      <c r="CZ454" t="str">
        <f t="shared" si="491"/>
        <v>N1-M12-N</v>
      </c>
      <c r="DA454" t="str">
        <f t="shared" si="492"/>
        <v>N1-A220-M12</v>
      </c>
      <c r="DB454" t="str">
        <f t="shared" si="493"/>
        <v>N1-M12-XM01</v>
      </c>
      <c r="DC454" t="str">
        <f t="shared" si="494"/>
        <v>N1-M12-A1</v>
      </c>
      <c r="DD454" t="str">
        <f t="shared" si="495"/>
        <v>N1-M12-A5</v>
      </c>
      <c r="DE454" t="str">
        <f t="shared" si="496"/>
        <v>N1-M12-A11</v>
      </c>
      <c r="DF454" t="str">
        <f t="shared" si="497"/>
        <v>N1-M12-A12</v>
      </c>
      <c r="DG454" t="str">
        <f t="shared" si="498"/>
        <v>N1-M12-A19</v>
      </c>
      <c r="DH454" t="str">
        <f t="shared" si="499"/>
        <v>N1-M12-A20</v>
      </c>
      <c r="DI454" t="s">
        <v>142</v>
      </c>
      <c r="DJ454" t="s">
        <v>143</v>
      </c>
      <c r="DK454">
        <v>11</v>
      </c>
      <c r="DL454">
        <v>14</v>
      </c>
      <c r="DM454">
        <v>12</v>
      </c>
      <c r="DN454" t="s">
        <v>144</v>
      </c>
      <c r="DO454" t="s">
        <v>145</v>
      </c>
      <c r="DP454">
        <v>1</v>
      </c>
      <c r="DQ454">
        <v>2</v>
      </c>
      <c r="DR454">
        <v>3</v>
      </c>
      <c r="DS454">
        <v>4</v>
      </c>
      <c r="DT454">
        <v>5</v>
      </c>
      <c r="DU454">
        <v>6</v>
      </c>
      <c r="DV454">
        <v>7</v>
      </c>
      <c r="DW454">
        <v>8</v>
      </c>
      <c r="DX454">
        <v>9</v>
      </c>
      <c r="DY454">
        <v>10</v>
      </c>
      <c r="DZ454">
        <v>11</v>
      </c>
      <c r="EA454">
        <v>12</v>
      </c>
      <c r="EB454">
        <v>13</v>
      </c>
      <c r="EC454">
        <v>14</v>
      </c>
      <c r="ED454">
        <v>1</v>
      </c>
      <c r="EE454">
        <v>3</v>
      </c>
      <c r="EF454">
        <v>4</v>
      </c>
      <c r="EG454">
        <v>7</v>
      </c>
      <c r="EH454">
        <v>8</v>
      </c>
      <c r="EI454">
        <v>9</v>
      </c>
      <c r="EJ454">
        <v>10</v>
      </c>
      <c r="EK454">
        <v>13</v>
      </c>
      <c r="EL454">
        <v>14</v>
      </c>
      <c r="EM454">
        <v>15</v>
      </c>
      <c r="EN454">
        <v>16</v>
      </c>
      <c r="EO454">
        <v>22</v>
      </c>
      <c r="EP454">
        <v>23</v>
      </c>
      <c r="EQ454" s="16">
        <v>24</v>
      </c>
      <c r="MA454" t="str">
        <f t="shared" si="410"/>
        <v>DI2-B7</v>
      </c>
    </row>
    <row r="455" spans="1:339" x14ac:dyDescent="0.25">
      <c r="A455" s="83" t="s">
        <v>2540</v>
      </c>
      <c r="B455" s="83" t="s">
        <v>2539</v>
      </c>
      <c r="C455" s="3"/>
      <c r="O455" s="2"/>
      <c r="P455" t="s">
        <v>129</v>
      </c>
      <c r="Q455" s="1"/>
      <c r="S455" s="1" t="s">
        <v>130</v>
      </c>
      <c r="T455" s="14" t="s">
        <v>2182</v>
      </c>
      <c r="U455" s="59">
        <v>13</v>
      </c>
      <c r="V455" s="15" t="s">
        <v>2527</v>
      </c>
      <c r="W455" s="15"/>
      <c r="AC455" t="str">
        <f t="shared" si="500"/>
        <v>A5.2</v>
      </c>
      <c r="AD455" s="43">
        <f t="array" ref="AD455">IF(COUNTIFS(AC$377:AC455,AC455)=1,"1",VALUE(SUBSTITUTE(INDEX(AD:AD,_xlfn.XMATCH(AC455,AC$1:AC454,0,-1)),"A",""))+INDEX(AE:AE,_xlfn.XMATCH(AC455,AC$1:AC454,0,-1))+1)</f>
        <v>13</v>
      </c>
      <c r="AE455" s="43">
        <f t="array" ref="AE455">SUM(IF(ISNUMBER(FIND("TmDi",$BE$1:$AAQ$1)),IF(IFERROR(ISNUMBER(VALUE(SUBSTITUTE($BE455:$AAQ455,"B",""))),FALSE),IF(ISNUMBER(VALUE(SUBSTITUTE($BE455:$AAQ455,"B",""))),1,0),0)))</f>
        <v>5</v>
      </c>
      <c r="AF455" t="str">
        <f t="shared" si="440"/>
        <v>C13</v>
      </c>
      <c r="AG455" t="str">
        <f t="shared" si="441"/>
        <v>B13</v>
      </c>
      <c r="AH455" t="str">
        <f t="shared" si="501"/>
        <v>A6.1</v>
      </c>
      <c r="AI455" s="69">
        <f t="array" ref="AI455">IF(COUNTIFS(AH$377:AH455,AH455)=1,"1",VALUE(SUBSTITUTE(INDEX(AI:AI,_xlfn.XMATCH(AH455,AH$1:AH454,0,-1)),"A",""))+INDEX(AJ:AJ,_xlfn.XMATCH(AH455,AH$1:AH454,0,-1))+1)</f>
        <v>22</v>
      </c>
      <c r="AJ455" s="62">
        <f t="array" ref="AJ455">SUM(IF(ISNUMBER(FIND("TmDo",$BE$1:$AAQ$1)),IF(IFERROR(ISNUMBER(VALUE(SUBSTITUTE($BE455:$AAQ455,"B",""))),FALSE),IF(ISNUMBER(VALUE(SUBSTITUTE($BE455:$AAQ455,"B",""))),1,0),0)))</f>
        <v>2</v>
      </c>
      <c r="AK455" t="str">
        <f t="shared" si="442"/>
        <v>22A</v>
      </c>
      <c r="AL455" t="str">
        <f t="shared" si="443"/>
        <v>22B</v>
      </c>
      <c r="AM455" t="s">
        <v>169</v>
      </c>
      <c r="AP455" t="s">
        <v>2184</v>
      </c>
      <c r="AQ455" t="s">
        <v>2508</v>
      </c>
      <c r="AT455" t="s">
        <v>139</v>
      </c>
      <c r="AU455" t="s">
        <v>140</v>
      </c>
      <c r="BD455" s="16"/>
      <c r="BE455" s="27" t="str">
        <f t="shared" si="444"/>
        <v>XT13</v>
      </c>
      <c r="BF455" t="str">
        <f t="shared" si="445"/>
        <v>C14</v>
      </c>
      <c r="BG455" t="str">
        <f t="shared" si="446"/>
        <v>B14</v>
      </c>
      <c r="BH455" t="str">
        <f t="shared" si="447"/>
        <v>C15</v>
      </c>
      <c r="BI455" t="str">
        <f t="shared" si="448"/>
        <v>B15</v>
      </c>
      <c r="BJ455" t="str">
        <f t="shared" si="449"/>
        <v>C16</v>
      </c>
      <c r="BK455" t="str">
        <f t="shared" si="450"/>
        <v>B16</v>
      </c>
      <c r="BL455" t="str">
        <f t="shared" si="451"/>
        <v>C17</v>
      </c>
      <c r="BM455" t="str">
        <f t="shared" si="452"/>
        <v>B17</v>
      </c>
      <c r="BN455" t="str">
        <f t="shared" si="453"/>
        <v>C18</v>
      </c>
      <c r="BO455" t="str">
        <f t="shared" si="454"/>
        <v>B18</v>
      </c>
      <c r="BP455" t="str">
        <f t="shared" si="455"/>
        <v>23A</v>
      </c>
      <c r="BQ455" t="str">
        <f t="shared" si="456"/>
        <v>23B</v>
      </c>
      <c r="BR455" t="str">
        <f t="shared" si="457"/>
        <v>24A</v>
      </c>
      <c r="BS455" t="str">
        <f t="shared" si="458"/>
        <v>24B</v>
      </c>
      <c r="BT455" t="str">
        <f t="shared" si="459"/>
        <v>DI2-C13</v>
      </c>
      <c r="BU455" t="str">
        <f t="shared" si="460"/>
        <v>DI2-B13</v>
      </c>
      <c r="BV455" t="str">
        <f t="shared" si="461"/>
        <v>DI2-C14</v>
      </c>
      <c r="BW455" t="str">
        <f t="shared" si="462"/>
        <v>DI2-B14</v>
      </c>
      <c r="BX455" t="str">
        <f t="shared" si="463"/>
        <v>DI2-C15</v>
      </c>
      <c r="BY455" t="str">
        <f t="shared" si="464"/>
        <v>DI2-B15</v>
      </c>
      <c r="BZ455" t="str">
        <f t="shared" si="465"/>
        <v>DI2-C16</v>
      </c>
      <c r="CA455" t="str">
        <f t="shared" si="466"/>
        <v>DI2-B16</v>
      </c>
      <c r="CB455" t="str">
        <f t="shared" si="467"/>
        <v>DI2-C17</v>
      </c>
      <c r="CC455" t="str">
        <f t="shared" si="468"/>
        <v>DI2-B17</v>
      </c>
      <c r="CD455" t="str">
        <f t="shared" si="469"/>
        <v>DI2-C18</v>
      </c>
      <c r="CE455" t="str">
        <f t="shared" si="470"/>
        <v>DI2-B18</v>
      </c>
      <c r="CF455" t="str">
        <f t="shared" si="471"/>
        <v>DO1-22A</v>
      </c>
      <c r="CG455" t="str">
        <f t="shared" si="472"/>
        <v>DO1-22B</v>
      </c>
      <c r="CH455" t="str">
        <f t="shared" si="473"/>
        <v>DO1-23A</v>
      </c>
      <c r="CI455" t="str">
        <f t="shared" si="474"/>
        <v>DO1-23B</v>
      </c>
      <c r="CJ455" t="str">
        <f t="shared" si="475"/>
        <v>DO1-24A</v>
      </c>
      <c r="CK455" t="str">
        <f t="shared" si="476"/>
        <v>DO1-24B</v>
      </c>
      <c r="CL455" t="str">
        <f t="shared" si="477"/>
        <v>K13-10</v>
      </c>
      <c r="CM455" t="str">
        <f t="shared" si="478"/>
        <v>K13-03</v>
      </c>
      <c r="CN455" t="str">
        <f t="shared" si="479"/>
        <v>K13-04</v>
      </c>
      <c r="CO455" t="str">
        <f t="shared" si="480"/>
        <v>K13-01</v>
      </c>
      <c r="CP455" t="str">
        <f t="shared" si="481"/>
        <v>K13-08</v>
      </c>
      <c r="CQ455" t="str">
        <f t="shared" si="482"/>
        <v>K13-02</v>
      </c>
      <c r="CR455" t="str">
        <f t="shared" si="483"/>
        <v>K13-09</v>
      </c>
      <c r="CS455" t="str">
        <f t="shared" si="484"/>
        <v>K13-05</v>
      </c>
      <c r="CT455" t="str">
        <f t="shared" si="485"/>
        <v>K13-11</v>
      </c>
      <c r="CU455" t="str">
        <f t="shared" si="486"/>
        <v>N1-M13-A9</v>
      </c>
      <c r="CV455" t="str">
        <f t="shared" si="487"/>
        <v>N1-M13-A7</v>
      </c>
      <c r="CW455" t="str">
        <f t="shared" si="488"/>
        <v>N1-M13-A8</v>
      </c>
      <c r="CX455" t="str">
        <f t="shared" si="489"/>
        <v>N1-M13-A6</v>
      </c>
      <c r="CY455" t="str">
        <f t="shared" si="490"/>
        <v>N1-M13-A30</v>
      </c>
      <c r="CZ455" t="str">
        <f t="shared" si="491"/>
        <v>N1-M13-N</v>
      </c>
      <c r="DA455" t="str">
        <f t="shared" si="492"/>
        <v>N1-A220-M13</v>
      </c>
      <c r="DB455" t="str">
        <f t="shared" si="493"/>
        <v>N1-M13-XM01</v>
      </c>
      <c r="DC455" t="str">
        <f t="shared" si="494"/>
        <v>N1-M13-A1</v>
      </c>
      <c r="DD455" t="str">
        <f t="shared" si="495"/>
        <v>N1-M13-A5</v>
      </c>
      <c r="DE455" t="str">
        <f t="shared" si="496"/>
        <v>N1-M13-A11</v>
      </c>
      <c r="DF455" t="str">
        <f t="shared" si="497"/>
        <v>N1-M13-A12</v>
      </c>
      <c r="DG455" t="str">
        <f t="shared" si="498"/>
        <v>N1-M13-A19</v>
      </c>
      <c r="DH455" t="str">
        <f t="shared" si="499"/>
        <v>N1-M13-A20</v>
      </c>
      <c r="DI455" t="s">
        <v>142</v>
      </c>
      <c r="DJ455" t="s">
        <v>143</v>
      </c>
      <c r="DK455">
        <v>11</v>
      </c>
      <c r="DL455">
        <v>14</v>
      </c>
      <c r="DM455">
        <v>12</v>
      </c>
      <c r="DN455" t="s">
        <v>144</v>
      </c>
      <c r="DO455" t="s">
        <v>145</v>
      </c>
      <c r="DP455">
        <v>1</v>
      </c>
      <c r="DQ455">
        <v>2</v>
      </c>
      <c r="DR455">
        <v>3</v>
      </c>
      <c r="DS455">
        <v>4</v>
      </c>
      <c r="DT455">
        <v>5</v>
      </c>
      <c r="DU455">
        <v>6</v>
      </c>
      <c r="DV455">
        <v>7</v>
      </c>
      <c r="DW455">
        <v>8</v>
      </c>
      <c r="DX455">
        <v>9</v>
      </c>
      <c r="DY455">
        <v>10</v>
      </c>
      <c r="DZ455">
        <v>11</v>
      </c>
      <c r="EA455">
        <v>12</v>
      </c>
      <c r="EB455">
        <v>13</v>
      </c>
      <c r="EC455">
        <v>14</v>
      </c>
      <c r="ED455">
        <v>1</v>
      </c>
      <c r="EE455">
        <v>3</v>
      </c>
      <c r="EF455">
        <v>4</v>
      </c>
      <c r="EG455">
        <v>7</v>
      </c>
      <c r="EH455">
        <v>8</v>
      </c>
      <c r="EI455">
        <v>9</v>
      </c>
      <c r="EJ455">
        <v>10</v>
      </c>
      <c r="EK455">
        <v>13</v>
      </c>
      <c r="EL455">
        <v>14</v>
      </c>
      <c r="EM455">
        <v>15</v>
      </c>
      <c r="EN455">
        <v>16</v>
      </c>
      <c r="EO455">
        <v>22</v>
      </c>
      <c r="EP455">
        <v>23</v>
      </c>
      <c r="EQ455" s="16">
        <v>24</v>
      </c>
      <c r="MA455" t="str">
        <f t="shared" si="410"/>
        <v>DI2-B13</v>
      </c>
    </row>
    <row r="456" spans="1:339" x14ac:dyDescent="0.25">
      <c r="A456" s="83" t="s">
        <v>2542</v>
      </c>
      <c r="B456" s="83" t="s">
        <v>2541</v>
      </c>
      <c r="C456" s="3"/>
      <c r="O456" s="2"/>
      <c r="P456" t="s">
        <v>129</v>
      </c>
      <c r="Q456" s="1"/>
      <c r="S456" s="1" t="s">
        <v>130</v>
      </c>
      <c r="T456" s="14" t="s">
        <v>2182</v>
      </c>
      <c r="U456" s="59">
        <v>14</v>
      </c>
      <c r="V456" s="15" t="s">
        <v>2528</v>
      </c>
      <c r="W456" s="15"/>
      <c r="AC456" t="str">
        <f t="shared" si="500"/>
        <v>A5.2</v>
      </c>
      <c r="AD456" s="43">
        <f t="array" ref="AD456">IF(COUNTIFS(AC$377:AC456,AC456)=1,"1",VALUE(SUBSTITUTE(INDEX(AD:AD,_xlfn.XMATCH(AC456,AC$1:AC455,0,-1)),"A",""))+INDEX(AE:AE,_xlfn.XMATCH(AC456,AC$1:AC455,0,-1))+1)</f>
        <v>19</v>
      </c>
      <c r="AE456" s="43">
        <f t="array" ref="AE456">SUM(IF(ISNUMBER(FIND("TmDi",$BE$1:$AAQ$1)),IF(IFERROR(ISNUMBER(VALUE(SUBSTITUTE($BE456:$AAQ456,"B",""))),FALSE),IF(ISNUMBER(VALUE(SUBSTITUTE($BE456:$AAQ456,"B",""))),1,0),0)))</f>
        <v>5</v>
      </c>
      <c r="AF456" t="str">
        <f t="shared" si="440"/>
        <v>C19</v>
      </c>
      <c r="AG456" t="str">
        <f t="shared" si="441"/>
        <v>B19</v>
      </c>
      <c r="AH456" t="str">
        <f>IF(AI455+AJ455&gt;25,REPLACE(AH455,LEN(AH455),1,VALUE(RIGHT(AH455,1))+1),AH455)</f>
        <v>A6.1</v>
      </c>
      <c r="AI456" s="69">
        <f t="array" ref="AI456">IF(COUNTIFS(AH$377:AH456,AH456)=1,"1",VALUE(SUBSTITUTE(INDEX(AI:AI,_xlfn.XMATCH(AH456,AH$1:AH455,0,-1)),"A",""))+INDEX(AJ:AJ,_xlfn.XMATCH(AH456,AH$1:AH455,0,-1))+1)</f>
        <v>25</v>
      </c>
      <c r="AJ456" s="62">
        <f t="array" ref="AJ456">SUM(IF(ISNUMBER(FIND("TmDo",$BE$1:$AAQ$1)),IF(IFERROR(ISNUMBER(VALUE(SUBSTITUTE($BE456:$AAQ456,"B",""))),FALSE),IF(ISNUMBER(VALUE(SUBSTITUTE($BE456:$AAQ456,"B",""))),1,0),0)))</f>
        <v>2</v>
      </c>
      <c r="AK456" t="str">
        <f t="shared" si="442"/>
        <v>25A</v>
      </c>
      <c r="AL456" t="str">
        <f t="shared" si="443"/>
        <v>25B</v>
      </c>
      <c r="AM456" t="s">
        <v>172</v>
      </c>
      <c r="AP456" t="s">
        <v>2184</v>
      </c>
      <c r="AQ456" t="s">
        <v>2508</v>
      </c>
      <c r="AT456" t="s">
        <v>139</v>
      </c>
      <c r="AU456" t="s">
        <v>140</v>
      </c>
      <c r="BD456" s="16"/>
      <c r="BE456" s="27" t="str">
        <f t="shared" si="444"/>
        <v>XT14</v>
      </c>
      <c r="BF456" t="str">
        <f t="shared" si="445"/>
        <v>C20</v>
      </c>
      <c r="BG456" t="str">
        <f t="shared" si="446"/>
        <v>B20</v>
      </c>
      <c r="BH456" t="str">
        <f t="shared" si="447"/>
        <v>C21</v>
      </c>
      <c r="BI456" t="str">
        <f t="shared" si="448"/>
        <v>B21</v>
      </c>
      <c r="BJ456" t="str">
        <f t="shared" si="449"/>
        <v>C22</v>
      </c>
      <c r="BK456" t="str">
        <f t="shared" si="450"/>
        <v>B22</v>
      </c>
      <c r="BL456" t="str">
        <f t="shared" si="451"/>
        <v>C23</v>
      </c>
      <c r="BM456" t="str">
        <f t="shared" si="452"/>
        <v>B23</v>
      </c>
      <c r="BN456" t="str">
        <f t="shared" si="453"/>
        <v>C24</v>
      </c>
      <c r="BO456" t="str">
        <f t="shared" si="454"/>
        <v>B24</v>
      </c>
      <c r="BP456" t="str">
        <f t="shared" si="455"/>
        <v>26A</v>
      </c>
      <c r="BQ456" t="str">
        <f t="shared" si="456"/>
        <v>26B</v>
      </c>
      <c r="BR456" t="str">
        <f t="shared" si="457"/>
        <v>27A</v>
      </c>
      <c r="BS456" t="str">
        <f t="shared" si="458"/>
        <v>27B</v>
      </c>
      <c r="BT456" t="str">
        <f t="shared" si="459"/>
        <v>DI2-C19</v>
      </c>
      <c r="BU456" t="str">
        <f t="shared" si="460"/>
        <v>DI2-B19</v>
      </c>
      <c r="BV456" t="str">
        <f t="shared" si="461"/>
        <v>DI2-C20</v>
      </c>
      <c r="BW456" t="str">
        <f t="shared" si="462"/>
        <v>DI2-B20</v>
      </c>
      <c r="BX456" t="str">
        <f t="shared" si="463"/>
        <v>DI2-C21</v>
      </c>
      <c r="BY456" t="str">
        <f t="shared" si="464"/>
        <v>DI2-B21</v>
      </c>
      <c r="BZ456" t="str">
        <f t="shared" si="465"/>
        <v>DI2-C22</v>
      </c>
      <c r="CA456" t="str">
        <f t="shared" si="466"/>
        <v>DI2-B22</v>
      </c>
      <c r="CB456" t="str">
        <f t="shared" si="467"/>
        <v>DI2-C23</v>
      </c>
      <c r="CC456" t="str">
        <f t="shared" si="468"/>
        <v>DI2-B23</v>
      </c>
      <c r="CD456" t="str">
        <f t="shared" si="469"/>
        <v>DI2-C24</v>
      </c>
      <c r="CE456" t="str">
        <f t="shared" si="470"/>
        <v>DI2-B24</v>
      </c>
      <c r="CF456" t="str">
        <f t="shared" si="471"/>
        <v>DO1-25A</v>
      </c>
      <c r="CG456" t="str">
        <f t="shared" si="472"/>
        <v>DO1-25B</v>
      </c>
      <c r="CH456" t="str">
        <f t="shared" si="473"/>
        <v>DO1-26A</v>
      </c>
      <c r="CI456" t="str">
        <f t="shared" si="474"/>
        <v>DO1-26B</v>
      </c>
      <c r="CJ456" t="str">
        <f t="shared" si="475"/>
        <v>DO1-27A</v>
      </c>
      <c r="CK456" t="str">
        <f t="shared" si="476"/>
        <v>DO1-27B</v>
      </c>
      <c r="CL456" t="str">
        <f t="shared" si="477"/>
        <v>K14-10</v>
      </c>
      <c r="CM456" t="str">
        <f t="shared" si="478"/>
        <v>K14-03</v>
      </c>
      <c r="CN456" t="str">
        <f t="shared" si="479"/>
        <v>K14-04</v>
      </c>
      <c r="CO456" t="str">
        <f t="shared" si="480"/>
        <v>K14-01</v>
      </c>
      <c r="CP456" t="str">
        <f t="shared" si="481"/>
        <v>K14-08</v>
      </c>
      <c r="CQ456" t="str">
        <f t="shared" si="482"/>
        <v>K14-02</v>
      </c>
      <c r="CR456" t="str">
        <f t="shared" si="483"/>
        <v>K14-09</v>
      </c>
      <c r="CS456" t="str">
        <f t="shared" si="484"/>
        <v>K14-05</v>
      </c>
      <c r="CT456" t="str">
        <f t="shared" si="485"/>
        <v>K14-11</v>
      </c>
      <c r="CU456" t="str">
        <f t="shared" si="486"/>
        <v>N1-M14-A9</v>
      </c>
      <c r="CV456" t="str">
        <f t="shared" si="487"/>
        <v>N1-M14-A7</v>
      </c>
      <c r="CW456" t="str">
        <f t="shared" si="488"/>
        <v>N1-M14-A8</v>
      </c>
      <c r="CX456" t="str">
        <f t="shared" si="489"/>
        <v>N1-M14-A6</v>
      </c>
      <c r="CY456" t="str">
        <f t="shared" si="490"/>
        <v>N1-M14-A30</v>
      </c>
      <c r="CZ456" t="str">
        <f t="shared" si="491"/>
        <v>N1-M14-N</v>
      </c>
      <c r="DA456" t="str">
        <f t="shared" si="492"/>
        <v>N1-A220-M14</v>
      </c>
      <c r="DB456" t="str">
        <f t="shared" si="493"/>
        <v>N1-M14-XM01</v>
      </c>
      <c r="DC456" t="str">
        <f t="shared" si="494"/>
        <v>N1-M14-A1</v>
      </c>
      <c r="DD456" t="str">
        <f t="shared" si="495"/>
        <v>N1-M14-A5</v>
      </c>
      <c r="DE456" t="str">
        <f t="shared" si="496"/>
        <v>N1-M14-A11</v>
      </c>
      <c r="DF456" t="str">
        <f t="shared" si="497"/>
        <v>N1-M14-A12</v>
      </c>
      <c r="DG456" t="str">
        <f t="shared" si="498"/>
        <v>N1-M14-A19</v>
      </c>
      <c r="DH456" t="str">
        <f t="shared" si="499"/>
        <v>N1-M14-A20</v>
      </c>
      <c r="DI456" t="s">
        <v>142</v>
      </c>
      <c r="DJ456" t="s">
        <v>143</v>
      </c>
      <c r="DK456">
        <v>11</v>
      </c>
      <c r="DL456">
        <v>14</v>
      </c>
      <c r="DM456">
        <v>12</v>
      </c>
      <c r="DN456" t="s">
        <v>144</v>
      </c>
      <c r="DO456" t="s">
        <v>145</v>
      </c>
      <c r="DP456">
        <v>1</v>
      </c>
      <c r="DQ456">
        <v>2</v>
      </c>
      <c r="DR456">
        <v>3</v>
      </c>
      <c r="DS456">
        <v>4</v>
      </c>
      <c r="DT456">
        <v>5</v>
      </c>
      <c r="DU456">
        <v>6</v>
      </c>
      <c r="DV456">
        <v>7</v>
      </c>
      <c r="DW456">
        <v>8</v>
      </c>
      <c r="DX456">
        <v>9</v>
      </c>
      <c r="DY456">
        <v>10</v>
      </c>
      <c r="DZ456">
        <v>11</v>
      </c>
      <c r="EA456">
        <v>12</v>
      </c>
      <c r="EB456">
        <v>13</v>
      </c>
      <c r="EC456">
        <v>14</v>
      </c>
      <c r="ED456">
        <v>1</v>
      </c>
      <c r="EE456">
        <v>3</v>
      </c>
      <c r="EF456">
        <v>4</v>
      </c>
      <c r="EG456">
        <v>7</v>
      </c>
      <c r="EH456">
        <v>8</v>
      </c>
      <c r="EI456">
        <v>9</v>
      </c>
      <c r="EJ456">
        <v>10</v>
      </c>
      <c r="EK456">
        <v>13</v>
      </c>
      <c r="EL456">
        <v>14</v>
      </c>
      <c r="EM456">
        <v>15</v>
      </c>
      <c r="EN456">
        <v>16</v>
      </c>
      <c r="EO456">
        <v>22</v>
      </c>
      <c r="EP456">
        <v>23</v>
      </c>
      <c r="EQ456" s="16">
        <v>24</v>
      </c>
      <c r="MA456" t="str">
        <f t="shared" si="410"/>
        <v>DI2-B19</v>
      </c>
    </row>
    <row r="457" spans="1:339" x14ac:dyDescent="0.25">
      <c r="A457" s="83" t="s">
        <v>2544</v>
      </c>
      <c r="B457" s="83" t="s">
        <v>2543</v>
      </c>
      <c r="C457" s="3"/>
      <c r="O457" s="2"/>
      <c r="P457" t="s">
        <v>129</v>
      </c>
      <c r="Q457" s="1"/>
      <c r="S457" s="1" t="s">
        <v>130</v>
      </c>
      <c r="T457" s="14" t="s">
        <v>2182</v>
      </c>
      <c r="U457" s="59">
        <v>15</v>
      </c>
      <c r="V457" s="15" t="s">
        <v>2529</v>
      </c>
      <c r="W457" s="15"/>
      <c r="AC457" t="str">
        <f t="shared" si="500"/>
        <v>A5.2</v>
      </c>
      <c r="AD457" s="43">
        <f t="array" ref="AD457">IF(COUNTIFS(AC$377:AC457,AC457)=1,"1",VALUE(SUBSTITUTE(INDEX(AD:AD,_xlfn.XMATCH(AC457,AC$1:AC456,0,-1)),"A",""))+INDEX(AE:AE,_xlfn.XMATCH(AC457,AC$1:AC456,0,-1))+1)</f>
        <v>25</v>
      </c>
      <c r="AE457" s="43">
        <f t="array" ref="AE457">SUM(IF(ISNUMBER(FIND("TmDi",$BE$1:$AAQ$1)),IF(IFERROR(ISNUMBER(VALUE(SUBSTITUTE($BE457:$AAQ457,"B",""))),FALSE),IF(ISNUMBER(VALUE(SUBSTITUTE($BE457:$AAQ457,"B",""))),1,0),0)))</f>
        <v>5</v>
      </c>
      <c r="AF457" t="str">
        <f t="shared" si="440"/>
        <v>C25</v>
      </c>
      <c r="AG457" t="str">
        <f t="shared" si="441"/>
        <v>B25</v>
      </c>
      <c r="AH457" t="str">
        <f t="shared" ref="AH457:AH487" si="502">IF(AI456+AJ456&gt;25,REPLACE(AH456,LEN(AH456),1,VALUE(RIGHT(AH456,1))+1),AH456)</f>
        <v>A6.2</v>
      </c>
      <c r="AI457" s="69" t="str">
        <f t="array" ref="AI457">IF(COUNTIFS(AH$377:AH457,AH457)=1,"1",VALUE(SUBSTITUTE(INDEX(AI:AI,_xlfn.XMATCH(AH457,AH$1:AH456,0,-1)),"A",""))+INDEX(AJ:AJ,_xlfn.XMATCH(AH457,AH$1:AH456,0,-1))+1)</f>
        <v>1</v>
      </c>
      <c r="AJ457" s="62">
        <f t="array" ref="AJ457">SUM(IF(ISNUMBER(FIND("TmDo",$BE$1:$AAQ$1)),IF(IFERROR(ISNUMBER(VALUE(SUBSTITUTE($BE457:$AAQ457,"B",""))),FALSE),IF(ISNUMBER(VALUE(SUBSTITUTE($BE457:$AAQ457,"B",""))),1,0),0)))</f>
        <v>2</v>
      </c>
      <c r="AK457" t="str">
        <f t="shared" si="442"/>
        <v>1A</v>
      </c>
      <c r="AL457" t="str">
        <f t="shared" si="443"/>
        <v>1B</v>
      </c>
      <c r="AM457" t="s">
        <v>175</v>
      </c>
      <c r="AP457" t="s">
        <v>2184</v>
      </c>
      <c r="AQ457" t="s">
        <v>2508</v>
      </c>
      <c r="AT457" t="s">
        <v>139</v>
      </c>
      <c r="AU457" t="s">
        <v>140</v>
      </c>
      <c r="BD457" s="16"/>
      <c r="BE457" s="27" t="str">
        <f t="shared" si="444"/>
        <v>XT15</v>
      </c>
      <c r="BF457" t="str">
        <f t="shared" si="445"/>
        <v>C26</v>
      </c>
      <c r="BG457" t="str">
        <f t="shared" si="446"/>
        <v>B26</v>
      </c>
      <c r="BH457" t="str">
        <f t="shared" si="447"/>
        <v>C27</v>
      </c>
      <c r="BI457" t="str">
        <f t="shared" si="448"/>
        <v>B27</v>
      </c>
      <c r="BJ457" t="str">
        <f t="shared" si="449"/>
        <v>C28</v>
      </c>
      <c r="BK457" t="str">
        <f t="shared" si="450"/>
        <v>B28</v>
      </c>
      <c r="BL457" t="str">
        <f t="shared" si="451"/>
        <v>C29</v>
      </c>
      <c r="BM457" t="str">
        <f t="shared" si="452"/>
        <v>B29</v>
      </c>
      <c r="BN457" t="str">
        <f t="shared" si="453"/>
        <v>C30</v>
      </c>
      <c r="BO457" t="str">
        <f t="shared" si="454"/>
        <v>B30</v>
      </c>
      <c r="BP457" t="str">
        <f t="shared" si="455"/>
        <v>2A</v>
      </c>
      <c r="BQ457" t="str">
        <f t="shared" si="456"/>
        <v>2B</v>
      </c>
      <c r="BR457" t="str">
        <f t="shared" si="457"/>
        <v>3A</v>
      </c>
      <c r="BS457" t="str">
        <f t="shared" si="458"/>
        <v>3B</v>
      </c>
      <c r="BT457" t="str">
        <f t="shared" si="459"/>
        <v>DI2-C25</v>
      </c>
      <c r="BU457" t="str">
        <f t="shared" si="460"/>
        <v>DI2-B25</v>
      </c>
      <c r="BV457" t="str">
        <f t="shared" si="461"/>
        <v>DI2-C26</v>
      </c>
      <c r="BW457" t="str">
        <f t="shared" si="462"/>
        <v>DI2-B26</v>
      </c>
      <c r="BX457" t="str">
        <f t="shared" si="463"/>
        <v>DI2-C27</v>
      </c>
      <c r="BY457" t="str">
        <f t="shared" si="464"/>
        <v>DI2-B27</v>
      </c>
      <c r="BZ457" t="str">
        <f t="shared" si="465"/>
        <v>DI2-C28</v>
      </c>
      <c r="CA457" t="str">
        <f t="shared" si="466"/>
        <v>DI2-B28</v>
      </c>
      <c r="CB457" t="str">
        <f t="shared" si="467"/>
        <v>DI2-C29</v>
      </c>
      <c r="CC457" t="str">
        <f t="shared" si="468"/>
        <v>DI2-B29</v>
      </c>
      <c r="CD457" t="str">
        <f t="shared" si="469"/>
        <v>DI2-C30</v>
      </c>
      <c r="CE457" t="str">
        <f t="shared" si="470"/>
        <v>DI2-B30</v>
      </c>
      <c r="CF457" t="str">
        <f t="shared" si="471"/>
        <v>DO2-1A</v>
      </c>
      <c r="CG457" t="str">
        <f t="shared" si="472"/>
        <v>DO2-1B</v>
      </c>
      <c r="CH457" t="str">
        <f t="shared" si="473"/>
        <v>DO2-2A</v>
      </c>
      <c r="CI457" t="str">
        <f t="shared" si="474"/>
        <v>DO2-2B</v>
      </c>
      <c r="CJ457" t="str">
        <f t="shared" si="475"/>
        <v>DO2-3A</v>
      </c>
      <c r="CK457" t="str">
        <f t="shared" si="476"/>
        <v>DO2-3B</v>
      </c>
      <c r="CL457" t="str">
        <f t="shared" si="477"/>
        <v>K15-10</v>
      </c>
      <c r="CM457" t="str">
        <f t="shared" si="478"/>
        <v>K15-03</v>
      </c>
      <c r="CN457" t="str">
        <f t="shared" si="479"/>
        <v>K15-04</v>
      </c>
      <c r="CO457" t="str">
        <f t="shared" si="480"/>
        <v>K15-01</v>
      </c>
      <c r="CP457" t="str">
        <f t="shared" si="481"/>
        <v>K15-08</v>
      </c>
      <c r="CQ457" t="str">
        <f t="shared" si="482"/>
        <v>K15-02</v>
      </c>
      <c r="CR457" t="str">
        <f t="shared" si="483"/>
        <v>K15-09</v>
      </c>
      <c r="CS457" t="str">
        <f t="shared" si="484"/>
        <v>K15-05</v>
      </c>
      <c r="CT457" t="str">
        <f t="shared" si="485"/>
        <v>K15-11</v>
      </c>
      <c r="CU457" t="str">
        <f t="shared" si="486"/>
        <v>N1-M15-A9</v>
      </c>
      <c r="CV457" t="str">
        <f t="shared" si="487"/>
        <v>N1-M15-A7</v>
      </c>
      <c r="CW457" t="str">
        <f t="shared" si="488"/>
        <v>N1-M15-A8</v>
      </c>
      <c r="CX457" t="str">
        <f t="shared" si="489"/>
        <v>N1-M15-A6</v>
      </c>
      <c r="CY457" t="str">
        <f t="shared" si="490"/>
        <v>N1-M15-A30</v>
      </c>
      <c r="CZ457" t="str">
        <f t="shared" si="491"/>
        <v>N1-M15-N</v>
      </c>
      <c r="DA457" t="str">
        <f t="shared" si="492"/>
        <v>N1-A220-M15</v>
      </c>
      <c r="DB457" t="str">
        <f t="shared" si="493"/>
        <v>N1-M15-XM01</v>
      </c>
      <c r="DC457" t="str">
        <f t="shared" si="494"/>
        <v>N1-M15-A1</v>
      </c>
      <c r="DD457" t="str">
        <f t="shared" si="495"/>
        <v>N1-M15-A5</v>
      </c>
      <c r="DE457" t="str">
        <f t="shared" si="496"/>
        <v>N1-M15-A11</v>
      </c>
      <c r="DF457" t="str">
        <f t="shared" si="497"/>
        <v>N1-M15-A12</v>
      </c>
      <c r="DG457" t="str">
        <f t="shared" si="498"/>
        <v>N1-M15-A19</v>
      </c>
      <c r="DH457" t="str">
        <f t="shared" si="499"/>
        <v>N1-M15-A20</v>
      </c>
      <c r="DI457" t="s">
        <v>142</v>
      </c>
      <c r="DJ457" t="s">
        <v>143</v>
      </c>
      <c r="DK457">
        <v>11</v>
      </c>
      <c r="DL457">
        <v>14</v>
      </c>
      <c r="DM457">
        <v>12</v>
      </c>
      <c r="DN457" t="s">
        <v>144</v>
      </c>
      <c r="DO457" t="s">
        <v>145</v>
      </c>
      <c r="DP457">
        <v>1</v>
      </c>
      <c r="DQ457">
        <v>2</v>
      </c>
      <c r="DR457">
        <v>3</v>
      </c>
      <c r="DS457">
        <v>4</v>
      </c>
      <c r="DT457">
        <v>5</v>
      </c>
      <c r="DU457">
        <v>6</v>
      </c>
      <c r="DV457">
        <v>7</v>
      </c>
      <c r="DW457">
        <v>8</v>
      </c>
      <c r="DX457">
        <v>9</v>
      </c>
      <c r="DY457">
        <v>10</v>
      </c>
      <c r="DZ457">
        <v>11</v>
      </c>
      <c r="EA457">
        <v>12</v>
      </c>
      <c r="EB457">
        <v>13</v>
      </c>
      <c r="EC457">
        <v>14</v>
      </c>
      <c r="ED457">
        <v>1</v>
      </c>
      <c r="EE457">
        <v>3</v>
      </c>
      <c r="EF457">
        <v>4</v>
      </c>
      <c r="EG457">
        <v>7</v>
      </c>
      <c r="EH457">
        <v>8</v>
      </c>
      <c r="EI457">
        <v>9</v>
      </c>
      <c r="EJ457">
        <v>10</v>
      </c>
      <c r="EK457">
        <v>13</v>
      </c>
      <c r="EL457">
        <v>14</v>
      </c>
      <c r="EM457">
        <v>15</v>
      </c>
      <c r="EN457">
        <v>16</v>
      </c>
      <c r="EO457">
        <v>22</v>
      </c>
      <c r="EP457">
        <v>23</v>
      </c>
      <c r="EQ457" s="16">
        <v>24</v>
      </c>
      <c r="MA457" t="str">
        <f t="shared" si="410"/>
        <v>DI2-B25</v>
      </c>
    </row>
    <row r="458" spans="1:339" x14ac:dyDescent="0.25">
      <c r="A458" s="83" t="s">
        <v>2546</v>
      </c>
      <c r="B458" s="83" t="s">
        <v>2545</v>
      </c>
      <c r="C458" s="3"/>
      <c r="O458" s="2"/>
      <c r="P458" t="s">
        <v>129</v>
      </c>
      <c r="Q458" s="1"/>
      <c r="S458" s="1" t="s">
        <v>130</v>
      </c>
      <c r="T458" s="14" t="s">
        <v>2182</v>
      </c>
      <c r="U458" s="59">
        <v>16</v>
      </c>
      <c r="V458" s="15" t="s">
        <v>2530</v>
      </c>
      <c r="W458" s="15"/>
      <c r="AC458" t="str">
        <f t="shared" si="500"/>
        <v>A5.3</v>
      </c>
      <c r="AD458" s="43" t="str">
        <f t="array" ref="AD458">IF(COUNTIFS(AC$377:AC458,AC458)=1,"1",VALUE(SUBSTITUTE(INDEX(AD:AD,_xlfn.XMATCH(AC458,AC$1:AC457,0,-1)),"A",""))+INDEX(AE:AE,_xlfn.XMATCH(AC458,AC$1:AC457,0,-1))+1)</f>
        <v>1</v>
      </c>
      <c r="AE458" s="43">
        <f t="array" ref="AE458">SUM(IF(ISNUMBER(FIND("TmDi",$BE$1:$AAQ$1)),IF(IFERROR(ISNUMBER(VALUE(SUBSTITUTE($BE458:$AAQ458,"B",""))),FALSE),IF(ISNUMBER(VALUE(SUBSTITUTE($BE458:$AAQ458,"B",""))),1,0),0)))</f>
        <v>5</v>
      </c>
      <c r="AF458" t="str">
        <f t="shared" si="440"/>
        <v>C1</v>
      </c>
      <c r="AG458" t="str">
        <f t="shared" si="441"/>
        <v>B1</v>
      </c>
      <c r="AH458" t="str">
        <f t="shared" si="502"/>
        <v>A6.2</v>
      </c>
      <c r="AI458" s="69">
        <f t="array" ref="AI458">IF(COUNTIFS(AH$377:AH458,AH458)=1,"1",VALUE(SUBSTITUTE(INDEX(AI:AI,_xlfn.XMATCH(AH458,AH$1:AH457,0,-1)),"A",""))+INDEX(AJ:AJ,_xlfn.XMATCH(AH458,AH$1:AH457,0,-1))+1)</f>
        <v>4</v>
      </c>
      <c r="AJ458" s="62">
        <f t="array" ref="AJ458">SUM(IF(ISNUMBER(FIND("TmDo",$BE$1:$AAQ$1)),IF(IFERROR(ISNUMBER(VALUE(SUBSTITUTE($BE458:$AAQ458,"B",""))),FALSE),IF(ISNUMBER(VALUE(SUBSTITUTE($BE458:$AAQ458,"B",""))),1,0),0)))</f>
        <v>2</v>
      </c>
      <c r="AK458" t="str">
        <f t="shared" si="442"/>
        <v>4A</v>
      </c>
      <c r="AL458" t="str">
        <f t="shared" si="443"/>
        <v>4B</v>
      </c>
      <c r="AM458" t="s">
        <v>178</v>
      </c>
      <c r="AP458" t="s">
        <v>2184</v>
      </c>
      <c r="AQ458" t="s">
        <v>2508</v>
      </c>
      <c r="AT458" t="s">
        <v>139</v>
      </c>
      <c r="AU458" t="s">
        <v>140</v>
      </c>
      <c r="BD458" s="16"/>
      <c r="BE458" s="27" t="str">
        <f t="shared" ref="BE458:BE466" si="503">CONCATENATE("XT",U458)</f>
        <v>XT16</v>
      </c>
      <c r="BF458" t="str">
        <f t="shared" ref="BF458:BF466" si="504">CONCATENATE("C",REPLACE(AF458,1,1,"")+1)</f>
        <v>C2</v>
      </c>
      <c r="BG458" t="str">
        <f t="shared" ref="BG458:BG466" si="505">CONCATENATE("B",REPLACE(AG458,1,1,"")+1)</f>
        <v>B2</v>
      </c>
      <c r="BH458" t="str">
        <f t="shared" ref="BH458:BH466" si="506">CONCATENATE("C",REPLACE(BF458,1,1,"")+1)</f>
        <v>C3</v>
      </c>
      <c r="BI458" t="str">
        <f t="shared" ref="BI458:BI466" si="507">CONCATENATE("B",REPLACE(BG458,1,1,"")+1)</f>
        <v>B3</v>
      </c>
      <c r="BJ458" t="str">
        <f t="shared" ref="BJ458:BJ466" si="508">CONCATENATE("C",REPLACE(BH458,1,1,"")+1)</f>
        <v>C4</v>
      </c>
      <c r="BK458" t="str">
        <f t="shared" ref="BK458:BK466" si="509">CONCATENATE("B",REPLACE(BI458,1,1,"")+1)</f>
        <v>B4</v>
      </c>
      <c r="BL458" t="str">
        <f t="shared" ref="BL458:BL466" si="510">CONCATENATE("C",REPLACE(BJ458,1,1,"")+1)</f>
        <v>C5</v>
      </c>
      <c r="BM458" t="str">
        <f t="shared" ref="BM458:BM466" si="511">CONCATENATE("B",REPLACE(BK458,1,1,"")+1)</f>
        <v>B5</v>
      </c>
      <c r="BN458" t="str">
        <f t="shared" ref="BN458:BN466" si="512">CONCATENATE("C",REPLACE(BL458,1,1,"")+1)</f>
        <v>C6</v>
      </c>
      <c r="BO458" t="str">
        <f t="shared" ref="BO458:BO466" si="513">CONCATENATE("B",REPLACE(BM458,1,1,"")+1)</f>
        <v>B6</v>
      </c>
      <c r="BP458" t="str">
        <f t="shared" si="455"/>
        <v>5A</v>
      </c>
      <c r="BQ458" t="str">
        <f t="shared" si="456"/>
        <v>5B</v>
      </c>
      <c r="BR458" t="str">
        <f t="shared" si="457"/>
        <v>6A</v>
      </c>
      <c r="BS458" t="str">
        <f t="shared" si="458"/>
        <v>6B</v>
      </c>
      <c r="BT458" t="str">
        <f t="shared" ref="BT458:BT466" si="514">CONCATENATE("DI",REPLACE($AC458,1,3,""),"-",AF458)</f>
        <v>DI3-C1</v>
      </c>
      <c r="BU458" t="str">
        <f t="shared" ref="BU458:BU466" si="515">CONCATENATE("DI",REPLACE($AC458,1,3,""),"-",AG458)</f>
        <v>DI3-B1</v>
      </c>
      <c r="BV458" t="str">
        <f t="shared" ref="BV458:BV466" si="516">CONCATENATE("DI",REPLACE($AC458,1,3,""),"-",BF458)</f>
        <v>DI3-C2</v>
      </c>
      <c r="BW458" t="str">
        <f t="shared" ref="BW458:BW466" si="517">CONCATENATE("DI",REPLACE($AC458,1,3,""),"-",BG458)</f>
        <v>DI3-B2</v>
      </c>
      <c r="BX458" t="str">
        <f t="shared" ref="BX458:BX466" si="518">CONCATENATE("DI",REPLACE($AC458,1,3,""),"-",BH458)</f>
        <v>DI3-C3</v>
      </c>
      <c r="BY458" t="str">
        <f t="shared" ref="BY458:BY466" si="519">CONCATENATE("DI",REPLACE($AC458,1,3,""),"-",BI458)</f>
        <v>DI3-B3</v>
      </c>
      <c r="BZ458" t="str">
        <f t="shared" ref="BZ458:BZ466" si="520">CONCATENATE("DI",REPLACE($AC458,1,3,""),"-",BJ458)</f>
        <v>DI3-C4</v>
      </c>
      <c r="CA458" t="str">
        <f t="shared" ref="CA458:CA466" si="521">CONCATENATE("DI",REPLACE($AC458,1,3,""),"-",BK458)</f>
        <v>DI3-B4</v>
      </c>
      <c r="CB458" t="str">
        <f t="shared" ref="CB458:CB466" si="522">CONCATENATE("DI",REPLACE($AC458,1,3,""),"-",BL458)</f>
        <v>DI3-C5</v>
      </c>
      <c r="CC458" t="str">
        <f t="shared" ref="CC458:CC466" si="523">CONCATENATE("DI",REPLACE($AC458,1,3,""),"-",BM458)</f>
        <v>DI3-B5</v>
      </c>
      <c r="CD458" t="str">
        <f t="shared" ref="CD458:CD466" si="524">CONCATENATE("DI",REPLACE($AC458,1,3,""),"-",BN458)</f>
        <v>DI3-C6</v>
      </c>
      <c r="CE458" t="str">
        <f t="shared" ref="CE458:CE466" si="525">CONCATENATE("DI",REPLACE($AC458,1,3,""),"-",BO458)</f>
        <v>DI3-B6</v>
      </c>
      <c r="CF458" t="str">
        <f t="shared" ref="CF458:CF466" si="526">CONCATENATE("DO",REPLACE($AH458,1,3,""),"-",AK458)</f>
        <v>DO2-4A</v>
      </c>
      <c r="CG458" t="str">
        <f t="shared" ref="CG458:CG466" si="527">CONCATENATE("DO",REPLACE($AH458,1,3,""),"-",AL458)</f>
        <v>DO2-4B</v>
      </c>
      <c r="CH458" t="str">
        <f t="shared" ref="CH458:CH466" si="528">CONCATENATE("DO",REPLACE($AH458,1,3,""),"-",BP458)</f>
        <v>DO2-5A</v>
      </c>
      <c r="CI458" t="str">
        <f t="shared" ref="CI458:CI466" si="529">CONCATENATE("DO",REPLACE($AH458,1,3,""),"-",BQ458)</f>
        <v>DO2-5B</v>
      </c>
      <c r="CJ458" t="str">
        <f t="shared" ref="CJ458:CJ466" si="530">CONCATENATE("DO",REPLACE($AH458,1,3,""),"-",BR458)</f>
        <v>DO2-6A</v>
      </c>
      <c r="CK458" t="str">
        <f t="shared" ref="CK458:CK466" si="531">CONCATENATE("DO",REPLACE($AH458,1,3,""),"-",BS458)</f>
        <v>DO2-6B</v>
      </c>
      <c r="CL458" t="str">
        <f t="shared" si="477"/>
        <v>K16-10</v>
      </c>
      <c r="CM458" t="str">
        <f t="shared" si="478"/>
        <v>K16-03</v>
      </c>
      <c r="CN458" t="str">
        <f t="shared" si="479"/>
        <v>K16-04</v>
      </c>
      <c r="CO458" t="str">
        <f t="shared" si="480"/>
        <v>K16-01</v>
      </c>
      <c r="CP458" t="str">
        <f t="shared" si="481"/>
        <v>K16-08</v>
      </c>
      <c r="CQ458" t="str">
        <f t="shared" si="482"/>
        <v>K16-02</v>
      </c>
      <c r="CR458" t="str">
        <f t="shared" si="483"/>
        <v>K16-09</v>
      </c>
      <c r="CS458" t="str">
        <f t="shared" si="484"/>
        <v>K16-05</v>
      </c>
      <c r="CT458" t="str">
        <f t="shared" si="485"/>
        <v>K16-11</v>
      </c>
      <c r="CU458" t="str">
        <f t="shared" si="486"/>
        <v>N1-M16-A9</v>
      </c>
      <c r="CV458" t="str">
        <f t="shared" si="487"/>
        <v>N1-M16-A7</v>
      </c>
      <c r="CW458" t="str">
        <f t="shared" si="488"/>
        <v>N1-M16-A8</v>
      </c>
      <c r="CX458" t="str">
        <f t="shared" si="489"/>
        <v>N1-M16-A6</v>
      </c>
      <c r="CY458" t="str">
        <f t="shared" si="490"/>
        <v>N1-M16-A30</v>
      </c>
      <c r="CZ458" t="str">
        <f t="shared" si="491"/>
        <v>N1-M16-N</v>
      </c>
      <c r="DA458" t="str">
        <f t="shared" ref="DA458:DA466" si="532">CONCATENATE($T458,"-A220-M",U458)</f>
        <v>N1-A220-M16</v>
      </c>
      <c r="DB458" t="str">
        <f t="shared" si="493"/>
        <v>N1-M16-XM01</v>
      </c>
      <c r="DC458" t="str">
        <f t="shared" si="494"/>
        <v>N1-M16-A1</v>
      </c>
      <c r="DD458" t="str">
        <f t="shared" si="495"/>
        <v>N1-M16-A5</v>
      </c>
      <c r="DE458" t="str">
        <f t="shared" si="496"/>
        <v>N1-M16-A11</v>
      </c>
      <c r="DF458" t="str">
        <f t="shared" si="497"/>
        <v>N1-M16-A12</v>
      </c>
      <c r="DG458" t="str">
        <f t="shared" si="498"/>
        <v>N1-M16-A19</v>
      </c>
      <c r="DH458" t="str">
        <f t="shared" si="499"/>
        <v>N1-M16-A20</v>
      </c>
      <c r="DI458" t="s">
        <v>142</v>
      </c>
      <c r="DJ458" t="s">
        <v>143</v>
      </c>
      <c r="DK458">
        <v>11</v>
      </c>
      <c r="DL458">
        <v>14</v>
      </c>
      <c r="DM458">
        <v>12</v>
      </c>
      <c r="DN458" t="s">
        <v>144</v>
      </c>
      <c r="DO458" t="s">
        <v>145</v>
      </c>
      <c r="DP458">
        <v>1</v>
      </c>
      <c r="DQ458">
        <v>2</v>
      </c>
      <c r="DR458">
        <v>3</v>
      </c>
      <c r="DS458">
        <v>4</v>
      </c>
      <c r="DT458">
        <v>5</v>
      </c>
      <c r="DU458">
        <v>6</v>
      </c>
      <c r="DV458">
        <v>7</v>
      </c>
      <c r="DW458">
        <v>8</v>
      </c>
      <c r="DX458">
        <v>9</v>
      </c>
      <c r="DY458">
        <v>10</v>
      </c>
      <c r="DZ458">
        <v>11</v>
      </c>
      <c r="EA458">
        <v>12</v>
      </c>
      <c r="EB458">
        <v>13</v>
      </c>
      <c r="EC458">
        <v>14</v>
      </c>
      <c r="ED458">
        <v>1</v>
      </c>
      <c r="EE458">
        <v>3</v>
      </c>
      <c r="EF458">
        <v>4</v>
      </c>
      <c r="EG458">
        <v>7</v>
      </c>
      <c r="EH458">
        <v>8</v>
      </c>
      <c r="EI458">
        <v>9</v>
      </c>
      <c r="EJ458">
        <v>10</v>
      </c>
      <c r="EK458">
        <v>13</v>
      </c>
      <c r="EL458">
        <v>14</v>
      </c>
      <c r="EM458">
        <v>15</v>
      </c>
      <c r="EN458">
        <v>16</v>
      </c>
      <c r="EO458">
        <v>22</v>
      </c>
      <c r="EP458">
        <v>23</v>
      </c>
      <c r="EQ458" s="16">
        <v>24</v>
      </c>
      <c r="MA458" t="str">
        <f t="shared" si="410"/>
        <v>DI3-B1</v>
      </c>
    </row>
    <row r="459" spans="1:339" x14ac:dyDescent="0.25">
      <c r="A459" s="83" t="s">
        <v>2548</v>
      </c>
      <c r="B459" s="83" t="s">
        <v>2547</v>
      </c>
      <c r="C459" s="3"/>
      <c r="O459" s="2"/>
      <c r="P459" t="s">
        <v>129</v>
      </c>
      <c r="Q459" s="1"/>
      <c r="S459" s="1" t="s">
        <v>130</v>
      </c>
      <c r="T459" s="14" t="s">
        <v>2182</v>
      </c>
      <c r="U459" s="59">
        <v>17</v>
      </c>
      <c r="V459" s="15" t="s">
        <v>2531</v>
      </c>
      <c r="W459" s="15"/>
      <c r="AC459" t="str">
        <f t="shared" si="500"/>
        <v>A5.3</v>
      </c>
      <c r="AD459" s="43">
        <f t="array" ref="AD459">IF(COUNTIFS(AC$377:AC459,AC459)=1,"1",VALUE(SUBSTITUTE(INDEX(AD:AD,_xlfn.XMATCH(AC459,AC$1:AC458,0,-1)),"A",""))+INDEX(AE:AE,_xlfn.XMATCH(AC459,AC$1:AC458,0,-1))+1)</f>
        <v>7</v>
      </c>
      <c r="AE459" s="43">
        <f t="array" ref="AE459">SUM(IF(ISNUMBER(FIND("TmDi",$BE$1:$AAQ$1)),IF(IFERROR(ISNUMBER(VALUE(SUBSTITUTE($BE459:$AAQ459,"B",""))),FALSE),IF(ISNUMBER(VALUE(SUBSTITUTE($BE459:$AAQ459,"B",""))),1,0),0)))</f>
        <v>5</v>
      </c>
      <c r="AF459" t="str">
        <f t="shared" si="440"/>
        <v>C7</v>
      </c>
      <c r="AG459" t="str">
        <f t="shared" si="441"/>
        <v>B7</v>
      </c>
      <c r="AH459" t="str">
        <f t="shared" si="502"/>
        <v>A6.2</v>
      </c>
      <c r="AI459" s="69">
        <f t="array" ref="AI459">IF(COUNTIFS(AH$377:AH459,AH459)=1,"1",VALUE(SUBSTITUTE(INDEX(AI:AI,_xlfn.XMATCH(AH459,AH$1:AH458,0,-1)),"A",""))+INDEX(AJ:AJ,_xlfn.XMATCH(AH459,AH$1:AH458,0,-1))+1)</f>
        <v>7</v>
      </c>
      <c r="AJ459" s="62">
        <f t="array" ref="AJ459">SUM(IF(ISNUMBER(FIND("TmDo",$BE$1:$AAQ$1)),IF(IFERROR(ISNUMBER(VALUE(SUBSTITUTE($BE459:$AAQ459,"B",""))),FALSE),IF(ISNUMBER(VALUE(SUBSTITUTE($BE459:$AAQ459,"B",""))),1,0),0)))</f>
        <v>2</v>
      </c>
      <c r="AK459" t="str">
        <f t="shared" si="442"/>
        <v>7A</v>
      </c>
      <c r="AL459" t="str">
        <f t="shared" si="443"/>
        <v>7B</v>
      </c>
      <c r="AM459" t="s">
        <v>181</v>
      </c>
      <c r="AP459" t="s">
        <v>2184</v>
      </c>
      <c r="AQ459" t="s">
        <v>2508</v>
      </c>
      <c r="AT459" t="s">
        <v>139</v>
      </c>
      <c r="AU459" t="s">
        <v>140</v>
      </c>
      <c r="BD459" s="16"/>
      <c r="BE459" s="27" t="str">
        <f t="shared" si="503"/>
        <v>XT17</v>
      </c>
      <c r="BF459" t="str">
        <f t="shared" si="504"/>
        <v>C8</v>
      </c>
      <c r="BG459" t="str">
        <f t="shared" si="505"/>
        <v>B8</v>
      </c>
      <c r="BH459" t="str">
        <f t="shared" si="506"/>
        <v>C9</v>
      </c>
      <c r="BI459" t="str">
        <f t="shared" si="507"/>
        <v>B9</v>
      </c>
      <c r="BJ459" t="str">
        <f t="shared" si="508"/>
        <v>C10</v>
      </c>
      <c r="BK459" t="str">
        <f t="shared" si="509"/>
        <v>B10</v>
      </c>
      <c r="BL459" t="str">
        <f t="shared" si="510"/>
        <v>C11</v>
      </c>
      <c r="BM459" t="str">
        <f t="shared" si="511"/>
        <v>B11</v>
      </c>
      <c r="BN459" t="str">
        <f t="shared" si="512"/>
        <v>C12</v>
      </c>
      <c r="BO459" t="str">
        <f t="shared" si="513"/>
        <v>B12</v>
      </c>
      <c r="BP459" t="str">
        <f t="shared" si="455"/>
        <v>8A</v>
      </c>
      <c r="BQ459" t="str">
        <f t="shared" si="456"/>
        <v>8B</v>
      </c>
      <c r="BR459" t="str">
        <f t="shared" si="457"/>
        <v>9A</v>
      </c>
      <c r="BS459" t="str">
        <f t="shared" si="458"/>
        <v>9B</v>
      </c>
      <c r="BT459" t="str">
        <f t="shared" si="514"/>
        <v>DI3-C7</v>
      </c>
      <c r="BU459" t="str">
        <f t="shared" si="515"/>
        <v>DI3-B7</v>
      </c>
      <c r="BV459" t="str">
        <f t="shared" si="516"/>
        <v>DI3-C8</v>
      </c>
      <c r="BW459" t="str">
        <f t="shared" si="517"/>
        <v>DI3-B8</v>
      </c>
      <c r="BX459" t="str">
        <f t="shared" si="518"/>
        <v>DI3-C9</v>
      </c>
      <c r="BY459" t="str">
        <f t="shared" si="519"/>
        <v>DI3-B9</v>
      </c>
      <c r="BZ459" t="str">
        <f t="shared" si="520"/>
        <v>DI3-C10</v>
      </c>
      <c r="CA459" t="str">
        <f t="shared" si="521"/>
        <v>DI3-B10</v>
      </c>
      <c r="CB459" t="str">
        <f t="shared" si="522"/>
        <v>DI3-C11</v>
      </c>
      <c r="CC459" t="str">
        <f t="shared" si="523"/>
        <v>DI3-B11</v>
      </c>
      <c r="CD459" t="str">
        <f t="shared" si="524"/>
        <v>DI3-C12</v>
      </c>
      <c r="CE459" t="str">
        <f t="shared" si="525"/>
        <v>DI3-B12</v>
      </c>
      <c r="CF459" t="str">
        <f t="shared" si="526"/>
        <v>DO2-7A</v>
      </c>
      <c r="CG459" t="str">
        <f t="shared" si="527"/>
        <v>DO2-7B</v>
      </c>
      <c r="CH459" t="str">
        <f t="shared" si="528"/>
        <v>DO2-8A</v>
      </c>
      <c r="CI459" t="str">
        <f t="shared" si="529"/>
        <v>DO2-8B</v>
      </c>
      <c r="CJ459" t="str">
        <f t="shared" si="530"/>
        <v>DO2-9A</v>
      </c>
      <c r="CK459" t="str">
        <f t="shared" si="531"/>
        <v>DO2-9B</v>
      </c>
      <c r="CL459" t="str">
        <f t="shared" si="477"/>
        <v>K17-10</v>
      </c>
      <c r="CM459" t="str">
        <f t="shared" si="478"/>
        <v>K17-03</v>
      </c>
      <c r="CN459" t="str">
        <f t="shared" si="479"/>
        <v>K17-04</v>
      </c>
      <c r="CO459" t="str">
        <f t="shared" si="480"/>
        <v>K17-01</v>
      </c>
      <c r="CP459" t="str">
        <f t="shared" si="481"/>
        <v>K17-08</v>
      </c>
      <c r="CQ459" t="str">
        <f t="shared" si="482"/>
        <v>K17-02</v>
      </c>
      <c r="CR459" t="str">
        <f t="shared" si="483"/>
        <v>K17-09</v>
      </c>
      <c r="CS459" t="str">
        <f t="shared" si="484"/>
        <v>K17-05</v>
      </c>
      <c r="CT459" t="str">
        <f t="shared" si="485"/>
        <v>K17-11</v>
      </c>
      <c r="CU459" t="str">
        <f t="shared" si="486"/>
        <v>N1-M17-A9</v>
      </c>
      <c r="CV459" t="str">
        <f t="shared" si="487"/>
        <v>N1-M17-A7</v>
      </c>
      <c r="CW459" t="str">
        <f t="shared" si="488"/>
        <v>N1-M17-A8</v>
      </c>
      <c r="CX459" t="str">
        <f t="shared" si="489"/>
        <v>N1-M17-A6</v>
      </c>
      <c r="CY459" t="str">
        <f t="shared" si="490"/>
        <v>N1-M17-A30</v>
      </c>
      <c r="CZ459" t="str">
        <f t="shared" si="491"/>
        <v>N1-M17-N</v>
      </c>
      <c r="DA459" t="str">
        <f t="shared" si="532"/>
        <v>N1-A220-M17</v>
      </c>
      <c r="DB459" t="str">
        <f t="shared" si="493"/>
        <v>N1-M17-XM01</v>
      </c>
      <c r="DC459" t="str">
        <f t="shared" si="494"/>
        <v>N1-M17-A1</v>
      </c>
      <c r="DD459" t="str">
        <f t="shared" si="495"/>
        <v>N1-M17-A5</v>
      </c>
      <c r="DE459" t="str">
        <f t="shared" si="496"/>
        <v>N1-M17-A11</v>
      </c>
      <c r="DF459" t="str">
        <f t="shared" si="497"/>
        <v>N1-M17-A12</v>
      </c>
      <c r="DG459" t="str">
        <f t="shared" si="498"/>
        <v>N1-M17-A19</v>
      </c>
      <c r="DH459" t="str">
        <f t="shared" si="499"/>
        <v>N1-M17-A20</v>
      </c>
      <c r="DI459" t="s">
        <v>142</v>
      </c>
      <c r="DJ459" t="s">
        <v>143</v>
      </c>
      <c r="DK459">
        <v>11</v>
      </c>
      <c r="DL459">
        <v>14</v>
      </c>
      <c r="DM459">
        <v>12</v>
      </c>
      <c r="DN459" t="s">
        <v>144</v>
      </c>
      <c r="DO459" t="s">
        <v>145</v>
      </c>
      <c r="DP459">
        <v>1</v>
      </c>
      <c r="DQ459">
        <v>2</v>
      </c>
      <c r="DR459">
        <v>3</v>
      </c>
      <c r="DS459">
        <v>4</v>
      </c>
      <c r="DT459">
        <v>5</v>
      </c>
      <c r="DU459">
        <v>6</v>
      </c>
      <c r="DV459">
        <v>7</v>
      </c>
      <c r="DW459">
        <v>8</v>
      </c>
      <c r="DX459">
        <v>9</v>
      </c>
      <c r="DY459">
        <v>10</v>
      </c>
      <c r="DZ459">
        <v>11</v>
      </c>
      <c r="EA459">
        <v>12</v>
      </c>
      <c r="EB459">
        <v>13</v>
      </c>
      <c r="EC459">
        <v>14</v>
      </c>
      <c r="ED459">
        <v>1</v>
      </c>
      <c r="EE459">
        <v>3</v>
      </c>
      <c r="EF459">
        <v>4</v>
      </c>
      <c r="EG459">
        <v>7</v>
      </c>
      <c r="EH459">
        <v>8</v>
      </c>
      <c r="EI459">
        <v>9</v>
      </c>
      <c r="EJ459">
        <v>10</v>
      </c>
      <c r="EK459">
        <v>13</v>
      </c>
      <c r="EL459">
        <v>14</v>
      </c>
      <c r="EM459">
        <v>15</v>
      </c>
      <c r="EN459">
        <v>16</v>
      </c>
      <c r="EO459">
        <v>22</v>
      </c>
      <c r="EP459">
        <v>23</v>
      </c>
      <c r="EQ459" s="16">
        <v>24</v>
      </c>
      <c r="MA459" t="str">
        <f t="shared" si="410"/>
        <v>DI3-B7</v>
      </c>
    </row>
    <row r="460" spans="1:339" x14ac:dyDescent="0.25">
      <c r="A460" s="83" t="s">
        <v>2550</v>
      </c>
      <c r="B460" s="83" t="s">
        <v>2549</v>
      </c>
      <c r="C460" s="3"/>
      <c r="O460" s="2"/>
      <c r="P460" t="s">
        <v>129</v>
      </c>
      <c r="Q460" s="1"/>
      <c r="S460" s="1" t="s">
        <v>130</v>
      </c>
      <c r="T460" s="14" t="s">
        <v>2182</v>
      </c>
      <c r="U460" s="59">
        <v>18</v>
      </c>
      <c r="V460" s="15" t="s">
        <v>2532</v>
      </c>
      <c r="W460" s="15"/>
      <c r="AC460" t="str">
        <f t="shared" si="500"/>
        <v>A5.3</v>
      </c>
      <c r="AD460" s="43">
        <f t="array" ref="AD460">IF(COUNTIFS(AC$377:AC460,AC460)=1,"1",VALUE(SUBSTITUTE(INDEX(AD:AD,_xlfn.XMATCH(AC460,AC$1:AC459,0,-1)),"A",""))+INDEX(AE:AE,_xlfn.XMATCH(AC460,AC$1:AC459,0,-1))+1)</f>
        <v>13</v>
      </c>
      <c r="AE460" s="43">
        <f t="array" ref="AE460">SUM(IF(ISNUMBER(FIND("TmDi",$BE$1:$AAQ$1)),IF(IFERROR(ISNUMBER(VALUE(SUBSTITUTE($BE460:$AAQ460,"B",""))),FALSE),IF(ISNUMBER(VALUE(SUBSTITUTE($BE460:$AAQ460,"B",""))),1,0),0)))</f>
        <v>5</v>
      </c>
      <c r="AF460" t="str">
        <f t="shared" si="440"/>
        <v>C13</v>
      </c>
      <c r="AG460" t="str">
        <f t="shared" si="441"/>
        <v>B13</v>
      </c>
      <c r="AH460" t="str">
        <f t="shared" si="502"/>
        <v>A6.2</v>
      </c>
      <c r="AI460" s="69">
        <f t="array" ref="AI460">IF(COUNTIFS(AH$377:AH460,AH460)=1,"1",VALUE(SUBSTITUTE(INDEX(AI:AI,_xlfn.XMATCH(AH460,AH$1:AH459,0,-1)),"A",""))+INDEX(AJ:AJ,_xlfn.XMATCH(AH460,AH$1:AH459,0,-1))+1)</f>
        <v>10</v>
      </c>
      <c r="AJ460" s="62">
        <f t="array" ref="AJ460">SUM(IF(ISNUMBER(FIND("TmDo",$BE$1:$AAQ$1)),IF(IFERROR(ISNUMBER(VALUE(SUBSTITUTE($BE460:$AAQ460,"B",""))),FALSE),IF(ISNUMBER(VALUE(SUBSTITUTE($BE460:$AAQ460,"B",""))),1,0),0)))</f>
        <v>2</v>
      </c>
      <c r="AK460" t="str">
        <f t="shared" si="442"/>
        <v>10A</v>
      </c>
      <c r="AL460" t="str">
        <f t="shared" si="443"/>
        <v>10B</v>
      </c>
      <c r="AM460" t="s">
        <v>184</v>
      </c>
      <c r="AP460" t="s">
        <v>2184</v>
      </c>
      <c r="AQ460" t="s">
        <v>2508</v>
      </c>
      <c r="AT460" t="s">
        <v>139</v>
      </c>
      <c r="AU460" t="s">
        <v>140</v>
      </c>
      <c r="BD460" s="16"/>
      <c r="BE460" s="27" t="str">
        <f t="shared" si="503"/>
        <v>XT18</v>
      </c>
      <c r="BF460" t="str">
        <f t="shared" si="504"/>
        <v>C14</v>
      </c>
      <c r="BG460" t="str">
        <f t="shared" si="505"/>
        <v>B14</v>
      </c>
      <c r="BH460" t="str">
        <f t="shared" si="506"/>
        <v>C15</v>
      </c>
      <c r="BI460" t="str">
        <f t="shared" si="507"/>
        <v>B15</v>
      </c>
      <c r="BJ460" t="str">
        <f t="shared" si="508"/>
        <v>C16</v>
      </c>
      <c r="BK460" t="str">
        <f t="shared" si="509"/>
        <v>B16</v>
      </c>
      <c r="BL460" t="str">
        <f t="shared" si="510"/>
        <v>C17</v>
      </c>
      <c r="BM460" t="str">
        <f t="shared" si="511"/>
        <v>B17</v>
      </c>
      <c r="BN460" t="str">
        <f t="shared" si="512"/>
        <v>C18</v>
      </c>
      <c r="BO460" t="str">
        <f t="shared" si="513"/>
        <v>B18</v>
      </c>
      <c r="BP460" t="str">
        <f t="shared" si="455"/>
        <v>11A</v>
      </c>
      <c r="BQ460" t="str">
        <f t="shared" si="456"/>
        <v>11B</v>
      </c>
      <c r="BR460" t="str">
        <f t="shared" si="457"/>
        <v>12A</v>
      </c>
      <c r="BS460" t="str">
        <f t="shared" si="458"/>
        <v>12B</v>
      </c>
      <c r="BT460" t="str">
        <f t="shared" si="514"/>
        <v>DI3-C13</v>
      </c>
      <c r="BU460" t="str">
        <f t="shared" si="515"/>
        <v>DI3-B13</v>
      </c>
      <c r="BV460" t="str">
        <f t="shared" si="516"/>
        <v>DI3-C14</v>
      </c>
      <c r="BW460" t="str">
        <f t="shared" si="517"/>
        <v>DI3-B14</v>
      </c>
      <c r="BX460" t="str">
        <f t="shared" si="518"/>
        <v>DI3-C15</v>
      </c>
      <c r="BY460" t="str">
        <f t="shared" si="519"/>
        <v>DI3-B15</v>
      </c>
      <c r="BZ460" t="str">
        <f t="shared" si="520"/>
        <v>DI3-C16</v>
      </c>
      <c r="CA460" t="str">
        <f t="shared" si="521"/>
        <v>DI3-B16</v>
      </c>
      <c r="CB460" t="str">
        <f t="shared" si="522"/>
        <v>DI3-C17</v>
      </c>
      <c r="CC460" t="str">
        <f t="shared" si="523"/>
        <v>DI3-B17</v>
      </c>
      <c r="CD460" t="str">
        <f t="shared" si="524"/>
        <v>DI3-C18</v>
      </c>
      <c r="CE460" t="str">
        <f t="shared" si="525"/>
        <v>DI3-B18</v>
      </c>
      <c r="CF460" t="str">
        <f t="shared" si="526"/>
        <v>DO2-10A</v>
      </c>
      <c r="CG460" t="str">
        <f t="shared" si="527"/>
        <v>DO2-10B</v>
      </c>
      <c r="CH460" t="str">
        <f t="shared" si="528"/>
        <v>DO2-11A</v>
      </c>
      <c r="CI460" t="str">
        <f t="shared" si="529"/>
        <v>DO2-11B</v>
      </c>
      <c r="CJ460" t="str">
        <f t="shared" si="530"/>
        <v>DO2-12A</v>
      </c>
      <c r="CK460" t="str">
        <f t="shared" si="531"/>
        <v>DO2-12B</v>
      </c>
      <c r="CL460" t="str">
        <f t="shared" si="477"/>
        <v>K18-10</v>
      </c>
      <c r="CM460" t="str">
        <f t="shared" si="478"/>
        <v>K18-03</v>
      </c>
      <c r="CN460" t="str">
        <f t="shared" si="479"/>
        <v>K18-04</v>
      </c>
      <c r="CO460" t="str">
        <f t="shared" si="480"/>
        <v>K18-01</v>
      </c>
      <c r="CP460" t="str">
        <f t="shared" si="481"/>
        <v>K18-08</v>
      </c>
      <c r="CQ460" t="str">
        <f t="shared" si="482"/>
        <v>K18-02</v>
      </c>
      <c r="CR460" t="str">
        <f t="shared" si="483"/>
        <v>K18-09</v>
      </c>
      <c r="CS460" t="str">
        <f t="shared" si="484"/>
        <v>K18-05</v>
      </c>
      <c r="CT460" t="str">
        <f t="shared" si="485"/>
        <v>K18-11</v>
      </c>
      <c r="CU460" t="str">
        <f t="shared" si="486"/>
        <v>N1-M18-A9</v>
      </c>
      <c r="CV460" t="str">
        <f t="shared" si="487"/>
        <v>N1-M18-A7</v>
      </c>
      <c r="CW460" t="str">
        <f t="shared" si="488"/>
        <v>N1-M18-A8</v>
      </c>
      <c r="CX460" t="str">
        <f t="shared" si="489"/>
        <v>N1-M18-A6</v>
      </c>
      <c r="CY460" t="str">
        <f t="shared" si="490"/>
        <v>N1-M18-A30</v>
      </c>
      <c r="CZ460" t="str">
        <f t="shared" si="491"/>
        <v>N1-M18-N</v>
      </c>
      <c r="DA460" t="str">
        <f t="shared" si="532"/>
        <v>N1-A220-M18</v>
      </c>
      <c r="DB460" t="str">
        <f t="shared" si="493"/>
        <v>N1-M18-XM01</v>
      </c>
      <c r="DC460" t="str">
        <f t="shared" si="494"/>
        <v>N1-M18-A1</v>
      </c>
      <c r="DD460" t="str">
        <f t="shared" si="495"/>
        <v>N1-M18-A5</v>
      </c>
      <c r="DE460" t="str">
        <f t="shared" si="496"/>
        <v>N1-M18-A11</v>
      </c>
      <c r="DF460" t="str">
        <f t="shared" si="497"/>
        <v>N1-M18-A12</v>
      </c>
      <c r="DG460" t="str">
        <f t="shared" si="498"/>
        <v>N1-M18-A19</v>
      </c>
      <c r="DH460" t="str">
        <f t="shared" si="499"/>
        <v>N1-M18-A20</v>
      </c>
      <c r="DI460" t="s">
        <v>142</v>
      </c>
      <c r="DJ460" t="s">
        <v>143</v>
      </c>
      <c r="DK460">
        <v>11</v>
      </c>
      <c r="DL460">
        <v>14</v>
      </c>
      <c r="DM460">
        <v>12</v>
      </c>
      <c r="DN460" t="s">
        <v>144</v>
      </c>
      <c r="DO460" t="s">
        <v>145</v>
      </c>
      <c r="DP460">
        <v>1</v>
      </c>
      <c r="DQ460">
        <v>2</v>
      </c>
      <c r="DR460">
        <v>3</v>
      </c>
      <c r="DS460">
        <v>4</v>
      </c>
      <c r="DT460">
        <v>5</v>
      </c>
      <c r="DU460">
        <v>6</v>
      </c>
      <c r="DV460">
        <v>7</v>
      </c>
      <c r="DW460">
        <v>8</v>
      </c>
      <c r="DX460">
        <v>9</v>
      </c>
      <c r="DY460">
        <v>10</v>
      </c>
      <c r="DZ460">
        <v>11</v>
      </c>
      <c r="EA460">
        <v>12</v>
      </c>
      <c r="EB460">
        <v>13</v>
      </c>
      <c r="EC460">
        <v>14</v>
      </c>
      <c r="ED460">
        <v>1</v>
      </c>
      <c r="EE460">
        <v>3</v>
      </c>
      <c r="EF460">
        <v>4</v>
      </c>
      <c r="EG460">
        <v>7</v>
      </c>
      <c r="EH460">
        <v>8</v>
      </c>
      <c r="EI460">
        <v>9</v>
      </c>
      <c r="EJ460">
        <v>10</v>
      </c>
      <c r="EK460">
        <v>13</v>
      </c>
      <c r="EL460">
        <v>14</v>
      </c>
      <c r="EM460">
        <v>15</v>
      </c>
      <c r="EN460">
        <v>16</v>
      </c>
      <c r="EO460">
        <v>22</v>
      </c>
      <c r="EP460">
        <v>23</v>
      </c>
      <c r="EQ460" s="16">
        <v>24</v>
      </c>
      <c r="MA460" t="str">
        <f t="shared" si="410"/>
        <v>DI3-B13</v>
      </c>
    </row>
    <row r="461" spans="1:339" x14ac:dyDescent="0.25">
      <c r="A461" s="83" t="s">
        <v>2552</v>
      </c>
      <c r="B461" s="83" t="s">
        <v>2551</v>
      </c>
      <c r="C461" s="3"/>
      <c r="O461" s="2"/>
      <c r="P461" t="s">
        <v>129</v>
      </c>
      <c r="Q461" s="1"/>
      <c r="S461" s="1" t="s">
        <v>130</v>
      </c>
      <c r="T461" s="14" t="s">
        <v>2182</v>
      </c>
      <c r="U461" s="59">
        <v>19</v>
      </c>
      <c r="V461" s="15" t="s">
        <v>2533</v>
      </c>
      <c r="W461" s="15"/>
      <c r="AC461" t="str">
        <f t="shared" si="500"/>
        <v>A5.3</v>
      </c>
      <c r="AD461" s="43">
        <f t="array" ref="AD461">IF(COUNTIFS(AC$377:AC461,AC461)=1,"1",VALUE(SUBSTITUTE(INDEX(AD:AD,_xlfn.XMATCH(AC461,AC$1:AC460,0,-1)),"A",""))+INDEX(AE:AE,_xlfn.XMATCH(AC461,AC$1:AC460,0,-1))+1)</f>
        <v>19</v>
      </c>
      <c r="AE461" s="43">
        <f t="array" ref="AE461">SUM(IF(ISNUMBER(FIND("TmDi",$BE$1:$AAQ$1)),IF(IFERROR(ISNUMBER(VALUE(SUBSTITUTE($BE461:$AAQ461,"B",""))),FALSE),IF(ISNUMBER(VALUE(SUBSTITUTE($BE461:$AAQ461,"B",""))),1,0),0)))</f>
        <v>5</v>
      </c>
      <c r="AF461" t="str">
        <f t="shared" si="440"/>
        <v>C19</v>
      </c>
      <c r="AG461" t="str">
        <f t="shared" si="441"/>
        <v>B19</v>
      </c>
      <c r="AH461" t="str">
        <f t="shared" si="502"/>
        <v>A6.2</v>
      </c>
      <c r="AI461" s="69">
        <f t="array" ref="AI461">IF(COUNTIFS(AH$377:AH461,AH461)=1,"1",VALUE(SUBSTITUTE(INDEX(AI:AI,_xlfn.XMATCH(AH461,AH$1:AH460,0,-1)),"A",""))+INDEX(AJ:AJ,_xlfn.XMATCH(AH461,AH$1:AH460,0,-1))+1)</f>
        <v>13</v>
      </c>
      <c r="AJ461" s="62">
        <f t="array" ref="AJ461">SUM(IF(ISNUMBER(FIND("TmDo",$BE$1:$AAQ$1)),IF(IFERROR(ISNUMBER(VALUE(SUBSTITUTE($BE461:$AAQ461,"B",""))),FALSE),IF(ISNUMBER(VALUE(SUBSTITUTE($BE461:$AAQ461,"B",""))),1,0),0)))</f>
        <v>2</v>
      </c>
      <c r="AK461" t="str">
        <f t="shared" si="442"/>
        <v>13A</v>
      </c>
      <c r="AL461" t="str">
        <f t="shared" si="443"/>
        <v>13B</v>
      </c>
      <c r="AM461" t="s">
        <v>187</v>
      </c>
      <c r="AP461" t="s">
        <v>2184</v>
      </c>
      <c r="AQ461" t="s">
        <v>2508</v>
      </c>
      <c r="AT461" t="s">
        <v>139</v>
      </c>
      <c r="AU461" t="s">
        <v>140</v>
      </c>
      <c r="BD461" s="16"/>
      <c r="BE461" s="27" t="str">
        <f t="shared" si="503"/>
        <v>XT19</v>
      </c>
      <c r="BF461" t="str">
        <f t="shared" si="504"/>
        <v>C20</v>
      </c>
      <c r="BG461" t="str">
        <f t="shared" si="505"/>
        <v>B20</v>
      </c>
      <c r="BH461" t="str">
        <f t="shared" si="506"/>
        <v>C21</v>
      </c>
      <c r="BI461" t="str">
        <f t="shared" si="507"/>
        <v>B21</v>
      </c>
      <c r="BJ461" t="str">
        <f t="shared" si="508"/>
        <v>C22</v>
      </c>
      <c r="BK461" t="str">
        <f t="shared" si="509"/>
        <v>B22</v>
      </c>
      <c r="BL461" t="str">
        <f t="shared" si="510"/>
        <v>C23</v>
      </c>
      <c r="BM461" t="str">
        <f t="shared" si="511"/>
        <v>B23</v>
      </c>
      <c r="BN461" t="str">
        <f t="shared" si="512"/>
        <v>C24</v>
      </c>
      <c r="BO461" t="str">
        <f t="shared" si="513"/>
        <v>B24</v>
      </c>
      <c r="BP461" t="str">
        <f t="shared" si="455"/>
        <v>14A</v>
      </c>
      <c r="BQ461" t="str">
        <f t="shared" si="456"/>
        <v>14B</v>
      </c>
      <c r="BR461" t="str">
        <f t="shared" si="457"/>
        <v>15A</v>
      </c>
      <c r="BS461" t="str">
        <f t="shared" si="458"/>
        <v>15B</v>
      </c>
      <c r="BT461" t="str">
        <f t="shared" si="514"/>
        <v>DI3-C19</v>
      </c>
      <c r="BU461" t="str">
        <f t="shared" si="515"/>
        <v>DI3-B19</v>
      </c>
      <c r="BV461" t="str">
        <f t="shared" si="516"/>
        <v>DI3-C20</v>
      </c>
      <c r="BW461" t="str">
        <f t="shared" si="517"/>
        <v>DI3-B20</v>
      </c>
      <c r="BX461" t="str">
        <f t="shared" si="518"/>
        <v>DI3-C21</v>
      </c>
      <c r="BY461" t="str">
        <f t="shared" si="519"/>
        <v>DI3-B21</v>
      </c>
      <c r="BZ461" t="str">
        <f t="shared" si="520"/>
        <v>DI3-C22</v>
      </c>
      <c r="CA461" t="str">
        <f t="shared" si="521"/>
        <v>DI3-B22</v>
      </c>
      <c r="CB461" t="str">
        <f t="shared" si="522"/>
        <v>DI3-C23</v>
      </c>
      <c r="CC461" t="str">
        <f t="shared" si="523"/>
        <v>DI3-B23</v>
      </c>
      <c r="CD461" t="str">
        <f t="shared" si="524"/>
        <v>DI3-C24</v>
      </c>
      <c r="CE461" t="str">
        <f t="shared" si="525"/>
        <v>DI3-B24</v>
      </c>
      <c r="CF461" t="str">
        <f t="shared" si="526"/>
        <v>DO2-13A</v>
      </c>
      <c r="CG461" t="str">
        <f t="shared" si="527"/>
        <v>DO2-13B</v>
      </c>
      <c r="CH461" t="str">
        <f t="shared" si="528"/>
        <v>DO2-14A</v>
      </c>
      <c r="CI461" t="str">
        <f t="shared" si="529"/>
        <v>DO2-14B</v>
      </c>
      <c r="CJ461" t="str">
        <f t="shared" si="530"/>
        <v>DO2-15A</v>
      </c>
      <c r="CK461" t="str">
        <f t="shared" si="531"/>
        <v>DO2-15B</v>
      </c>
      <c r="CL461" t="str">
        <f t="shared" si="477"/>
        <v>K19-10</v>
      </c>
      <c r="CM461" t="str">
        <f t="shared" si="478"/>
        <v>K19-03</v>
      </c>
      <c r="CN461" t="str">
        <f t="shared" si="479"/>
        <v>K19-04</v>
      </c>
      <c r="CO461" t="str">
        <f t="shared" si="480"/>
        <v>K19-01</v>
      </c>
      <c r="CP461" t="str">
        <f t="shared" si="481"/>
        <v>K19-08</v>
      </c>
      <c r="CQ461" t="str">
        <f t="shared" si="482"/>
        <v>K19-02</v>
      </c>
      <c r="CR461" t="str">
        <f t="shared" si="483"/>
        <v>K19-09</v>
      </c>
      <c r="CS461" t="str">
        <f t="shared" si="484"/>
        <v>K19-05</v>
      </c>
      <c r="CT461" t="str">
        <f t="shared" si="485"/>
        <v>K19-11</v>
      </c>
      <c r="CU461" t="str">
        <f t="shared" si="486"/>
        <v>N1-M19-A9</v>
      </c>
      <c r="CV461" t="str">
        <f t="shared" si="487"/>
        <v>N1-M19-A7</v>
      </c>
      <c r="CW461" t="str">
        <f t="shared" si="488"/>
        <v>N1-M19-A8</v>
      </c>
      <c r="CX461" t="str">
        <f t="shared" si="489"/>
        <v>N1-M19-A6</v>
      </c>
      <c r="CY461" t="str">
        <f t="shared" si="490"/>
        <v>N1-M19-A30</v>
      </c>
      <c r="CZ461" t="str">
        <f t="shared" si="491"/>
        <v>N1-M19-N</v>
      </c>
      <c r="DA461" t="str">
        <f t="shared" si="532"/>
        <v>N1-A220-M19</v>
      </c>
      <c r="DB461" t="str">
        <f t="shared" si="493"/>
        <v>N1-M19-XM01</v>
      </c>
      <c r="DC461" t="str">
        <f t="shared" si="494"/>
        <v>N1-M19-A1</v>
      </c>
      <c r="DD461" t="str">
        <f t="shared" si="495"/>
        <v>N1-M19-A5</v>
      </c>
      <c r="DE461" t="str">
        <f t="shared" si="496"/>
        <v>N1-M19-A11</v>
      </c>
      <c r="DF461" t="str">
        <f t="shared" si="497"/>
        <v>N1-M19-A12</v>
      </c>
      <c r="DG461" t="str">
        <f t="shared" si="498"/>
        <v>N1-M19-A19</v>
      </c>
      <c r="DH461" t="str">
        <f t="shared" si="499"/>
        <v>N1-M19-A20</v>
      </c>
      <c r="DI461" t="s">
        <v>142</v>
      </c>
      <c r="DJ461" t="s">
        <v>143</v>
      </c>
      <c r="DK461">
        <v>11</v>
      </c>
      <c r="DL461">
        <v>14</v>
      </c>
      <c r="DM461">
        <v>12</v>
      </c>
      <c r="DN461" t="s">
        <v>144</v>
      </c>
      <c r="DO461" t="s">
        <v>145</v>
      </c>
      <c r="DP461">
        <v>1</v>
      </c>
      <c r="DQ461">
        <v>2</v>
      </c>
      <c r="DR461">
        <v>3</v>
      </c>
      <c r="DS461">
        <v>4</v>
      </c>
      <c r="DT461">
        <v>5</v>
      </c>
      <c r="DU461">
        <v>6</v>
      </c>
      <c r="DV461">
        <v>7</v>
      </c>
      <c r="DW461">
        <v>8</v>
      </c>
      <c r="DX461">
        <v>9</v>
      </c>
      <c r="DY461">
        <v>10</v>
      </c>
      <c r="DZ461">
        <v>11</v>
      </c>
      <c r="EA461">
        <v>12</v>
      </c>
      <c r="EB461">
        <v>13</v>
      </c>
      <c r="EC461">
        <v>14</v>
      </c>
      <c r="ED461">
        <v>1</v>
      </c>
      <c r="EE461">
        <v>3</v>
      </c>
      <c r="EF461">
        <v>4</v>
      </c>
      <c r="EG461">
        <v>7</v>
      </c>
      <c r="EH461">
        <v>8</v>
      </c>
      <c r="EI461">
        <v>9</v>
      </c>
      <c r="EJ461">
        <v>10</v>
      </c>
      <c r="EK461">
        <v>13</v>
      </c>
      <c r="EL461">
        <v>14</v>
      </c>
      <c r="EM461">
        <v>15</v>
      </c>
      <c r="EN461">
        <v>16</v>
      </c>
      <c r="EO461">
        <v>22</v>
      </c>
      <c r="EP461">
        <v>23</v>
      </c>
      <c r="EQ461" s="16">
        <v>24</v>
      </c>
      <c r="MA461" t="str">
        <f t="shared" si="410"/>
        <v>DI3-B19</v>
      </c>
    </row>
    <row r="462" spans="1:339" x14ac:dyDescent="0.25">
      <c r="A462" s="83" t="s">
        <v>2554</v>
      </c>
      <c r="B462" s="83" t="s">
        <v>2553</v>
      </c>
      <c r="C462" s="3"/>
      <c r="O462" s="2"/>
      <c r="P462" t="s">
        <v>129</v>
      </c>
      <c r="Q462" s="1"/>
      <c r="S462" s="1" t="s">
        <v>130</v>
      </c>
      <c r="T462" s="14" t="s">
        <v>2182</v>
      </c>
      <c r="U462" s="59">
        <v>20</v>
      </c>
      <c r="V462" s="15" t="s">
        <v>2534</v>
      </c>
      <c r="W462" s="15"/>
      <c r="AC462" t="str">
        <f t="shared" si="500"/>
        <v>A5.3</v>
      </c>
      <c r="AD462" s="43">
        <f t="array" ref="AD462">IF(COUNTIFS(AC$377:AC462,AC462)=1,"1",VALUE(SUBSTITUTE(INDEX(AD:AD,_xlfn.XMATCH(AC462,AC$1:AC461,0,-1)),"A",""))+INDEX(AE:AE,_xlfn.XMATCH(AC462,AC$1:AC461,0,-1))+1)</f>
        <v>25</v>
      </c>
      <c r="AE462" s="43">
        <f t="array" ref="AE462">SUM(IF(ISNUMBER(FIND("TmDi",$BE$1:$AAQ$1)),IF(IFERROR(ISNUMBER(VALUE(SUBSTITUTE($BE462:$AAQ462,"B",""))),FALSE),IF(ISNUMBER(VALUE(SUBSTITUTE($BE462:$AAQ462,"B",""))),1,0),0)))</f>
        <v>5</v>
      </c>
      <c r="AF462" t="str">
        <f t="shared" si="440"/>
        <v>C25</v>
      </c>
      <c r="AG462" t="str">
        <f t="shared" si="441"/>
        <v>B25</v>
      </c>
      <c r="AH462" t="str">
        <f t="shared" si="502"/>
        <v>A6.2</v>
      </c>
      <c r="AI462" s="69">
        <f t="array" ref="AI462">IF(COUNTIFS(AH$377:AH462,AH462)=1,"1",VALUE(SUBSTITUTE(INDEX(AI:AI,_xlfn.XMATCH(AH462,AH$1:AH461,0,-1)),"A",""))+INDEX(AJ:AJ,_xlfn.XMATCH(AH462,AH$1:AH461,0,-1))+1)</f>
        <v>16</v>
      </c>
      <c r="AJ462" s="62">
        <f t="array" ref="AJ462">SUM(IF(ISNUMBER(FIND("TmDo",$BE$1:$AAQ$1)),IF(IFERROR(ISNUMBER(VALUE(SUBSTITUTE($BE462:$AAQ462,"B",""))),FALSE),IF(ISNUMBER(VALUE(SUBSTITUTE($BE462:$AAQ462,"B",""))),1,0),0)))</f>
        <v>2</v>
      </c>
      <c r="AK462" t="str">
        <f t="shared" si="442"/>
        <v>16A</v>
      </c>
      <c r="AL462" t="str">
        <f t="shared" si="443"/>
        <v>16B</v>
      </c>
      <c r="AM462" t="s">
        <v>190</v>
      </c>
      <c r="AP462" t="s">
        <v>2184</v>
      </c>
      <c r="AQ462" t="s">
        <v>2508</v>
      </c>
      <c r="AT462" t="s">
        <v>139</v>
      </c>
      <c r="AU462" t="s">
        <v>140</v>
      </c>
      <c r="BD462" s="16"/>
      <c r="BE462" s="27" t="str">
        <f t="shared" si="503"/>
        <v>XT20</v>
      </c>
      <c r="BF462" t="str">
        <f t="shared" si="504"/>
        <v>C26</v>
      </c>
      <c r="BG462" t="str">
        <f t="shared" si="505"/>
        <v>B26</v>
      </c>
      <c r="BH462" t="str">
        <f t="shared" si="506"/>
        <v>C27</v>
      </c>
      <c r="BI462" t="str">
        <f t="shared" si="507"/>
        <v>B27</v>
      </c>
      <c r="BJ462" t="str">
        <f t="shared" si="508"/>
        <v>C28</v>
      </c>
      <c r="BK462" t="str">
        <f t="shared" si="509"/>
        <v>B28</v>
      </c>
      <c r="BL462" t="str">
        <f t="shared" si="510"/>
        <v>C29</v>
      </c>
      <c r="BM462" t="str">
        <f t="shared" si="511"/>
        <v>B29</v>
      </c>
      <c r="BN462" t="str">
        <f t="shared" si="512"/>
        <v>C30</v>
      </c>
      <c r="BO462" t="str">
        <f t="shared" si="513"/>
        <v>B30</v>
      </c>
      <c r="BP462" t="str">
        <f t="shared" si="455"/>
        <v>17A</v>
      </c>
      <c r="BQ462" t="str">
        <f t="shared" si="456"/>
        <v>17B</v>
      </c>
      <c r="BR462" t="str">
        <f t="shared" si="457"/>
        <v>18A</v>
      </c>
      <c r="BS462" t="str">
        <f t="shared" si="458"/>
        <v>18B</v>
      </c>
      <c r="BT462" t="str">
        <f t="shared" si="514"/>
        <v>DI3-C25</v>
      </c>
      <c r="BU462" t="str">
        <f t="shared" si="515"/>
        <v>DI3-B25</v>
      </c>
      <c r="BV462" t="str">
        <f t="shared" si="516"/>
        <v>DI3-C26</v>
      </c>
      <c r="BW462" t="str">
        <f t="shared" si="517"/>
        <v>DI3-B26</v>
      </c>
      <c r="BX462" t="str">
        <f t="shared" si="518"/>
        <v>DI3-C27</v>
      </c>
      <c r="BY462" t="str">
        <f t="shared" si="519"/>
        <v>DI3-B27</v>
      </c>
      <c r="BZ462" t="str">
        <f t="shared" si="520"/>
        <v>DI3-C28</v>
      </c>
      <c r="CA462" t="str">
        <f t="shared" si="521"/>
        <v>DI3-B28</v>
      </c>
      <c r="CB462" t="str">
        <f t="shared" si="522"/>
        <v>DI3-C29</v>
      </c>
      <c r="CC462" t="str">
        <f t="shared" si="523"/>
        <v>DI3-B29</v>
      </c>
      <c r="CD462" t="str">
        <f t="shared" si="524"/>
        <v>DI3-C30</v>
      </c>
      <c r="CE462" t="str">
        <f t="shared" si="525"/>
        <v>DI3-B30</v>
      </c>
      <c r="CF462" t="str">
        <f t="shared" si="526"/>
        <v>DO2-16A</v>
      </c>
      <c r="CG462" t="str">
        <f t="shared" si="527"/>
        <v>DO2-16B</v>
      </c>
      <c r="CH462" t="str">
        <f t="shared" si="528"/>
        <v>DO2-17A</v>
      </c>
      <c r="CI462" t="str">
        <f t="shared" si="529"/>
        <v>DO2-17B</v>
      </c>
      <c r="CJ462" t="str">
        <f t="shared" si="530"/>
        <v>DO2-18A</v>
      </c>
      <c r="CK462" t="str">
        <f t="shared" si="531"/>
        <v>DO2-18B</v>
      </c>
      <c r="CL462" t="str">
        <f t="shared" si="477"/>
        <v>K20-10</v>
      </c>
      <c r="CM462" t="str">
        <f t="shared" si="478"/>
        <v>K20-03</v>
      </c>
      <c r="CN462" t="str">
        <f t="shared" si="479"/>
        <v>K20-04</v>
      </c>
      <c r="CO462" t="str">
        <f t="shared" si="480"/>
        <v>K20-01</v>
      </c>
      <c r="CP462" t="str">
        <f t="shared" si="481"/>
        <v>K20-08</v>
      </c>
      <c r="CQ462" t="str">
        <f t="shared" si="482"/>
        <v>K20-02</v>
      </c>
      <c r="CR462" t="str">
        <f t="shared" si="483"/>
        <v>K20-09</v>
      </c>
      <c r="CS462" t="str">
        <f t="shared" si="484"/>
        <v>K20-05</v>
      </c>
      <c r="CT462" t="str">
        <f t="shared" si="485"/>
        <v>K20-11</v>
      </c>
      <c r="CU462" t="str">
        <f t="shared" si="486"/>
        <v>N1-M20-A9</v>
      </c>
      <c r="CV462" t="str">
        <f t="shared" si="487"/>
        <v>N1-M20-A7</v>
      </c>
      <c r="CW462" t="str">
        <f t="shared" si="488"/>
        <v>N1-M20-A8</v>
      </c>
      <c r="CX462" t="str">
        <f t="shared" si="489"/>
        <v>N1-M20-A6</v>
      </c>
      <c r="CY462" t="str">
        <f t="shared" si="490"/>
        <v>N1-M20-A30</v>
      </c>
      <c r="CZ462" t="str">
        <f t="shared" si="491"/>
        <v>N1-M20-N</v>
      </c>
      <c r="DA462" t="str">
        <f t="shared" si="532"/>
        <v>N1-A220-M20</v>
      </c>
      <c r="DB462" t="str">
        <f t="shared" si="493"/>
        <v>N1-M20-XM01</v>
      </c>
      <c r="DC462" t="str">
        <f t="shared" si="494"/>
        <v>N1-M20-A1</v>
      </c>
      <c r="DD462" t="str">
        <f t="shared" si="495"/>
        <v>N1-M20-A5</v>
      </c>
      <c r="DE462" t="str">
        <f t="shared" si="496"/>
        <v>N1-M20-A11</v>
      </c>
      <c r="DF462" t="str">
        <f t="shared" si="497"/>
        <v>N1-M20-A12</v>
      </c>
      <c r="DG462" t="str">
        <f t="shared" si="498"/>
        <v>N1-M20-A19</v>
      </c>
      <c r="DH462" t="str">
        <f t="shared" si="499"/>
        <v>N1-M20-A20</v>
      </c>
      <c r="DI462" t="s">
        <v>142</v>
      </c>
      <c r="DJ462" t="s">
        <v>143</v>
      </c>
      <c r="DK462">
        <v>11</v>
      </c>
      <c r="DL462">
        <v>14</v>
      </c>
      <c r="DM462">
        <v>12</v>
      </c>
      <c r="DN462" t="s">
        <v>144</v>
      </c>
      <c r="DO462" t="s">
        <v>145</v>
      </c>
      <c r="DP462">
        <v>1</v>
      </c>
      <c r="DQ462">
        <v>2</v>
      </c>
      <c r="DR462">
        <v>3</v>
      </c>
      <c r="DS462">
        <v>4</v>
      </c>
      <c r="DT462">
        <v>5</v>
      </c>
      <c r="DU462">
        <v>6</v>
      </c>
      <c r="DV462">
        <v>7</v>
      </c>
      <c r="DW462">
        <v>8</v>
      </c>
      <c r="DX462">
        <v>9</v>
      </c>
      <c r="DY462">
        <v>10</v>
      </c>
      <c r="DZ462">
        <v>11</v>
      </c>
      <c r="EA462">
        <v>12</v>
      </c>
      <c r="EB462">
        <v>13</v>
      </c>
      <c r="EC462">
        <v>14</v>
      </c>
      <c r="ED462">
        <v>1</v>
      </c>
      <c r="EE462">
        <v>3</v>
      </c>
      <c r="EF462">
        <v>4</v>
      </c>
      <c r="EG462">
        <v>7</v>
      </c>
      <c r="EH462">
        <v>8</v>
      </c>
      <c r="EI462">
        <v>9</v>
      </c>
      <c r="EJ462">
        <v>10</v>
      </c>
      <c r="EK462">
        <v>13</v>
      </c>
      <c r="EL462">
        <v>14</v>
      </c>
      <c r="EM462">
        <v>15</v>
      </c>
      <c r="EN462">
        <v>16</v>
      </c>
      <c r="EO462">
        <v>22</v>
      </c>
      <c r="EP462">
        <v>23</v>
      </c>
      <c r="EQ462" s="16">
        <v>24</v>
      </c>
      <c r="MA462" t="str">
        <f t="shared" si="410"/>
        <v>DI3-B25</v>
      </c>
    </row>
    <row r="463" spans="1:339" x14ac:dyDescent="0.25">
      <c r="A463" s="83" t="s">
        <v>2556</v>
      </c>
      <c r="B463" s="83" t="s">
        <v>2555</v>
      </c>
      <c r="C463" s="3"/>
      <c r="O463" s="2"/>
      <c r="P463" t="s">
        <v>129</v>
      </c>
      <c r="Q463" s="1"/>
      <c r="S463" s="1" t="s">
        <v>130</v>
      </c>
      <c r="T463" s="14" t="s">
        <v>2182</v>
      </c>
      <c r="U463" s="59">
        <v>21</v>
      </c>
      <c r="V463" s="15" t="s">
        <v>2535</v>
      </c>
      <c r="W463" s="15"/>
      <c r="AC463" t="str">
        <f t="shared" si="500"/>
        <v>A5.4</v>
      </c>
      <c r="AD463" s="43" t="str">
        <f t="array" ref="AD463">IF(COUNTIFS(AC$377:AC463,AC463)=1,"1",VALUE(SUBSTITUTE(INDEX(AD:AD,_xlfn.XMATCH(AC463,AC$1:AC462,0,-1)),"A",""))+INDEX(AE:AE,_xlfn.XMATCH(AC463,AC$1:AC462,0,-1))+1)</f>
        <v>1</v>
      </c>
      <c r="AE463" s="43">
        <f t="array" ref="AE463">SUM(IF(ISNUMBER(FIND("TmDi",$BE$1:$AAQ$1)),IF(IFERROR(ISNUMBER(VALUE(SUBSTITUTE($BE463:$AAQ463,"B",""))),FALSE),IF(ISNUMBER(VALUE(SUBSTITUTE($BE463:$AAQ463,"B",""))),1,0),0)))</f>
        <v>5</v>
      </c>
      <c r="AF463" t="str">
        <f t="shared" si="440"/>
        <v>C1</v>
      </c>
      <c r="AG463" t="str">
        <f t="shared" si="441"/>
        <v>B1</v>
      </c>
      <c r="AH463" t="str">
        <f t="shared" si="502"/>
        <v>A6.2</v>
      </c>
      <c r="AI463" s="69">
        <f t="array" ref="AI463">IF(COUNTIFS(AH$377:AH463,AH463)=1,"1",VALUE(SUBSTITUTE(INDEX(AI:AI,_xlfn.XMATCH(AH463,AH$1:AH462,0,-1)),"A",""))+INDEX(AJ:AJ,_xlfn.XMATCH(AH463,AH$1:AH462,0,-1))+1)</f>
        <v>19</v>
      </c>
      <c r="AJ463" s="62">
        <f t="array" ref="AJ463">SUM(IF(ISNUMBER(FIND("TmDo",$BE$1:$AAQ$1)),IF(IFERROR(ISNUMBER(VALUE(SUBSTITUTE($BE463:$AAQ463,"B",""))),FALSE),IF(ISNUMBER(VALUE(SUBSTITUTE($BE463:$AAQ463,"B",""))),1,0),0)))</f>
        <v>2</v>
      </c>
      <c r="AK463" t="str">
        <f t="shared" si="442"/>
        <v>19A</v>
      </c>
      <c r="AL463" t="str">
        <f t="shared" si="443"/>
        <v>19B</v>
      </c>
      <c r="AM463" t="s">
        <v>193</v>
      </c>
      <c r="AP463" t="s">
        <v>2184</v>
      </c>
      <c r="AQ463" t="s">
        <v>2508</v>
      </c>
      <c r="AT463" t="s">
        <v>139</v>
      </c>
      <c r="AU463" t="s">
        <v>140</v>
      </c>
      <c r="BD463" s="16"/>
      <c r="BE463" s="27" t="str">
        <f t="shared" si="503"/>
        <v>XT21</v>
      </c>
      <c r="BF463" t="str">
        <f t="shared" si="504"/>
        <v>C2</v>
      </c>
      <c r="BG463" t="str">
        <f t="shared" si="505"/>
        <v>B2</v>
      </c>
      <c r="BH463" t="str">
        <f t="shared" si="506"/>
        <v>C3</v>
      </c>
      <c r="BI463" t="str">
        <f t="shared" si="507"/>
        <v>B3</v>
      </c>
      <c r="BJ463" t="str">
        <f t="shared" si="508"/>
        <v>C4</v>
      </c>
      <c r="BK463" t="str">
        <f t="shared" si="509"/>
        <v>B4</v>
      </c>
      <c r="BL463" t="str">
        <f t="shared" si="510"/>
        <v>C5</v>
      </c>
      <c r="BM463" t="str">
        <f t="shared" si="511"/>
        <v>B5</v>
      </c>
      <c r="BN463" t="str">
        <f t="shared" si="512"/>
        <v>C6</v>
      </c>
      <c r="BO463" t="str">
        <f t="shared" si="513"/>
        <v>B6</v>
      </c>
      <c r="BP463" t="str">
        <f t="shared" si="455"/>
        <v>20A</v>
      </c>
      <c r="BQ463" t="str">
        <f t="shared" si="456"/>
        <v>20B</v>
      </c>
      <c r="BR463" t="str">
        <f t="shared" si="457"/>
        <v>21A</v>
      </c>
      <c r="BS463" t="str">
        <f t="shared" si="458"/>
        <v>21B</v>
      </c>
      <c r="BT463" t="str">
        <f t="shared" si="514"/>
        <v>DI4-C1</v>
      </c>
      <c r="BU463" t="str">
        <f t="shared" si="515"/>
        <v>DI4-B1</v>
      </c>
      <c r="BV463" t="str">
        <f t="shared" si="516"/>
        <v>DI4-C2</v>
      </c>
      <c r="BW463" t="str">
        <f t="shared" si="517"/>
        <v>DI4-B2</v>
      </c>
      <c r="BX463" t="str">
        <f t="shared" si="518"/>
        <v>DI4-C3</v>
      </c>
      <c r="BY463" t="str">
        <f t="shared" si="519"/>
        <v>DI4-B3</v>
      </c>
      <c r="BZ463" t="str">
        <f t="shared" si="520"/>
        <v>DI4-C4</v>
      </c>
      <c r="CA463" t="str">
        <f t="shared" si="521"/>
        <v>DI4-B4</v>
      </c>
      <c r="CB463" t="str">
        <f t="shared" si="522"/>
        <v>DI4-C5</v>
      </c>
      <c r="CC463" t="str">
        <f t="shared" si="523"/>
        <v>DI4-B5</v>
      </c>
      <c r="CD463" t="str">
        <f t="shared" si="524"/>
        <v>DI4-C6</v>
      </c>
      <c r="CE463" t="str">
        <f t="shared" si="525"/>
        <v>DI4-B6</v>
      </c>
      <c r="CF463" t="str">
        <f t="shared" si="526"/>
        <v>DO2-19A</v>
      </c>
      <c r="CG463" t="str">
        <f t="shared" si="527"/>
        <v>DO2-19B</v>
      </c>
      <c r="CH463" t="str">
        <f t="shared" si="528"/>
        <v>DO2-20A</v>
      </c>
      <c r="CI463" t="str">
        <f t="shared" si="529"/>
        <v>DO2-20B</v>
      </c>
      <c r="CJ463" t="str">
        <f t="shared" si="530"/>
        <v>DO2-21A</v>
      </c>
      <c r="CK463" t="str">
        <f t="shared" si="531"/>
        <v>DO2-21B</v>
      </c>
      <c r="CL463" t="str">
        <f t="shared" si="477"/>
        <v>K21-10</v>
      </c>
      <c r="CM463" t="str">
        <f t="shared" si="478"/>
        <v>K21-03</v>
      </c>
      <c r="CN463" t="str">
        <f t="shared" si="479"/>
        <v>K21-04</v>
      </c>
      <c r="CO463" t="str">
        <f t="shared" si="480"/>
        <v>K21-01</v>
      </c>
      <c r="CP463" t="str">
        <f t="shared" si="481"/>
        <v>K21-08</v>
      </c>
      <c r="CQ463" t="str">
        <f t="shared" si="482"/>
        <v>K21-02</v>
      </c>
      <c r="CR463" t="str">
        <f t="shared" si="483"/>
        <v>K21-09</v>
      </c>
      <c r="CS463" t="str">
        <f t="shared" si="484"/>
        <v>K21-05</v>
      </c>
      <c r="CT463" t="str">
        <f t="shared" si="485"/>
        <v>K21-11</v>
      </c>
      <c r="CU463" t="str">
        <f t="shared" si="486"/>
        <v>N1-M21-A9</v>
      </c>
      <c r="CV463" t="str">
        <f t="shared" si="487"/>
        <v>N1-M21-A7</v>
      </c>
      <c r="CW463" t="str">
        <f t="shared" si="488"/>
        <v>N1-M21-A8</v>
      </c>
      <c r="CX463" t="str">
        <f t="shared" si="489"/>
        <v>N1-M21-A6</v>
      </c>
      <c r="CY463" t="str">
        <f t="shared" si="490"/>
        <v>N1-M21-A30</v>
      </c>
      <c r="CZ463" t="str">
        <f t="shared" si="491"/>
        <v>N1-M21-N</v>
      </c>
      <c r="DA463" t="str">
        <f t="shared" si="532"/>
        <v>N1-A220-M21</v>
      </c>
      <c r="DB463" t="str">
        <f t="shared" si="493"/>
        <v>N1-M21-XM01</v>
      </c>
      <c r="DC463" t="str">
        <f t="shared" si="494"/>
        <v>N1-M21-A1</v>
      </c>
      <c r="DD463" t="str">
        <f t="shared" si="495"/>
        <v>N1-M21-A5</v>
      </c>
      <c r="DE463" t="str">
        <f t="shared" si="496"/>
        <v>N1-M21-A11</v>
      </c>
      <c r="DF463" t="str">
        <f t="shared" si="497"/>
        <v>N1-M21-A12</v>
      </c>
      <c r="DG463" t="str">
        <f t="shared" si="498"/>
        <v>N1-M21-A19</v>
      </c>
      <c r="DH463" t="str">
        <f t="shared" si="499"/>
        <v>N1-M21-A20</v>
      </c>
      <c r="DI463" t="s">
        <v>142</v>
      </c>
      <c r="DJ463" t="s">
        <v>143</v>
      </c>
      <c r="DK463">
        <v>11</v>
      </c>
      <c r="DL463">
        <v>14</v>
      </c>
      <c r="DM463">
        <v>12</v>
      </c>
      <c r="DN463" t="s">
        <v>144</v>
      </c>
      <c r="DO463" t="s">
        <v>145</v>
      </c>
      <c r="DP463">
        <v>1</v>
      </c>
      <c r="DQ463">
        <v>2</v>
      </c>
      <c r="DR463">
        <v>3</v>
      </c>
      <c r="DS463">
        <v>4</v>
      </c>
      <c r="DT463">
        <v>5</v>
      </c>
      <c r="DU463">
        <v>6</v>
      </c>
      <c r="DV463">
        <v>7</v>
      </c>
      <c r="DW463">
        <v>8</v>
      </c>
      <c r="DX463">
        <v>9</v>
      </c>
      <c r="DY463">
        <v>10</v>
      </c>
      <c r="DZ463">
        <v>11</v>
      </c>
      <c r="EA463">
        <v>12</v>
      </c>
      <c r="EB463">
        <v>13</v>
      </c>
      <c r="EC463">
        <v>14</v>
      </c>
      <c r="ED463">
        <v>1</v>
      </c>
      <c r="EE463">
        <v>3</v>
      </c>
      <c r="EF463">
        <v>4</v>
      </c>
      <c r="EG463">
        <v>7</v>
      </c>
      <c r="EH463">
        <v>8</v>
      </c>
      <c r="EI463">
        <v>9</v>
      </c>
      <c r="EJ463">
        <v>10</v>
      </c>
      <c r="EK463">
        <v>13</v>
      </c>
      <c r="EL463">
        <v>14</v>
      </c>
      <c r="EM463">
        <v>15</v>
      </c>
      <c r="EN463">
        <v>16</v>
      </c>
      <c r="EO463">
        <v>22</v>
      </c>
      <c r="EP463">
        <v>23</v>
      </c>
      <c r="EQ463" s="16">
        <v>24</v>
      </c>
      <c r="MA463" t="str">
        <f t="shared" si="410"/>
        <v>DI4-B1</v>
      </c>
    </row>
    <row r="464" spans="1:339" x14ac:dyDescent="0.25">
      <c r="A464" s="83" t="s">
        <v>2558</v>
      </c>
      <c r="B464" s="83" t="s">
        <v>2557</v>
      </c>
      <c r="C464" s="3"/>
      <c r="O464" s="2"/>
      <c r="P464" t="s">
        <v>129</v>
      </c>
      <c r="Q464" s="1"/>
      <c r="S464" s="1" t="s">
        <v>130</v>
      </c>
      <c r="T464" s="14" t="s">
        <v>2182</v>
      </c>
      <c r="U464" s="59">
        <v>22</v>
      </c>
      <c r="V464" s="15" t="s">
        <v>2536</v>
      </c>
      <c r="W464" s="15"/>
      <c r="AC464" t="str">
        <f t="shared" si="500"/>
        <v>A5.4</v>
      </c>
      <c r="AD464" s="43">
        <f t="array" ref="AD464">IF(COUNTIFS(AC$377:AC464,AC464)=1,"1",VALUE(SUBSTITUTE(INDEX(AD:AD,_xlfn.XMATCH(AC464,AC$1:AC463,0,-1)),"A",""))+INDEX(AE:AE,_xlfn.XMATCH(AC464,AC$1:AC463,0,-1))+1)</f>
        <v>7</v>
      </c>
      <c r="AE464" s="43">
        <f t="array" ref="AE464">SUM(IF(ISNUMBER(FIND("TmDi",$BE$1:$AAQ$1)),IF(IFERROR(ISNUMBER(VALUE(SUBSTITUTE($BE464:$AAQ464,"B",""))),FALSE),IF(ISNUMBER(VALUE(SUBSTITUTE($BE464:$AAQ464,"B",""))),1,0),0)))</f>
        <v>5</v>
      </c>
      <c r="AF464" t="str">
        <f t="shared" si="440"/>
        <v>C7</v>
      </c>
      <c r="AG464" t="str">
        <f t="shared" si="441"/>
        <v>B7</v>
      </c>
      <c r="AH464" t="str">
        <f t="shared" si="502"/>
        <v>A6.2</v>
      </c>
      <c r="AI464" s="69">
        <f t="array" ref="AI464">IF(COUNTIFS(AH$377:AH464,AH464)=1,"1",VALUE(SUBSTITUTE(INDEX(AI:AI,_xlfn.XMATCH(AH464,AH$1:AH463,0,-1)),"A",""))+INDEX(AJ:AJ,_xlfn.XMATCH(AH464,AH$1:AH463,0,-1))+1)</f>
        <v>22</v>
      </c>
      <c r="AJ464" s="62">
        <f t="array" ref="AJ464">SUM(IF(ISNUMBER(FIND("TmDo",$BE$1:$AAQ$1)),IF(IFERROR(ISNUMBER(VALUE(SUBSTITUTE($BE464:$AAQ464,"B",""))),FALSE),IF(ISNUMBER(VALUE(SUBSTITUTE($BE464:$AAQ464,"B",""))),1,0),0)))</f>
        <v>2</v>
      </c>
      <c r="AK464" t="str">
        <f t="shared" si="442"/>
        <v>22A</v>
      </c>
      <c r="AL464" t="str">
        <f t="shared" si="443"/>
        <v>22B</v>
      </c>
      <c r="AM464" t="s">
        <v>196</v>
      </c>
      <c r="AP464" t="s">
        <v>2184</v>
      </c>
      <c r="AQ464" t="s">
        <v>2508</v>
      </c>
      <c r="AT464" t="s">
        <v>139</v>
      </c>
      <c r="AU464" t="s">
        <v>140</v>
      </c>
      <c r="BD464" s="16"/>
      <c r="BE464" s="27" t="str">
        <f t="shared" si="503"/>
        <v>XT22</v>
      </c>
      <c r="BF464" t="str">
        <f t="shared" si="504"/>
        <v>C8</v>
      </c>
      <c r="BG464" t="str">
        <f t="shared" si="505"/>
        <v>B8</v>
      </c>
      <c r="BH464" t="str">
        <f t="shared" si="506"/>
        <v>C9</v>
      </c>
      <c r="BI464" t="str">
        <f t="shared" si="507"/>
        <v>B9</v>
      </c>
      <c r="BJ464" t="str">
        <f t="shared" si="508"/>
        <v>C10</v>
      </c>
      <c r="BK464" t="str">
        <f t="shared" si="509"/>
        <v>B10</v>
      </c>
      <c r="BL464" t="str">
        <f t="shared" si="510"/>
        <v>C11</v>
      </c>
      <c r="BM464" t="str">
        <f t="shared" si="511"/>
        <v>B11</v>
      </c>
      <c r="BN464" t="str">
        <f t="shared" si="512"/>
        <v>C12</v>
      </c>
      <c r="BO464" t="str">
        <f t="shared" si="513"/>
        <v>B12</v>
      </c>
      <c r="BP464" t="str">
        <f t="shared" si="455"/>
        <v>23A</v>
      </c>
      <c r="BQ464" t="str">
        <f t="shared" si="456"/>
        <v>23B</v>
      </c>
      <c r="BR464" t="str">
        <f t="shared" si="457"/>
        <v>24A</v>
      </c>
      <c r="BS464" t="str">
        <f t="shared" si="458"/>
        <v>24B</v>
      </c>
      <c r="BT464" t="str">
        <f t="shared" si="514"/>
        <v>DI4-C7</v>
      </c>
      <c r="BU464" t="str">
        <f t="shared" si="515"/>
        <v>DI4-B7</v>
      </c>
      <c r="BV464" t="str">
        <f t="shared" si="516"/>
        <v>DI4-C8</v>
      </c>
      <c r="BW464" t="str">
        <f t="shared" si="517"/>
        <v>DI4-B8</v>
      </c>
      <c r="BX464" t="str">
        <f t="shared" si="518"/>
        <v>DI4-C9</v>
      </c>
      <c r="BY464" t="str">
        <f t="shared" si="519"/>
        <v>DI4-B9</v>
      </c>
      <c r="BZ464" t="str">
        <f t="shared" si="520"/>
        <v>DI4-C10</v>
      </c>
      <c r="CA464" t="str">
        <f t="shared" si="521"/>
        <v>DI4-B10</v>
      </c>
      <c r="CB464" t="str">
        <f t="shared" si="522"/>
        <v>DI4-C11</v>
      </c>
      <c r="CC464" t="str">
        <f t="shared" si="523"/>
        <v>DI4-B11</v>
      </c>
      <c r="CD464" t="str">
        <f t="shared" si="524"/>
        <v>DI4-C12</v>
      </c>
      <c r="CE464" t="str">
        <f t="shared" si="525"/>
        <v>DI4-B12</v>
      </c>
      <c r="CF464" t="str">
        <f t="shared" si="526"/>
        <v>DO2-22A</v>
      </c>
      <c r="CG464" t="str">
        <f t="shared" si="527"/>
        <v>DO2-22B</v>
      </c>
      <c r="CH464" t="str">
        <f t="shared" si="528"/>
        <v>DO2-23A</v>
      </c>
      <c r="CI464" t="str">
        <f t="shared" si="529"/>
        <v>DO2-23B</v>
      </c>
      <c r="CJ464" t="str">
        <f t="shared" si="530"/>
        <v>DO2-24A</v>
      </c>
      <c r="CK464" t="str">
        <f t="shared" si="531"/>
        <v>DO2-24B</v>
      </c>
      <c r="CL464" t="str">
        <f t="shared" si="477"/>
        <v>K22-10</v>
      </c>
      <c r="CM464" t="str">
        <f t="shared" si="478"/>
        <v>K22-03</v>
      </c>
      <c r="CN464" t="str">
        <f t="shared" si="479"/>
        <v>K22-04</v>
      </c>
      <c r="CO464" t="str">
        <f t="shared" si="480"/>
        <v>K22-01</v>
      </c>
      <c r="CP464" t="str">
        <f t="shared" si="481"/>
        <v>K22-08</v>
      </c>
      <c r="CQ464" t="str">
        <f t="shared" si="482"/>
        <v>K22-02</v>
      </c>
      <c r="CR464" t="str">
        <f t="shared" si="483"/>
        <v>K22-09</v>
      </c>
      <c r="CS464" t="str">
        <f t="shared" si="484"/>
        <v>K22-05</v>
      </c>
      <c r="CT464" t="str">
        <f t="shared" si="485"/>
        <v>K22-11</v>
      </c>
      <c r="CU464" t="str">
        <f t="shared" si="486"/>
        <v>N1-M22-A9</v>
      </c>
      <c r="CV464" t="str">
        <f t="shared" si="487"/>
        <v>N1-M22-A7</v>
      </c>
      <c r="CW464" t="str">
        <f t="shared" si="488"/>
        <v>N1-M22-A8</v>
      </c>
      <c r="CX464" t="str">
        <f t="shared" si="489"/>
        <v>N1-M22-A6</v>
      </c>
      <c r="CY464" t="str">
        <f t="shared" si="490"/>
        <v>N1-M22-A30</v>
      </c>
      <c r="CZ464" t="str">
        <f t="shared" si="491"/>
        <v>N1-M22-N</v>
      </c>
      <c r="DA464" t="str">
        <f t="shared" si="532"/>
        <v>N1-A220-M22</v>
      </c>
      <c r="DB464" t="str">
        <f t="shared" si="493"/>
        <v>N1-M22-XM01</v>
      </c>
      <c r="DC464" t="str">
        <f t="shared" si="494"/>
        <v>N1-M22-A1</v>
      </c>
      <c r="DD464" t="str">
        <f t="shared" si="495"/>
        <v>N1-M22-A5</v>
      </c>
      <c r="DE464" t="str">
        <f t="shared" si="496"/>
        <v>N1-M22-A11</v>
      </c>
      <c r="DF464" t="str">
        <f t="shared" si="497"/>
        <v>N1-M22-A12</v>
      </c>
      <c r="DG464" t="str">
        <f t="shared" si="498"/>
        <v>N1-M22-A19</v>
      </c>
      <c r="DH464" t="str">
        <f t="shared" si="499"/>
        <v>N1-M22-A20</v>
      </c>
      <c r="DI464" t="s">
        <v>142</v>
      </c>
      <c r="DJ464" t="s">
        <v>143</v>
      </c>
      <c r="DK464">
        <v>11</v>
      </c>
      <c r="DL464">
        <v>14</v>
      </c>
      <c r="DM464">
        <v>12</v>
      </c>
      <c r="DN464" t="s">
        <v>144</v>
      </c>
      <c r="DO464" t="s">
        <v>145</v>
      </c>
      <c r="DP464">
        <v>1</v>
      </c>
      <c r="DQ464">
        <v>2</v>
      </c>
      <c r="DR464">
        <v>3</v>
      </c>
      <c r="DS464">
        <v>4</v>
      </c>
      <c r="DT464">
        <v>5</v>
      </c>
      <c r="DU464">
        <v>6</v>
      </c>
      <c r="DV464">
        <v>7</v>
      </c>
      <c r="DW464">
        <v>8</v>
      </c>
      <c r="DX464">
        <v>9</v>
      </c>
      <c r="DY464">
        <v>10</v>
      </c>
      <c r="DZ464">
        <v>11</v>
      </c>
      <c r="EA464">
        <v>12</v>
      </c>
      <c r="EB464">
        <v>13</v>
      </c>
      <c r="EC464">
        <v>14</v>
      </c>
      <c r="ED464">
        <v>1</v>
      </c>
      <c r="EE464">
        <v>3</v>
      </c>
      <c r="EF464">
        <v>4</v>
      </c>
      <c r="EG464">
        <v>7</v>
      </c>
      <c r="EH464">
        <v>8</v>
      </c>
      <c r="EI464">
        <v>9</v>
      </c>
      <c r="EJ464">
        <v>10</v>
      </c>
      <c r="EK464">
        <v>13</v>
      </c>
      <c r="EL464">
        <v>14</v>
      </c>
      <c r="EM464">
        <v>15</v>
      </c>
      <c r="EN464">
        <v>16</v>
      </c>
      <c r="EO464">
        <v>22</v>
      </c>
      <c r="EP464">
        <v>23</v>
      </c>
      <c r="EQ464" s="16">
        <v>24</v>
      </c>
      <c r="MA464" t="str">
        <f t="shared" si="410"/>
        <v>DI4-B7</v>
      </c>
    </row>
    <row r="465" spans="1:339" x14ac:dyDescent="0.25">
      <c r="A465" s="83" t="s">
        <v>2560</v>
      </c>
      <c r="B465" s="83" t="s">
        <v>2559</v>
      </c>
      <c r="C465" s="3"/>
      <c r="O465" s="2"/>
      <c r="P465" t="s">
        <v>129</v>
      </c>
      <c r="Q465" s="1"/>
      <c r="S465" s="1" t="s">
        <v>130</v>
      </c>
      <c r="T465" s="14" t="s">
        <v>2182</v>
      </c>
      <c r="U465" s="59">
        <v>23</v>
      </c>
      <c r="V465" s="15" t="s">
        <v>2537</v>
      </c>
      <c r="W465" s="15"/>
      <c r="AC465" t="str">
        <f t="shared" si="500"/>
        <v>A5.4</v>
      </c>
      <c r="AD465" s="43">
        <f t="array" ref="AD465">IF(COUNTIFS(AC$377:AC465,AC465)=1,"1",VALUE(SUBSTITUTE(INDEX(AD:AD,_xlfn.XMATCH(AC465,AC$1:AC464,0,-1)),"A",""))+INDEX(AE:AE,_xlfn.XMATCH(AC465,AC$1:AC464,0,-1))+1)</f>
        <v>13</v>
      </c>
      <c r="AE465" s="43">
        <f t="array" ref="AE465">SUM(IF(ISNUMBER(FIND("TmDi",$BE$1:$AAQ$1)),IF(IFERROR(ISNUMBER(VALUE(SUBSTITUTE($BE465:$AAQ465,"B",""))),FALSE),IF(ISNUMBER(VALUE(SUBSTITUTE($BE465:$AAQ465,"B",""))),1,0),0)))</f>
        <v>5</v>
      </c>
      <c r="AF465" t="str">
        <f t="shared" si="440"/>
        <v>C13</v>
      </c>
      <c r="AG465" t="str">
        <f t="shared" si="441"/>
        <v>B13</v>
      </c>
      <c r="AH465" t="str">
        <f t="shared" si="502"/>
        <v>A6.2</v>
      </c>
      <c r="AI465" s="69">
        <f t="array" ref="AI465">IF(COUNTIFS(AH$377:AH465,AH465)=1,"1",VALUE(SUBSTITUTE(INDEX(AI:AI,_xlfn.XMATCH(AH465,AH$1:AH464,0,-1)),"A",""))+INDEX(AJ:AJ,_xlfn.XMATCH(AH465,AH$1:AH464,0,-1))+1)</f>
        <v>25</v>
      </c>
      <c r="AJ465" s="62">
        <f t="array" ref="AJ465">SUM(IF(ISNUMBER(FIND("TmDo",$BE$1:$AAQ$1)),IF(IFERROR(ISNUMBER(VALUE(SUBSTITUTE($BE465:$AAQ465,"B",""))),FALSE),IF(ISNUMBER(VALUE(SUBSTITUTE($BE465:$AAQ465,"B",""))),1,0),0)))</f>
        <v>2</v>
      </c>
      <c r="AK465" t="str">
        <f t="shared" si="442"/>
        <v>25A</v>
      </c>
      <c r="AL465" t="str">
        <f t="shared" si="443"/>
        <v>25B</v>
      </c>
      <c r="AM465" t="s">
        <v>199</v>
      </c>
      <c r="AP465" t="s">
        <v>2184</v>
      </c>
      <c r="AQ465" t="s">
        <v>2508</v>
      </c>
      <c r="AT465" t="s">
        <v>139</v>
      </c>
      <c r="AU465" t="s">
        <v>140</v>
      </c>
      <c r="BD465" s="16"/>
      <c r="BE465" s="27" t="str">
        <f t="shared" si="503"/>
        <v>XT23</v>
      </c>
      <c r="BF465" t="str">
        <f t="shared" si="504"/>
        <v>C14</v>
      </c>
      <c r="BG465" t="str">
        <f t="shared" si="505"/>
        <v>B14</v>
      </c>
      <c r="BH465" t="str">
        <f t="shared" si="506"/>
        <v>C15</v>
      </c>
      <c r="BI465" t="str">
        <f t="shared" si="507"/>
        <v>B15</v>
      </c>
      <c r="BJ465" t="str">
        <f t="shared" si="508"/>
        <v>C16</v>
      </c>
      <c r="BK465" t="str">
        <f t="shared" si="509"/>
        <v>B16</v>
      </c>
      <c r="BL465" t="str">
        <f t="shared" si="510"/>
        <v>C17</v>
      </c>
      <c r="BM465" t="str">
        <f t="shared" si="511"/>
        <v>B17</v>
      </c>
      <c r="BN465" t="str">
        <f t="shared" si="512"/>
        <v>C18</v>
      </c>
      <c r="BO465" t="str">
        <f t="shared" si="513"/>
        <v>B18</v>
      </c>
      <c r="BP465" t="str">
        <f t="shared" si="455"/>
        <v>26A</v>
      </c>
      <c r="BQ465" t="str">
        <f t="shared" si="456"/>
        <v>26B</v>
      </c>
      <c r="BR465" t="str">
        <f t="shared" si="457"/>
        <v>27A</v>
      </c>
      <c r="BS465" t="str">
        <f t="shared" si="458"/>
        <v>27B</v>
      </c>
      <c r="BT465" t="str">
        <f t="shared" si="514"/>
        <v>DI4-C13</v>
      </c>
      <c r="BU465" t="str">
        <f t="shared" si="515"/>
        <v>DI4-B13</v>
      </c>
      <c r="BV465" t="str">
        <f t="shared" si="516"/>
        <v>DI4-C14</v>
      </c>
      <c r="BW465" t="str">
        <f t="shared" si="517"/>
        <v>DI4-B14</v>
      </c>
      <c r="BX465" t="str">
        <f t="shared" si="518"/>
        <v>DI4-C15</v>
      </c>
      <c r="BY465" t="str">
        <f t="shared" si="519"/>
        <v>DI4-B15</v>
      </c>
      <c r="BZ465" t="str">
        <f t="shared" si="520"/>
        <v>DI4-C16</v>
      </c>
      <c r="CA465" t="str">
        <f t="shared" si="521"/>
        <v>DI4-B16</v>
      </c>
      <c r="CB465" t="str">
        <f t="shared" si="522"/>
        <v>DI4-C17</v>
      </c>
      <c r="CC465" t="str">
        <f t="shared" si="523"/>
        <v>DI4-B17</v>
      </c>
      <c r="CD465" t="str">
        <f t="shared" si="524"/>
        <v>DI4-C18</v>
      </c>
      <c r="CE465" t="str">
        <f t="shared" si="525"/>
        <v>DI4-B18</v>
      </c>
      <c r="CF465" t="str">
        <f t="shared" si="526"/>
        <v>DO2-25A</v>
      </c>
      <c r="CG465" t="str">
        <f t="shared" si="527"/>
        <v>DO2-25B</v>
      </c>
      <c r="CH465" t="str">
        <f t="shared" si="528"/>
        <v>DO2-26A</v>
      </c>
      <c r="CI465" t="str">
        <f t="shared" si="529"/>
        <v>DO2-26B</v>
      </c>
      <c r="CJ465" t="str">
        <f t="shared" si="530"/>
        <v>DO2-27A</v>
      </c>
      <c r="CK465" t="str">
        <f t="shared" si="531"/>
        <v>DO2-27B</v>
      </c>
      <c r="CL465" t="str">
        <f t="shared" si="477"/>
        <v>K23-10</v>
      </c>
      <c r="CM465" t="str">
        <f t="shared" si="478"/>
        <v>K23-03</v>
      </c>
      <c r="CN465" t="str">
        <f t="shared" si="479"/>
        <v>K23-04</v>
      </c>
      <c r="CO465" t="str">
        <f t="shared" si="480"/>
        <v>K23-01</v>
      </c>
      <c r="CP465" t="str">
        <f t="shared" si="481"/>
        <v>K23-08</v>
      </c>
      <c r="CQ465" t="str">
        <f t="shared" si="482"/>
        <v>K23-02</v>
      </c>
      <c r="CR465" t="str">
        <f t="shared" si="483"/>
        <v>K23-09</v>
      </c>
      <c r="CS465" t="str">
        <f t="shared" si="484"/>
        <v>K23-05</v>
      </c>
      <c r="CT465" t="str">
        <f t="shared" si="485"/>
        <v>K23-11</v>
      </c>
      <c r="CU465" t="str">
        <f t="shared" si="486"/>
        <v>N1-M23-A9</v>
      </c>
      <c r="CV465" t="str">
        <f t="shared" si="487"/>
        <v>N1-M23-A7</v>
      </c>
      <c r="CW465" t="str">
        <f t="shared" si="488"/>
        <v>N1-M23-A8</v>
      </c>
      <c r="CX465" t="str">
        <f t="shared" si="489"/>
        <v>N1-M23-A6</v>
      </c>
      <c r="CY465" t="str">
        <f t="shared" si="490"/>
        <v>N1-M23-A30</v>
      </c>
      <c r="CZ465" t="str">
        <f t="shared" si="491"/>
        <v>N1-M23-N</v>
      </c>
      <c r="DA465" t="str">
        <f t="shared" si="532"/>
        <v>N1-A220-M23</v>
      </c>
      <c r="DB465" t="str">
        <f t="shared" si="493"/>
        <v>N1-M23-XM01</v>
      </c>
      <c r="DC465" t="str">
        <f t="shared" si="494"/>
        <v>N1-M23-A1</v>
      </c>
      <c r="DD465" t="str">
        <f t="shared" si="495"/>
        <v>N1-M23-A5</v>
      </c>
      <c r="DE465" t="str">
        <f t="shared" si="496"/>
        <v>N1-M23-A11</v>
      </c>
      <c r="DF465" t="str">
        <f t="shared" si="497"/>
        <v>N1-M23-A12</v>
      </c>
      <c r="DG465" t="str">
        <f t="shared" si="498"/>
        <v>N1-M23-A19</v>
      </c>
      <c r="DH465" t="str">
        <f t="shared" si="499"/>
        <v>N1-M23-A20</v>
      </c>
      <c r="DI465" t="s">
        <v>142</v>
      </c>
      <c r="DJ465" t="s">
        <v>143</v>
      </c>
      <c r="DK465">
        <v>11</v>
      </c>
      <c r="DL465">
        <v>14</v>
      </c>
      <c r="DM465">
        <v>12</v>
      </c>
      <c r="DN465" t="s">
        <v>144</v>
      </c>
      <c r="DO465" t="s">
        <v>145</v>
      </c>
      <c r="DP465">
        <v>1</v>
      </c>
      <c r="DQ465">
        <v>2</v>
      </c>
      <c r="DR465">
        <v>3</v>
      </c>
      <c r="DS465">
        <v>4</v>
      </c>
      <c r="DT465">
        <v>5</v>
      </c>
      <c r="DU465">
        <v>6</v>
      </c>
      <c r="DV465">
        <v>7</v>
      </c>
      <c r="DW465">
        <v>8</v>
      </c>
      <c r="DX465">
        <v>9</v>
      </c>
      <c r="DY465">
        <v>10</v>
      </c>
      <c r="DZ465">
        <v>11</v>
      </c>
      <c r="EA465">
        <v>12</v>
      </c>
      <c r="EB465">
        <v>13</v>
      </c>
      <c r="EC465">
        <v>14</v>
      </c>
      <c r="ED465">
        <v>1</v>
      </c>
      <c r="EE465">
        <v>3</v>
      </c>
      <c r="EF465">
        <v>4</v>
      </c>
      <c r="EG465">
        <v>7</v>
      </c>
      <c r="EH465">
        <v>8</v>
      </c>
      <c r="EI465">
        <v>9</v>
      </c>
      <c r="EJ465">
        <v>10</v>
      </c>
      <c r="EK465">
        <v>13</v>
      </c>
      <c r="EL465">
        <v>14</v>
      </c>
      <c r="EM465">
        <v>15</v>
      </c>
      <c r="EN465">
        <v>16</v>
      </c>
      <c r="EO465">
        <v>22</v>
      </c>
      <c r="EP465">
        <v>23</v>
      </c>
      <c r="EQ465" s="16">
        <v>24</v>
      </c>
      <c r="MA465" t="str">
        <f t="shared" si="410"/>
        <v>DI4-B13</v>
      </c>
    </row>
    <row r="466" spans="1:339" x14ac:dyDescent="0.25">
      <c r="A466" s="83" t="s">
        <v>2562</v>
      </c>
      <c r="B466" s="83" t="s">
        <v>2561</v>
      </c>
      <c r="C466" s="3"/>
      <c r="O466" s="2"/>
      <c r="P466" t="s">
        <v>129</v>
      </c>
      <c r="Q466" s="1"/>
      <c r="S466" s="1" t="s">
        <v>130</v>
      </c>
      <c r="T466" s="14" t="s">
        <v>2182</v>
      </c>
      <c r="U466" s="59">
        <v>24</v>
      </c>
      <c r="V466" s="15" t="s">
        <v>2538</v>
      </c>
      <c r="W466" s="15"/>
      <c r="AC466" t="str">
        <f t="shared" si="500"/>
        <v>A5.4</v>
      </c>
      <c r="AD466" s="43">
        <f t="array" ref="AD466">IF(COUNTIFS(AC$377:AC466,AC466)=1,"1",VALUE(SUBSTITUTE(INDEX(AD:AD,_xlfn.XMATCH(AC466,AC$1:AC465,0,-1)),"A",""))+INDEX(AE:AE,_xlfn.XMATCH(AC466,AC$1:AC465,0,-1))+1)</f>
        <v>19</v>
      </c>
      <c r="AE466" s="43">
        <f t="array" ref="AE466">SUM(IF(ISNUMBER(FIND("TmDi",$BE$1:$AAQ$1)),IF(IFERROR(ISNUMBER(VALUE(SUBSTITUTE($BE466:$AAQ466,"B",""))),FALSE),IF(ISNUMBER(VALUE(SUBSTITUTE($BE466:$AAQ466,"B",""))),1,0),0)))</f>
        <v>5</v>
      </c>
      <c r="AF466" t="str">
        <f t="shared" si="440"/>
        <v>C19</v>
      </c>
      <c r="AG466" t="str">
        <f t="shared" si="441"/>
        <v>B19</v>
      </c>
      <c r="AH466" t="str">
        <f t="shared" si="502"/>
        <v>A6.3</v>
      </c>
      <c r="AI466" s="69" t="str">
        <f t="array" ref="AI466">IF(COUNTIFS(AH$377:AH466,AH466)=1,"1",VALUE(SUBSTITUTE(INDEX(AI:AI,_xlfn.XMATCH(AH466,AH$1:AH465,0,-1)),"A",""))+INDEX(AJ:AJ,_xlfn.XMATCH(AH466,AH$1:AH465,0,-1))+1)</f>
        <v>1</v>
      </c>
      <c r="AJ466" s="62">
        <f t="array" ref="AJ466">SUM(IF(ISNUMBER(FIND("TmDo",$BE$1:$AAQ$1)),IF(IFERROR(ISNUMBER(VALUE(SUBSTITUTE($BE466:$AAQ466,"B",""))),FALSE),IF(ISNUMBER(VALUE(SUBSTITUTE($BE466:$AAQ466,"B",""))),1,0),0)))</f>
        <v>2</v>
      </c>
      <c r="AK466" t="str">
        <f t="shared" si="442"/>
        <v>1A</v>
      </c>
      <c r="AL466" t="str">
        <f t="shared" si="443"/>
        <v>1B</v>
      </c>
      <c r="AM466" t="s">
        <v>202</v>
      </c>
      <c r="AP466" t="s">
        <v>2184</v>
      </c>
      <c r="AQ466" t="s">
        <v>2508</v>
      </c>
      <c r="AT466" t="s">
        <v>139</v>
      </c>
      <c r="AU466" t="s">
        <v>140</v>
      </c>
      <c r="BD466" s="16"/>
      <c r="BE466" s="27" t="str">
        <f t="shared" si="503"/>
        <v>XT24</v>
      </c>
      <c r="BF466" t="str">
        <f t="shared" si="504"/>
        <v>C20</v>
      </c>
      <c r="BG466" t="str">
        <f t="shared" si="505"/>
        <v>B20</v>
      </c>
      <c r="BH466" t="str">
        <f t="shared" si="506"/>
        <v>C21</v>
      </c>
      <c r="BI466" t="str">
        <f t="shared" si="507"/>
        <v>B21</v>
      </c>
      <c r="BJ466" t="str">
        <f t="shared" si="508"/>
        <v>C22</v>
      </c>
      <c r="BK466" t="str">
        <f t="shared" si="509"/>
        <v>B22</v>
      </c>
      <c r="BL466" t="str">
        <f t="shared" si="510"/>
        <v>C23</v>
      </c>
      <c r="BM466" t="str">
        <f t="shared" si="511"/>
        <v>B23</v>
      </c>
      <c r="BN466" t="str">
        <f t="shared" si="512"/>
        <v>C24</v>
      </c>
      <c r="BO466" t="str">
        <f t="shared" si="513"/>
        <v>B24</v>
      </c>
      <c r="BP466" t="str">
        <f t="shared" si="455"/>
        <v>2A</v>
      </c>
      <c r="BQ466" t="str">
        <f t="shared" si="456"/>
        <v>2B</v>
      </c>
      <c r="BR466" t="str">
        <f t="shared" si="457"/>
        <v>3A</v>
      </c>
      <c r="BS466" t="str">
        <f t="shared" si="458"/>
        <v>3B</v>
      </c>
      <c r="BT466" t="str">
        <f t="shared" si="514"/>
        <v>DI4-C19</v>
      </c>
      <c r="BU466" t="str">
        <f t="shared" si="515"/>
        <v>DI4-B19</v>
      </c>
      <c r="BV466" t="str">
        <f t="shared" si="516"/>
        <v>DI4-C20</v>
      </c>
      <c r="BW466" t="str">
        <f t="shared" si="517"/>
        <v>DI4-B20</v>
      </c>
      <c r="BX466" t="str">
        <f t="shared" si="518"/>
        <v>DI4-C21</v>
      </c>
      <c r="BY466" t="str">
        <f t="shared" si="519"/>
        <v>DI4-B21</v>
      </c>
      <c r="BZ466" t="str">
        <f t="shared" si="520"/>
        <v>DI4-C22</v>
      </c>
      <c r="CA466" t="str">
        <f t="shared" si="521"/>
        <v>DI4-B22</v>
      </c>
      <c r="CB466" t="str">
        <f t="shared" si="522"/>
        <v>DI4-C23</v>
      </c>
      <c r="CC466" t="str">
        <f t="shared" si="523"/>
        <v>DI4-B23</v>
      </c>
      <c r="CD466" t="str">
        <f t="shared" si="524"/>
        <v>DI4-C24</v>
      </c>
      <c r="CE466" t="str">
        <f t="shared" si="525"/>
        <v>DI4-B24</v>
      </c>
      <c r="CF466" t="str">
        <f t="shared" si="526"/>
        <v>DO3-1A</v>
      </c>
      <c r="CG466" t="str">
        <f t="shared" si="527"/>
        <v>DO3-1B</v>
      </c>
      <c r="CH466" t="str">
        <f t="shared" si="528"/>
        <v>DO3-2A</v>
      </c>
      <c r="CI466" t="str">
        <f t="shared" si="529"/>
        <v>DO3-2B</v>
      </c>
      <c r="CJ466" t="str">
        <f t="shared" si="530"/>
        <v>DO3-3A</v>
      </c>
      <c r="CK466" t="str">
        <f t="shared" si="531"/>
        <v>DO3-3B</v>
      </c>
      <c r="CL466" t="str">
        <f t="shared" si="477"/>
        <v>K24-10</v>
      </c>
      <c r="CM466" t="str">
        <f t="shared" si="478"/>
        <v>K24-03</v>
      </c>
      <c r="CN466" t="str">
        <f t="shared" si="479"/>
        <v>K24-04</v>
      </c>
      <c r="CO466" t="str">
        <f t="shared" si="480"/>
        <v>K24-01</v>
      </c>
      <c r="CP466" t="str">
        <f t="shared" si="481"/>
        <v>K24-08</v>
      </c>
      <c r="CQ466" t="str">
        <f t="shared" si="482"/>
        <v>K24-02</v>
      </c>
      <c r="CR466" t="str">
        <f t="shared" si="483"/>
        <v>K24-09</v>
      </c>
      <c r="CS466" t="str">
        <f t="shared" si="484"/>
        <v>K24-05</v>
      </c>
      <c r="CT466" t="str">
        <f t="shared" si="485"/>
        <v>K24-11</v>
      </c>
      <c r="CU466" t="str">
        <f t="shared" si="486"/>
        <v>N1-M24-A9</v>
      </c>
      <c r="CV466" t="str">
        <f t="shared" si="487"/>
        <v>N1-M24-A7</v>
      </c>
      <c r="CW466" t="str">
        <f t="shared" si="488"/>
        <v>N1-M24-A8</v>
      </c>
      <c r="CX466" t="str">
        <f t="shared" si="489"/>
        <v>N1-M24-A6</v>
      </c>
      <c r="CY466" t="str">
        <f t="shared" si="490"/>
        <v>N1-M24-A30</v>
      </c>
      <c r="CZ466" t="str">
        <f t="shared" si="491"/>
        <v>N1-M24-N</v>
      </c>
      <c r="DA466" t="str">
        <f t="shared" si="532"/>
        <v>N1-A220-M24</v>
      </c>
      <c r="DB466" t="str">
        <f t="shared" si="493"/>
        <v>N1-M24-XM01</v>
      </c>
      <c r="DC466" t="str">
        <f t="shared" si="494"/>
        <v>N1-M24-A1</v>
      </c>
      <c r="DD466" t="str">
        <f t="shared" si="495"/>
        <v>N1-M24-A5</v>
      </c>
      <c r="DE466" t="str">
        <f t="shared" si="496"/>
        <v>N1-M24-A11</v>
      </c>
      <c r="DF466" t="str">
        <f t="shared" si="497"/>
        <v>N1-M24-A12</v>
      </c>
      <c r="DG466" t="str">
        <f t="shared" si="498"/>
        <v>N1-M24-A19</v>
      </c>
      <c r="DH466" t="str">
        <f t="shared" si="499"/>
        <v>N1-M24-A20</v>
      </c>
      <c r="DI466" t="s">
        <v>142</v>
      </c>
      <c r="DJ466" t="s">
        <v>143</v>
      </c>
      <c r="DK466">
        <v>11</v>
      </c>
      <c r="DL466">
        <v>14</v>
      </c>
      <c r="DM466">
        <v>12</v>
      </c>
      <c r="DN466" t="s">
        <v>144</v>
      </c>
      <c r="DO466" t="s">
        <v>145</v>
      </c>
      <c r="DP466">
        <v>1</v>
      </c>
      <c r="DQ466">
        <v>2</v>
      </c>
      <c r="DR466">
        <v>3</v>
      </c>
      <c r="DS466">
        <v>4</v>
      </c>
      <c r="DT466">
        <v>5</v>
      </c>
      <c r="DU466">
        <v>6</v>
      </c>
      <c r="DV466">
        <v>7</v>
      </c>
      <c r="DW466">
        <v>8</v>
      </c>
      <c r="DX466">
        <v>9</v>
      </c>
      <c r="DY466">
        <v>10</v>
      </c>
      <c r="DZ466">
        <v>11</v>
      </c>
      <c r="EA466">
        <v>12</v>
      </c>
      <c r="EB466">
        <v>13</v>
      </c>
      <c r="EC466">
        <v>14</v>
      </c>
      <c r="ED466">
        <v>1</v>
      </c>
      <c r="EE466">
        <v>3</v>
      </c>
      <c r="EF466">
        <v>4</v>
      </c>
      <c r="EG466">
        <v>7</v>
      </c>
      <c r="EH466">
        <v>8</v>
      </c>
      <c r="EI466">
        <v>9</v>
      </c>
      <c r="EJ466">
        <v>10</v>
      </c>
      <c r="EK466">
        <v>13</v>
      </c>
      <c r="EL466">
        <v>14</v>
      </c>
      <c r="EM466">
        <v>15</v>
      </c>
      <c r="EN466">
        <v>16</v>
      </c>
      <c r="EO466">
        <v>22</v>
      </c>
      <c r="EP466">
        <v>23</v>
      </c>
      <c r="EQ466" s="16">
        <v>24</v>
      </c>
      <c r="MA466" t="str">
        <f t="shared" si="410"/>
        <v>DI4-B19</v>
      </c>
    </row>
    <row r="467" spans="1:339" x14ac:dyDescent="0.25">
      <c r="A467" s="83" t="s">
        <v>2564</v>
      </c>
      <c r="B467" s="83" t="s">
        <v>2563</v>
      </c>
      <c r="C467" s="3"/>
      <c r="O467" s="2"/>
      <c r="P467" t="s">
        <v>129</v>
      </c>
      <c r="Q467" s="1"/>
      <c r="S467" s="1" t="s">
        <v>130</v>
      </c>
      <c r="T467" s="14" t="s">
        <v>2182</v>
      </c>
      <c r="U467" s="59">
        <v>25</v>
      </c>
      <c r="V467" s="15" t="s">
        <v>2565</v>
      </c>
      <c r="W467" s="15"/>
      <c r="AC467" t="str">
        <f t="shared" si="500"/>
        <v>A5.4</v>
      </c>
      <c r="AD467" s="43">
        <f t="array" ref="AD467">IF(COUNTIFS(AC$377:AC467,AC467)=1,"1",VALUE(SUBSTITUTE(INDEX(AD:AD,_xlfn.XMATCH(AC467,AC$1:AC466,0,-1)),"A",""))+INDEX(AE:AE,_xlfn.XMATCH(AC467,AC$1:AC466,0,-1))+1)</f>
        <v>25</v>
      </c>
      <c r="AE467" s="43">
        <f t="array" ref="AE467">SUM(IF(ISNUMBER(FIND("TmDi",$BE$1:$AAQ$1)),IF(IFERROR(ISNUMBER(VALUE(SUBSTITUTE($BE467:$AAQ467,"B",""))),FALSE),IF(ISNUMBER(VALUE(SUBSTITUTE($BE467:$AAQ467,"B",""))),1,0),0)))</f>
        <v>5</v>
      </c>
      <c r="AF467" t="str">
        <f t="shared" si="440"/>
        <v>C25</v>
      </c>
      <c r="AG467" t="str">
        <f t="shared" si="441"/>
        <v>B25</v>
      </c>
      <c r="AH467" t="str">
        <f t="shared" si="502"/>
        <v>A6.3</v>
      </c>
      <c r="AI467" s="69">
        <f t="array" ref="AI467">IF(COUNTIFS(AH$377:AH467,AH467)=1,"1",VALUE(SUBSTITUTE(INDEX(AI:AI,_xlfn.XMATCH(AH467,AH$1:AH466,0,-1)),"A",""))+INDEX(AJ:AJ,_xlfn.XMATCH(AH467,AH$1:AH466,0,-1))+1)</f>
        <v>4</v>
      </c>
      <c r="AJ467" s="62">
        <f t="array" ref="AJ467">SUM(IF(ISNUMBER(FIND("TmDo",$BE$1:$AAQ$1)),IF(IFERROR(ISNUMBER(VALUE(SUBSTITUTE($BE467:$AAQ467,"B",""))),FALSE),IF(ISNUMBER(VALUE(SUBSTITUTE($BE467:$AAQ467,"B",""))),1,0),0)))</f>
        <v>2</v>
      </c>
      <c r="AK467" t="str">
        <f t="shared" si="442"/>
        <v>4A</v>
      </c>
      <c r="AL467" t="str">
        <f t="shared" si="443"/>
        <v>4B</v>
      </c>
      <c r="AM467" t="s">
        <v>205</v>
      </c>
      <c r="AP467" t="s">
        <v>2184</v>
      </c>
      <c r="AQ467" t="s">
        <v>2508</v>
      </c>
      <c r="AT467" t="s">
        <v>139</v>
      </c>
      <c r="AU467" t="s">
        <v>140</v>
      </c>
      <c r="BD467" s="16"/>
      <c r="BE467" s="27" t="str">
        <f t="shared" ref="BE467:BE475" si="533">CONCATENATE("XT",U467)</f>
        <v>XT25</v>
      </c>
      <c r="BF467" t="str">
        <f t="shared" ref="BF467:BF475" si="534">CONCATENATE("C",REPLACE(AF467,1,1,"")+1)</f>
        <v>C26</v>
      </c>
      <c r="BG467" t="str">
        <f t="shared" ref="BG467:BG475" si="535">CONCATENATE("B",REPLACE(AG467,1,1,"")+1)</f>
        <v>B26</v>
      </c>
      <c r="BH467" t="str">
        <f t="shared" ref="BH467:BH475" si="536">CONCATENATE("C",REPLACE(BF467,1,1,"")+1)</f>
        <v>C27</v>
      </c>
      <c r="BI467" t="str">
        <f t="shared" ref="BI467:BI475" si="537">CONCATENATE("B",REPLACE(BG467,1,1,"")+1)</f>
        <v>B27</v>
      </c>
      <c r="BJ467" t="str">
        <f t="shared" ref="BJ467:BJ475" si="538">CONCATENATE("C",REPLACE(BH467,1,1,"")+1)</f>
        <v>C28</v>
      </c>
      <c r="BK467" t="str">
        <f t="shared" ref="BK467:BK475" si="539">CONCATENATE("B",REPLACE(BI467,1,1,"")+1)</f>
        <v>B28</v>
      </c>
      <c r="BL467" t="str">
        <f t="shared" ref="BL467:BL475" si="540">CONCATENATE("C",REPLACE(BJ467,1,1,"")+1)</f>
        <v>C29</v>
      </c>
      <c r="BM467" t="str">
        <f t="shared" ref="BM467:BM475" si="541">CONCATENATE("B",REPLACE(BK467,1,1,"")+1)</f>
        <v>B29</v>
      </c>
      <c r="BN467" t="str">
        <f t="shared" ref="BN467:BN475" si="542">CONCATENATE("C",REPLACE(BL467,1,1,"")+1)</f>
        <v>C30</v>
      </c>
      <c r="BO467" t="str">
        <f t="shared" ref="BO467:BO475" si="543">CONCATENATE("B",REPLACE(BM467,1,1,"")+1)</f>
        <v>B30</v>
      </c>
      <c r="BP467" t="str">
        <f t="shared" si="455"/>
        <v>5A</v>
      </c>
      <c r="BQ467" t="str">
        <f t="shared" si="456"/>
        <v>5B</v>
      </c>
      <c r="BR467" t="str">
        <f t="shared" si="457"/>
        <v>6A</v>
      </c>
      <c r="BS467" t="str">
        <f t="shared" si="458"/>
        <v>6B</v>
      </c>
      <c r="BT467" t="str">
        <f t="shared" ref="BT467:BT475" si="544">CONCATENATE("DI",REPLACE($AC467,1,3,""),"-",AF467)</f>
        <v>DI4-C25</v>
      </c>
      <c r="BU467" t="str">
        <f t="shared" ref="BU467:BU475" si="545">CONCATENATE("DI",REPLACE($AC467,1,3,""),"-",AG467)</f>
        <v>DI4-B25</v>
      </c>
      <c r="BV467" t="str">
        <f t="shared" ref="BV467:BV475" si="546">CONCATENATE("DI",REPLACE($AC467,1,3,""),"-",BF467)</f>
        <v>DI4-C26</v>
      </c>
      <c r="BW467" t="str">
        <f t="shared" ref="BW467:BW475" si="547">CONCATENATE("DI",REPLACE($AC467,1,3,""),"-",BG467)</f>
        <v>DI4-B26</v>
      </c>
      <c r="BX467" t="str">
        <f t="shared" ref="BX467:BX475" si="548">CONCATENATE("DI",REPLACE($AC467,1,3,""),"-",BH467)</f>
        <v>DI4-C27</v>
      </c>
      <c r="BY467" t="str">
        <f t="shared" ref="BY467:BY475" si="549">CONCATENATE("DI",REPLACE($AC467,1,3,""),"-",BI467)</f>
        <v>DI4-B27</v>
      </c>
      <c r="BZ467" t="str">
        <f t="shared" ref="BZ467:BZ475" si="550">CONCATENATE("DI",REPLACE($AC467,1,3,""),"-",BJ467)</f>
        <v>DI4-C28</v>
      </c>
      <c r="CA467" t="str">
        <f t="shared" ref="CA467:CA475" si="551">CONCATENATE("DI",REPLACE($AC467,1,3,""),"-",BK467)</f>
        <v>DI4-B28</v>
      </c>
      <c r="CB467" t="str">
        <f t="shared" ref="CB467:CB475" si="552">CONCATENATE("DI",REPLACE($AC467,1,3,""),"-",BL467)</f>
        <v>DI4-C29</v>
      </c>
      <c r="CC467" t="str">
        <f t="shared" ref="CC467:CC475" si="553">CONCATENATE("DI",REPLACE($AC467,1,3,""),"-",BM467)</f>
        <v>DI4-B29</v>
      </c>
      <c r="CD467" t="str">
        <f t="shared" ref="CD467:CD475" si="554">CONCATENATE("DI",REPLACE($AC467,1,3,""),"-",BN467)</f>
        <v>DI4-C30</v>
      </c>
      <c r="CE467" t="str">
        <f t="shared" ref="CE467:CE475" si="555">CONCATENATE("DI",REPLACE($AC467,1,3,""),"-",BO467)</f>
        <v>DI4-B30</v>
      </c>
      <c r="CF467" t="str">
        <f t="shared" ref="CF467:CF475" si="556">CONCATENATE("DO",REPLACE($AH467,1,3,""),"-",AK467)</f>
        <v>DO3-4A</v>
      </c>
      <c r="CG467" t="str">
        <f t="shared" ref="CG467:CG475" si="557">CONCATENATE("DO",REPLACE($AH467,1,3,""),"-",AL467)</f>
        <v>DO3-4B</v>
      </c>
      <c r="CH467" t="str">
        <f t="shared" ref="CH467:CH475" si="558">CONCATENATE("DO",REPLACE($AH467,1,3,""),"-",BP467)</f>
        <v>DO3-5A</v>
      </c>
      <c r="CI467" t="str">
        <f t="shared" ref="CI467:CI475" si="559">CONCATENATE("DO",REPLACE($AH467,1,3,""),"-",BQ467)</f>
        <v>DO3-5B</v>
      </c>
      <c r="CJ467" t="str">
        <f t="shared" ref="CJ467:CJ475" si="560">CONCATENATE("DO",REPLACE($AH467,1,3,""),"-",BR467)</f>
        <v>DO3-6A</v>
      </c>
      <c r="CK467" t="str">
        <f t="shared" ref="CK467:CK475" si="561">CONCATENATE("DO",REPLACE($AH467,1,3,""),"-",BS467)</f>
        <v>DO3-6B</v>
      </c>
      <c r="CL467" t="str">
        <f t="shared" si="477"/>
        <v>K25-10</v>
      </c>
      <c r="CM467" t="str">
        <f t="shared" si="478"/>
        <v>K25-03</v>
      </c>
      <c r="CN467" t="str">
        <f t="shared" si="479"/>
        <v>K25-04</v>
      </c>
      <c r="CO467" t="str">
        <f t="shared" si="480"/>
        <v>K25-01</v>
      </c>
      <c r="CP467" t="str">
        <f t="shared" si="481"/>
        <v>K25-08</v>
      </c>
      <c r="CQ467" t="str">
        <f t="shared" si="482"/>
        <v>K25-02</v>
      </c>
      <c r="CR467" t="str">
        <f t="shared" si="483"/>
        <v>K25-09</v>
      </c>
      <c r="CS467" t="str">
        <f t="shared" si="484"/>
        <v>K25-05</v>
      </c>
      <c r="CT467" t="str">
        <f t="shared" si="485"/>
        <v>K25-11</v>
      </c>
      <c r="CU467" t="str">
        <f t="shared" si="486"/>
        <v>N1-M25-A9</v>
      </c>
      <c r="CV467" t="str">
        <f t="shared" si="487"/>
        <v>N1-M25-A7</v>
      </c>
      <c r="CW467" t="str">
        <f t="shared" si="488"/>
        <v>N1-M25-A8</v>
      </c>
      <c r="CX467" t="str">
        <f t="shared" si="489"/>
        <v>N1-M25-A6</v>
      </c>
      <c r="CY467" t="str">
        <f t="shared" si="490"/>
        <v>N1-M25-A30</v>
      </c>
      <c r="CZ467" t="str">
        <f t="shared" si="491"/>
        <v>N1-M25-N</v>
      </c>
      <c r="DA467" t="str">
        <f t="shared" ref="DA467:DA475" si="562">CONCATENATE($T467,"-A220-M",U467)</f>
        <v>N1-A220-M25</v>
      </c>
      <c r="DB467" t="str">
        <f t="shared" si="493"/>
        <v>N1-M25-XM01</v>
      </c>
      <c r="DC467" t="str">
        <f t="shared" si="494"/>
        <v>N1-M25-A1</v>
      </c>
      <c r="DD467" t="str">
        <f t="shared" si="495"/>
        <v>N1-M25-A5</v>
      </c>
      <c r="DE467" t="str">
        <f t="shared" si="496"/>
        <v>N1-M25-A11</v>
      </c>
      <c r="DF467" t="str">
        <f t="shared" si="497"/>
        <v>N1-M25-A12</v>
      </c>
      <c r="DG467" t="str">
        <f t="shared" si="498"/>
        <v>N1-M25-A19</v>
      </c>
      <c r="DH467" t="str">
        <f t="shared" si="499"/>
        <v>N1-M25-A20</v>
      </c>
      <c r="DI467" t="s">
        <v>142</v>
      </c>
      <c r="DJ467" t="s">
        <v>143</v>
      </c>
      <c r="DK467">
        <v>11</v>
      </c>
      <c r="DL467">
        <v>14</v>
      </c>
      <c r="DM467">
        <v>12</v>
      </c>
      <c r="DN467" t="s">
        <v>144</v>
      </c>
      <c r="DO467" t="s">
        <v>145</v>
      </c>
      <c r="DP467">
        <v>1</v>
      </c>
      <c r="DQ467">
        <v>2</v>
      </c>
      <c r="DR467">
        <v>3</v>
      </c>
      <c r="DS467">
        <v>4</v>
      </c>
      <c r="DT467">
        <v>5</v>
      </c>
      <c r="DU467">
        <v>6</v>
      </c>
      <c r="DV467">
        <v>7</v>
      </c>
      <c r="DW467">
        <v>8</v>
      </c>
      <c r="DX467">
        <v>9</v>
      </c>
      <c r="DY467">
        <v>10</v>
      </c>
      <c r="DZ467">
        <v>11</v>
      </c>
      <c r="EA467">
        <v>12</v>
      </c>
      <c r="EB467">
        <v>13</v>
      </c>
      <c r="EC467">
        <v>14</v>
      </c>
      <c r="ED467">
        <v>1</v>
      </c>
      <c r="EE467">
        <v>3</v>
      </c>
      <c r="EF467">
        <v>4</v>
      </c>
      <c r="EG467">
        <v>7</v>
      </c>
      <c r="EH467">
        <v>8</v>
      </c>
      <c r="EI467">
        <v>9</v>
      </c>
      <c r="EJ467">
        <v>10</v>
      </c>
      <c r="EK467">
        <v>13</v>
      </c>
      <c r="EL467">
        <v>14</v>
      </c>
      <c r="EM467">
        <v>15</v>
      </c>
      <c r="EN467">
        <v>16</v>
      </c>
      <c r="EO467">
        <v>22</v>
      </c>
      <c r="EP467">
        <v>23</v>
      </c>
      <c r="EQ467" s="16">
        <v>24</v>
      </c>
      <c r="MA467" t="str">
        <f t="shared" si="410"/>
        <v>DI4-B25</v>
      </c>
    </row>
    <row r="468" spans="1:339" x14ac:dyDescent="0.25">
      <c r="A468" s="83" t="s">
        <v>2575</v>
      </c>
      <c r="B468" s="83" t="s">
        <v>2574</v>
      </c>
      <c r="C468" s="3"/>
      <c r="O468" s="2"/>
      <c r="P468" t="s">
        <v>129</v>
      </c>
      <c r="Q468" s="1"/>
      <c r="S468" s="1" t="s">
        <v>130</v>
      </c>
      <c r="T468" s="14" t="s">
        <v>2182</v>
      </c>
      <c r="U468" s="59">
        <v>26</v>
      </c>
      <c r="V468" s="15" t="s">
        <v>2566</v>
      </c>
      <c r="W468" s="15"/>
      <c r="AC468" t="str">
        <f t="shared" si="500"/>
        <v>A5.5</v>
      </c>
      <c r="AD468" s="43" t="str">
        <f t="array" ref="AD468">IF(COUNTIFS(AC$377:AC468,AC468)=1,"1",VALUE(SUBSTITUTE(INDEX(AD:AD,_xlfn.XMATCH(AC468,AC$1:AC467,0,-1)),"A",""))+INDEX(AE:AE,_xlfn.XMATCH(AC468,AC$1:AC467,0,-1))+1)</f>
        <v>1</v>
      </c>
      <c r="AE468" s="43">
        <f t="array" ref="AE468">SUM(IF(ISNUMBER(FIND("TmDi",$BE$1:$AAQ$1)),IF(IFERROR(ISNUMBER(VALUE(SUBSTITUTE($BE468:$AAQ468,"B",""))),FALSE),IF(ISNUMBER(VALUE(SUBSTITUTE($BE468:$AAQ468,"B",""))),1,0),0)))</f>
        <v>5</v>
      </c>
      <c r="AF468" t="str">
        <f t="shared" si="440"/>
        <v>C1</v>
      </c>
      <c r="AG468" t="str">
        <f t="shared" si="441"/>
        <v>B1</v>
      </c>
      <c r="AH468" t="str">
        <f t="shared" si="502"/>
        <v>A6.3</v>
      </c>
      <c r="AI468" s="69">
        <f t="array" ref="AI468">IF(COUNTIFS(AH$377:AH468,AH468)=1,"1",VALUE(SUBSTITUTE(INDEX(AI:AI,_xlfn.XMATCH(AH468,AH$1:AH467,0,-1)),"A",""))+INDEX(AJ:AJ,_xlfn.XMATCH(AH468,AH$1:AH467,0,-1))+1)</f>
        <v>7</v>
      </c>
      <c r="AJ468" s="62">
        <f t="array" ref="AJ468">SUM(IF(ISNUMBER(FIND("TmDo",$BE$1:$AAQ$1)),IF(IFERROR(ISNUMBER(VALUE(SUBSTITUTE($BE468:$AAQ468,"B",""))),FALSE),IF(ISNUMBER(VALUE(SUBSTITUTE($BE468:$AAQ468,"B",""))),1,0),0)))</f>
        <v>2</v>
      </c>
      <c r="AK468" t="str">
        <f t="shared" si="442"/>
        <v>7A</v>
      </c>
      <c r="AL468" t="str">
        <f t="shared" si="443"/>
        <v>7B</v>
      </c>
      <c r="AM468" t="s">
        <v>208</v>
      </c>
      <c r="AP468" t="s">
        <v>2184</v>
      </c>
      <c r="AQ468" t="s">
        <v>2508</v>
      </c>
      <c r="AT468" t="s">
        <v>139</v>
      </c>
      <c r="AU468" t="s">
        <v>140</v>
      </c>
      <c r="BD468" s="16"/>
      <c r="BE468" s="27" t="str">
        <f t="shared" si="533"/>
        <v>XT26</v>
      </c>
      <c r="BF468" t="str">
        <f t="shared" si="534"/>
        <v>C2</v>
      </c>
      <c r="BG468" t="str">
        <f t="shared" si="535"/>
        <v>B2</v>
      </c>
      <c r="BH468" t="str">
        <f t="shared" si="536"/>
        <v>C3</v>
      </c>
      <c r="BI468" t="str">
        <f t="shared" si="537"/>
        <v>B3</v>
      </c>
      <c r="BJ468" t="str">
        <f t="shared" si="538"/>
        <v>C4</v>
      </c>
      <c r="BK468" t="str">
        <f t="shared" si="539"/>
        <v>B4</v>
      </c>
      <c r="BL468" t="str">
        <f t="shared" si="540"/>
        <v>C5</v>
      </c>
      <c r="BM468" t="str">
        <f t="shared" si="541"/>
        <v>B5</v>
      </c>
      <c r="BN468" t="str">
        <f t="shared" si="542"/>
        <v>C6</v>
      </c>
      <c r="BO468" t="str">
        <f t="shared" si="543"/>
        <v>B6</v>
      </c>
      <c r="BP468" t="str">
        <f t="shared" si="455"/>
        <v>8A</v>
      </c>
      <c r="BQ468" t="str">
        <f t="shared" si="456"/>
        <v>8B</v>
      </c>
      <c r="BR468" t="str">
        <f t="shared" si="457"/>
        <v>9A</v>
      </c>
      <c r="BS468" t="str">
        <f t="shared" si="458"/>
        <v>9B</v>
      </c>
      <c r="BT468" t="str">
        <f t="shared" si="544"/>
        <v>DI5-C1</v>
      </c>
      <c r="BU468" t="str">
        <f t="shared" si="545"/>
        <v>DI5-B1</v>
      </c>
      <c r="BV468" t="str">
        <f t="shared" si="546"/>
        <v>DI5-C2</v>
      </c>
      <c r="BW468" t="str">
        <f t="shared" si="547"/>
        <v>DI5-B2</v>
      </c>
      <c r="BX468" t="str">
        <f t="shared" si="548"/>
        <v>DI5-C3</v>
      </c>
      <c r="BY468" t="str">
        <f t="shared" si="549"/>
        <v>DI5-B3</v>
      </c>
      <c r="BZ468" t="str">
        <f t="shared" si="550"/>
        <v>DI5-C4</v>
      </c>
      <c r="CA468" t="str">
        <f t="shared" si="551"/>
        <v>DI5-B4</v>
      </c>
      <c r="CB468" t="str">
        <f t="shared" si="552"/>
        <v>DI5-C5</v>
      </c>
      <c r="CC468" t="str">
        <f t="shared" si="553"/>
        <v>DI5-B5</v>
      </c>
      <c r="CD468" t="str">
        <f t="shared" si="554"/>
        <v>DI5-C6</v>
      </c>
      <c r="CE468" t="str">
        <f t="shared" si="555"/>
        <v>DI5-B6</v>
      </c>
      <c r="CF468" t="str">
        <f t="shared" si="556"/>
        <v>DO3-7A</v>
      </c>
      <c r="CG468" t="str">
        <f t="shared" si="557"/>
        <v>DO3-7B</v>
      </c>
      <c r="CH468" t="str">
        <f t="shared" si="558"/>
        <v>DO3-8A</v>
      </c>
      <c r="CI468" t="str">
        <f t="shared" si="559"/>
        <v>DO3-8B</v>
      </c>
      <c r="CJ468" t="str">
        <f t="shared" si="560"/>
        <v>DO3-9A</v>
      </c>
      <c r="CK468" t="str">
        <f t="shared" si="561"/>
        <v>DO3-9B</v>
      </c>
      <c r="CL468" t="str">
        <f t="shared" si="477"/>
        <v>K26-10</v>
      </c>
      <c r="CM468" t="str">
        <f t="shared" si="478"/>
        <v>K26-03</v>
      </c>
      <c r="CN468" t="str">
        <f t="shared" si="479"/>
        <v>K26-04</v>
      </c>
      <c r="CO468" t="str">
        <f t="shared" si="480"/>
        <v>K26-01</v>
      </c>
      <c r="CP468" t="str">
        <f t="shared" si="481"/>
        <v>K26-08</v>
      </c>
      <c r="CQ468" t="str">
        <f t="shared" si="482"/>
        <v>K26-02</v>
      </c>
      <c r="CR468" t="str">
        <f t="shared" si="483"/>
        <v>K26-09</v>
      </c>
      <c r="CS468" t="str">
        <f t="shared" si="484"/>
        <v>K26-05</v>
      </c>
      <c r="CT468" t="str">
        <f t="shared" si="485"/>
        <v>K26-11</v>
      </c>
      <c r="CU468" t="str">
        <f t="shared" si="486"/>
        <v>N1-M26-A9</v>
      </c>
      <c r="CV468" t="str">
        <f t="shared" si="487"/>
        <v>N1-M26-A7</v>
      </c>
      <c r="CW468" t="str">
        <f t="shared" si="488"/>
        <v>N1-M26-A8</v>
      </c>
      <c r="CX468" t="str">
        <f t="shared" si="489"/>
        <v>N1-M26-A6</v>
      </c>
      <c r="CY468" t="str">
        <f t="shared" si="490"/>
        <v>N1-M26-A30</v>
      </c>
      <c r="CZ468" t="str">
        <f t="shared" si="491"/>
        <v>N1-M26-N</v>
      </c>
      <c r="DA468" t="str">
        <f t="shared" si="562"/>
        <v>N1-A220-M26</v>
      </c>
      <c r="DB468" t="str">
        <f t="shared" si="493"/>
        <v>N1-M26-XM01</v>
      </c>
      <c r="DC468" t="str">
        <f t="shared" si="494"/>
        <v>N1-M26-A1</v>
      </c>
      <c r="DD468" t="str">
        <f t="shared" si="495"/>
        <v>N1-M26-A5</v>
      </c>
      <c r="DE468" t="str">
        <f t="shared" si="496"/>
        <v>N1-M26-A11</v>
      </c>
      <c r="DF468" t="str">
        <f t="shared" si="497"/>
        <v>N1-M26-A12</v>
      </c>
      <c r="DG468" t="str">
        <f t="shared" si="498"/>
        <v>N1-M26-A19</v>
      </c>
      <c r="DH468" t="str">
        <f t="shared" si="499"/>
        <v>N1-M26-A20</v>
      </c>
      <c r="DI468" t="s">
        <v>142</v>
      </c>
      <c r="DJ468" t="s">
        <v>143</v>
      </c>
      <c r="DK468">
        <v>11</v>
      </c>
      <c r="DL468">
        <v>14</v>
      </c>
      <c r="DM468">
        <v>12</v>
      </c>
      <c r="DN468" t="s">
        <v>144</v>
      </c>
      <c r="DO468" t="s">
        <v>145</v>
      </c>
      <c r="DP468">
        <v>1</v>
      </c>
      <c r="DQ468">
        <v>2</v>
      </c>
      <c r="DR468">
        <v>3</v>
      </c>
      <c r="DS468">
        <v>4</v>
      </c>
      <c r="DT468">
        <v>5</v>
      </c>
      <c r="DU468">
        <v>6</v>
      </c>
      <c r="DV468">
        <v>7</v>
      </c>
      <c r="DW468">
        <v>8</v>
      </c>
      <c r="DX468">
        <v>9</v>
      </c>
      <c r="DY468">
        <v>10</v>
      </c>
      <c r="DZ468">
        <v>11</v>
      </c>
      <c r="EA468">
        <v>12</v>
      </c>
      <c r="EB468">
        <v>13</v>
      </c>
      <c r="EC468">
        <v>14</v>
      </c>
      <c r="ED468">
        <v>1</v>
      </c>
      <c r="EE468">
        <v>3</v>
      </c>
      <c r="EF468">
        <v>4</v>
      </c>
      <c r="EG468">
        <v>7</v>
      </c>
      <c r="EH468">
        <v>8</v>
      </c>
      <c r="EI468">
        <v>9</v>
      </c>
      <c r="EJ468">
        <v>10</v>
      </c>
      <c r="EK468">
        <v>13</v>
      </c>
      <c r="EL468">
        <v>14</v>
      </c>
      <c r="EM468">
        <v>15</v>
      </c>
      <c r="EN468">
        <v>16</v>
      </c>
      <c r="EO468">
        <v>22</v>
      </c>
      <c r="EP468">
        <v>23</v>
      </c>
      <c r="EQ468" s="16">
        <v>24</v>
      </c>
      <c r="MA468" t="str">
        <f t="shared" si="410"/>
        <v>DI5-B1</v>
      </c>
    </row>
    <row r="469" spans="1:339" x14ac:dyDescent="0.25">
      <c r="A469" s="83" t="s">
        <v>2577</v>
      </c>
      <c r="B469" s="83" t="s">
        <v>2576</v>
      </c>
      <c r="C469" s="3"/>
      <c r="O469" s="2"/>
      <c r="P469" t="s">
        <v>129</v>
      </c>
      <c r="Q469" s="1"/>
      <c r="S469" s="1" t="s">
        <v>130</v>
      </c>
      <c r="T469" s="14" t="s">
        <v>2182</v>
      </c>
      <c r="U469" s="59">
        <v>27</v>
      </c>
      <c r="V469" s="15" t="s">
        <v>2567</v>
      </c>
      <c r="W469" s="15"/>
      <c r="AC469" t="str">
        <f t="shared" si="500"/>
        <v>A5.5</v>
      </c>
      <c r="AD469" s="43">
        <f t="array" ref="AD469">IF(COUNTIFS(AC$377:AC469,AC469)=1,"1",VALUE(SUBSTITUTE(INDEX(AD:AD,_xlfn.XMATCH(AC469,AC$1:AC468,0,-1)),"A",""))+INDEX(AE:AE,_xlfn.XMATCH(AC469,AC$1:AC468,0,-1))+1)</f>
        <v>7</v>
      </c>
      <c r="AE469" s="43">
        <f t="array" ref="AE469">SUM(IF(ISNUMBER(FIND("TmDi",$BE$1:$AAQ$1)),IF(IFERROR(ISNUMBER(VALUE(SUBSTITUTE($BE469:$AAQ469,"B",""))),FALSE),IF(ISNUMBER(VALUE(SUBSTITUTE($BE469:$AAQ469,"B",""))),1,0),0)))</f>
        <v>5</v>
      </c>
      <c r="AF469" t="str">
        <f t="shared" si="440"/>
        <v>C7</v>
      </c>
      <c r="AG469" t="str">
        <f t="shared" si="441"/>
        <v>B7</v>
      </c>
      <c r="AH469" t="str">
        <f t="shared" si="502"/>
        <v>A6.3</v>
      </c>
      <c r="AI469" s="69">
        <f t="array" ref="AI469">IF(COUNTIFS(AH$377:AH469,AH469)=1,"1",VALUE(SUBSTITUTE(INDEX(AI:AI,_xlfn.XMATCH(AH469,AH$1:AH468,0,-1)),"A",""))+INDEX(AJ:AJ,_xlfn.XMATCH(AH469,AH$1:AH468,0,-1))+1)</f>
        <v>10</v>
      </c>
      <c r="AJ469" s="62">
        <f t="array" ref="AJ469">SUM(IF(ISNUMBER(FIND("TmDo",$BE$1:$AAQ$1)),IF(IFERROR(ISNUMBER(VALUE(SUBSTITUTE($BE469:$AAQ469,"B",""))),FALSE),IF(ISNUMBER(VALUE(SUBSTITUTE($BE469:$AAQ469,"B",""))),1,0),0)))</f>
        <v>2</v>
      </c>
      <c r="AK469" t="str">
        <f t="shared" si="442"/>
        <v>10A</v>
      </c>
      <c r="AL469" t="str">
        <f t="shared" si="443"/>
        <v>10B</v>
      </c>
      <c r="AM469" t="s">
        <v>211</v>
      </c>
      <c r="AP469" t="s">
        <v>2184</v>
      </c>
      <c r="AQ469" t="s">
        <v>2508</v>
      </c>
      <c r="AT469" t="s">
        <v>139</v>
      </c>
      <c r="AU469" t="s">
        <v>140</v>
      </c>
      <c r="BD469" s="16"/>
      <c r="BE469" s="27" t="str">
        <f t="shared" si="533"/>
        <v>XT27</v>
      </c>
      <c r="BF469" t="str">
        <f t="shared" si="534"/>
        <v>C8</v>
      </c>
      <c r="BG469" t="str">
        <f t="shared" si="535"/>
        <v>B8</v>
      </c>
      <c r="BH469" t="str">
        <f t="shared" si="536"/>
        <v>C9</v>
      </c>
      <c r="BI469" t="str">
        <f t="shared" si="537"/>
        <v>B9</v>
      </c>
      <c r="BJ469" t="str">
        <f t="shared" si="538"/>
        <v>C10</v>
      </c>
      <c r="BK469" t="str">
        <f t="shared" si="539"/>
        <v>B10</v>
      </c>
      <c r="BL469" t="str">
        <f t="shared" si="540"/>
        <v>C11</v>
      </c>
      <c r="BM469" t="str">
        <f t="shared" si="541"/>
        <v>B11</v>
      </c>
      <c r="BN469" t="str">
        <f t="shared" si="542"/>
        <v>C12</v>
      </c>
      <c r="BO469" t="str">
        <f t="shared" si="543"/>
        <v>B12</v>
      </c>
      <c r="BP469" t="str">
        <f t="shared" si="455"/>
        <v>11A</v>
      </c>
      <c r="BQ469" t="str">
        <f t="shared" si="456"/>
        <v>11B</v>
      </c>
      <c r="BR469" t="str">
        <f t="shared" si="457"/>
        <v>12A</v>
      </c>
      <c r="BS469" t="str">
        <f t="shared" si="458"/>
        <v>12B</v>
      </c>
      <c r="BT469" t="str">
        <f t="shared" si="544"/>
        <v>DI5-C7</v>
      </c>
      <c r="BU469" t="str">
        <f t="shared" si="545"/>
        <v>DI5-B7</v>
      </c>
      <c r="BV469" t="str">
        <f t="shared" si="546"/>
        <v>DI5-C8</v>
      </c>
      <c r="BW469" t="str">
        <f t="shared" si="547"/>
        <v>DI5-B8</v>
      </c>
      <c r="BX469" t="str">
        <f t="shared" si="548"/>
        <v>DI5-C9</v>
      </c>
      <c r="BY469" t="str">
        <f t="shared" si="549"/>
        <v>DI5-B9</v>
      </c>
      <c r="BZ469" t="str">
        <f t="shared" si="550"/>
        <v>DI5-C10</v>
      </c>
      <c r="CA469" t="str">
        <f t="shared" si="551"/>
        <v>DI5-B10</v>
      </c>
      <c r="CB469" t="str">
        <f t="shared" si="552"/>
        <v>DI5-C11</v>
      </c>
      <c r="CC469" t="str">
        <f t="shared" si="553"/>
        <v>DI5-B11</v>
      </c>
      <c r="CD469" t="str">
        <f t="shared" si="554"/>
        <v>DI5-C12</v>
      </c>
      <c r="CE469" t="str">
        <f t="shared" si="555"/>
        <v>DI5-B12</v>
      </c>
      <c r="CF469" t="str">
        <f t="shared" si="556"/>
        <v>DO3-10A</v>
      </c>
      <c r="CG469" t="str">
        <f t="shared" si="557"/>
        <v>DO3-10B</v>
      </c>
      <c r="CH469" t="str">
        <f t="shared" si="558"/>
        <v>DO3-11A</v>
      </c>
      <c r="CI469" t="str">
        <f t="shared" si="559"/>
        <v>DO3-11B</v>
      </c>
      <c r="CJ469" t="str">
        <f t="shared" si="560"/>
        <v>DO3-12A</v>
      </c>
      <c r="CK469" t="str">
        <f t="shared" si="561"/>
        <v>DO3-12B</v>
      </c>
      <c r="CL469" t="str">
        <f t="shared" si="477"/>
        <v>K27-10</v>
      </c>
      <c r="CM469" t="str">
        <f t="shared" si="478"/>
        <v>K27-03</v>
      </c>
      <c r="CN469" t="str">
        <f t="shared" si="479"/>
        <v>K27-04</v>
      </c>
      <c r="CO469" t="str">
        <f t="shared" si="480"/>
        <v>K27-01</v>
      </c>
      <c r="CP469" t="str">
        <f t="shared" si="481"/>
        <v>K27-08</v>
      </c>
      <c r="CQ469" t="str">
        <f t="shared" si="482"/>
        <v>K27-02</v>
      </c>
      <c r="CR469" t="str">
        <f t="shared" si="483"/>
        <v>K27-09</v>
      </c>
      <c r="CS469" t="str">
        <f t="shared" si="484"/>
        <v>K27-05</v>
      </c>
      <c r="CT469" t="str">
        <f t="shared" si="485"/>
        <v>K27-11</v>
      </c>
      <c r="CU469" t="str">
        <f t="shared" si="486"/>
        <v>N1-M27-A9</v>
      </c>
      <c r="CV469" t="str">
        <f t="shared" si="487"/>
        <v>N1-M27-A7</v>
      </c>
      <c r="CW469" t="str">
        <f t="shared" si="488"/>
        <v>N1-M27-A8</v>
      </c>
      <c r="CX469" t="str">
        <f t="shared" si="489"/>
        <v>N1-M27-A6</v>
      </c>
      <c r="CY469" t="str">
        <f t="shared" si="490"/>
        <v>N1-M27-A30</v>
      </c>
      <c r="CZ469" t="str">
        <f t="shared" si="491"/>
        <v>N1-M27-N</v>
      </c>
      <c r="DA469" t="str">
        <f t="shared" si="562"/>
        <v>N1-A220-M27</v>
      </c>
      <c r="DB469" t="str">
        <f t="shared" si="493"/>
        <v>N1-M27-XM01</v>
      </c>
      <c r="DC469" t="str">
        <f t="shared" si="494"/>
        <v>N1-M27-A1</v>
      </c>
      <c r="DD469" t="str">
        <f t="shared" si="495"/>
        <v>N1-M27-A5</v>
      </c>
      <c r="DE469" t="str">
        <f t="shared" si="496"/>
        <v>N1-M27-A11</v>
      </c>
      <c r="DF469" t="str">
        <f t="shared" si="497"/>
        <v>N1-M27-A12</v>
      </c>
      <c r="DG469" t="str">
        <f t="shared" si="498"/>
        <v>N1-M27-A19</v>
      </c>
      <c r="DH469" t="str">
        <f t="shared" si="499"/>
        <v>N1-M27-A20</v>
      </c>
      <c r="DI469" t="s">
        <v>142</v>
      </c>
      <c r="DJ469" t="s">
        <v>143</v>
      </c>
      <c r="DK469">
        <v>11</v>
      </c>
      <c r="DL469">
        <v>14</v>
      </c>
      <c r="DM469">
        <v>12</v>
      </c>
      <c r="DN469" t="s">
        <v>144</v>
      </c>
      <c r="DO469" t="s">
        <v>145</v>
      </c>
      <c r="DP469">
        <v>1</v>
      </c>
      <c r="DQ469">
        <v>2</v>
      </c>
      <c r="DR469">
        <v>3</v>
      </c>
      <c r="DS469">
        <v>4</v>
      </c>
      <c r="DT469">
        <v>5</v>
      </c>
      <c r="DU469">
        <v>6</v>
      </c>
      <c r="DV469">
        <v>7</v>
      </c>
      <c r="DW469">
        <v>8</v>
      </c>
      <c r="DX469">
        <v>9</v>
      </c>
      <c r="DY469">
        <v>10</v>
      </c>
      <c r="DZ469">
        <v>11</v>
      </c>
      <c r="EA469">
        <v>12</v>
      </c>
      <c r="EB469">
        <v>13</v>
      </c>
      <c r="EC469">
        <v>14</v>
      </c>
      <c r="ED469">
        <v>1</v>
      </c>
      <c r="EE469">
        <v>3</v>
      </c>
      <c r="EF469">
        <v>4</v>
      </c>
      <c r="EG469">
        <v>7</v>
      </c>
      <c r="EH469">
        <v>8</v>
      </c>
      <c r="EI469">
        <v>9</v>
      </c>
      <c r="EJ469">
        <v>10</v>
      </c>
      <c r="EK469">
        <v>13</v>
      </c>
      <c r="EL469">
        <v>14</v>
      </c>
      <c r="EM469">
        <v>15</v>
      </c>
      <c r="EN469">
        <v>16</v>
      </c>
      <c r="EO469">
        <v>22</v>
      </c>
      <c r="EP469">
        <v>23</v>
      </c>
      <c r="EQ469" s="16">
        <v>24</v>
      </c>
      <c r="MA469" t="str">
        <f t="shared" si="410"/>
        <v>DI5-B7</v>
      </c>
    </row>
    <row r="470" spans="1:339" x14ac:dyDescent="0.25">
      <c r="A470" s="83" t="s">
        <v>2579</v>
      </c>
      <c r="B470" s="83" t="s">
        <v>2578</v>
      </c>
      <c r="C470" s="3"/>
      <c r="O470" s="2"/>
      <c r="P470" t="s">
        <v>129</v>
      </c>
      <c r="Q470" s="1"/>
      <c r="S470" s="1" t="s">
        <v>130</v>
      </c>
      <c r="T470" s="14" t="s">
        <v>2182</v>
      </c>
      <c r="U470" s="59">
        <v>28</v>
      </c>
      <c r="V470" s="15" t="s">
        <v>2568</v>
      </c>
      <c r="W470" s="15"/>
      <c r="AC470" t="str">
        <f t="shared" si="500"/>
        <v>A5.5</v>
      </c>
      <c r="AD470" s="43">
        <f t="array" ref="AD470">IF(COUNTIFS(AC$377:AC470,AC470)=1,"1",VALUE(SUBSTITUTE(INDEX(AD:AD,_xlfn.XMATCH(AC470,AC$1:AC469,0,-1)),"A",""))+INDEX(AE:AE,_xlfn.XMATCH(AC470,AC$1:AC469,0,-1))+1)</f>
        <v>13</v>
      </c>
      <c r="AE470" s="43">
        <f t="array" ref="AE470">SUM(IF(ISNUMBER(FIND("TmDi",$BE$1:$AAQ$1)),IF(IFERROR(ISNUMBER(VALUE(SUBSTITUTE($BE470:$AAQ470,"B",""))),FALSE),IF(ISNUMBER(VALUE(SUBSTITUTE($BE470:$AAQ470,"B",""))),1,0),0)))</f>
        <v>5</v>
      </c>
      <c r="AF470" t="str">
        <f t="shared" si="440"/>
        <v>C13</v>
      </c>
      <c r="AG470" t="str">
        <f t="shared" si="441"/>
        <v>B13</v>
      </c>
      <c r="AH470" t="str">
        <f t="shared" si="502"/>
        <v>A6.3</v>
      </c>
      <c r="AI470" s="69">
        <f t="array" ref="AI470">IF(COUNTIFS(AH$377:AH470,AH470)=1,"1",VALUE(SUBSTITUTE(INDEX(AI:AI,_xlfn.XMATCH(AH470,AH$1:AH469,0,-1)),"A",""))+INDEX(AJ:AJ,_xlfn.XMATCH(AH470,AH$1:AH469,0,-1))+1)</f>
        <v>13</v>
      </c>
      <c r="AJ470" s="62">
        <f t="array" ref="AJ470">SUM(IF(ISNUMBER(FIND("TmDo",$BE$1:$AAQ$1)),IF(IFERROR(ISNUMBER(VALUE(SUBSTITUTE($BE470:$AAQ470,"B",""))),FALSE),IF(ISNUMBER(VALUE(SUBSTITUTE($BE470:$AAQ470,"B",""))),1,0),0)))</f>
        <v>2</v>
      </c>
      <c r="AK470" t="str">
        <f t="shared" si="442"/>
        <v>13A</v>
      </c>
      <c r="AL470" t="str">
        <f t="shared" si="443"/>
        <v>13B</v>
      </c>
      <c r="AM470" t="s">
        <v>214</v>
      </c>
      <c r="AP470" t="s">
        <v>2184</v>
      </c>
      <c r="AQ470" t="s">
        <v>2508</v>
      </c>
      <c r="AT470" t="s">
        <v>139</v>
      </c>
      <c r="AU470" t="s">
        <v>140</v>
      </c>
      <c r="BD470" s="16"/>
      <c r="BE470" s="27" t="str">
        <f t="shared" si="533"/>
        <v>XT28</v>
      </c>
      <c r="BF470" t="str">
        <f t="shared" si="534"/>
        <v>C14</v>
      </c>
      <c r="BG470" t="str">
        <f t="shared" si="535"/>
        <v>B14</v>
      </c>
      <c r="BH470" t="str">
        <f t="shared" si="536"/>
        <v>C15</v>
      </c>
      <c r="BI470" t="str">
        <f t="shared" si="537"/>
        <v>B15</v>
      </c>
      <c r="BJ470" t="str">
        <f t="shared" si="538"/>
        <v>C16</v>
      </c>
      <c r="BK470" t="str">
        <f t="shared" si="539"/>
        <v>B16</v>
      </c>
      <c r="BL470" t="str">
        <f t="shared" si="540"/>
        <v>C17</v>
      </c>
      <c r="BM470" t="str">
        <f t="shared" si="541"/>
        <v>B17</v>
      </c>
      <c r="BN470" t="str">
        <f t="shared" si="542"/>
        <v>C18</v>
      </c>
      <c r="BO470" t="str">
        <f t="shared" si="543"/>
        <v>B18</v>
      </c>
      <c r="BP470" t="str">
        <f t="shared" si="455"/>
        <v>14A</v>
      </c>
      <c r="BQ470" t="str">
        <f t="shared" si="456"/>
        <v>14B</v>
      </c>
      <c r="BR470" t="str">
        <f t="shared" si="457"/>
        <v>15A</v>
      </c>
      <c r="BS470" t="str">
        <f t="shared" si="458"/>
        <v>15B</v>
      </c>
      <c r="BT470" t="str">
        <f t="shared" si="544"/>
        <v>DI5-C13</v>
      </c>
      <c r="BU470" t="str">
        <f t="shared" si="545"/>
        <v>DI5-B13</v>
      </c>
      <c r="BV470" t="str">
        <f t="shared" si="546"/>
        <v>DI5-C14</v>
      </c>
      <c r="BW470" t="str">
        <f t="shared" si="547"/>
        <v>DI5-B14</v>
      </c>
      <c r="BX470" t="str">
        <f t="shared" si="548"/>
        <v>DI5-C15</v>
      </c>
      <c r="BY470" t="str">
        <f t="shared" si="549"/>
        <v>DI5-B15</v>
      </c>
      <c r="BZ470" t="str">
        <f t="shared" si="550"/>
        <v>DI5-C16</v>
      </c>
      <c r="CA470" t="str">
        <f t="shared" si="551"/>
        <v>DI5-B16</v>
      </c>
      <c r="CB470" t="str">
        <f t="shared" si="552"/>
        <v>DI5-C17</v>
      </c>
      <c r="CC470" t="str">
        <f t="shared" si="553"/>
        <v>DI5-B17</v>
      </c>
      <c r="CD470" t="str">
        <f t="shared" si="554"/>
        <v>DI5-C18</v>
      </c>
      <c r="CE470" t="str">
        <f t="shared" si="555"/>
        <v>DI5-B18</v>
      </c>
      <c r="CF470" t="str">
        <f t="shared" si="556"/>
        <v>DO3-13A</v>
      </c>
      <c r="CG470" t="str">
        <f t="shared" si="557"/>
        <v>DO3-13B</v>
      </c>
      <c r="CH470" t="str">
        <f t="shared" si="558"/>
        <v>DO3-14A</v>
      </c>
      <c r="CI470" t="str">
        <f t="shared" si="559"/>
        <v>DO3-14B</v>
      </c>
      <c r="CJ470" t="str">
        <f t="shared" si="560"/>
        <v>DO3-15A</v>
      </c>
      <c r="CK470" t="str">
        <f t="shared" si="561"/>
        <v>DO3-15B</v>
      </c>
      <c r="CL470" t="str">
        <f t="shared" si="477"/>
        <v>K28-10</v>
      </c>
      <c r="CM470" t="str">
        <f t="shared" si="478"/>
        <v>K28-03</v>
      </c>
      <c r="CN470" t="str">
        <f t="shared" si="479"/>
        <v>K28-04</v>
      </c>
      <c r="CO470" t="str">
        <f t="shared" si="480"/>
        <v>K28-01</v>
      </c>
      <c r="CP470" t="str">
        <f t="shared" si="481"/>
        <v>K28-08</v>
      </c>
      <c r="CQ470" t="str">
        <f t="shared" si="482"/>
        <v>K28-02</v>
      </c>
      <c r="CR470" t="str">
        <f t="shared" si="483"/>
        <v>K28-09</v>
      </c>
      <c r="CS470" t="str">
        <f t="shared" si="484"/>
        <v>K28-05</v>
      </c>
      <c r="CT470" t="str">
        <f t="shared" si="485"/>
        <v>K28-11</v>
      </c>
      <c r="CU470" t="str">
        <f t="shared" si="486"/>
        <v>N1-M28-A9</v>
      </c>
      <c r="CV470" t="str">
        <f t="shared" si="487"/>
        <v>N1-M28-A7</v>
      </c>
      <c r="CW470" t="str">
        <f t="shared" si="488"/>
        <v>N1-M28-A8</v>
      </c>
      <c r="CX470" t="str">
        <f t="shared" si="489"/>
        <v>N1-M28-A6</v>
      </c>
      <c r="CY470" t="str">
        <f t="shared" si="490"/>
        <v>N1-M28-A30</v>
      </c>
      <c r="CZ470" t="str">
        <f t="shared" si="491"/>
        <v>N1-M28-N</v>
      </c>
      <c r="DA470" t="str">
        <f t="shared" si="562"/>
        <v>N1-A220-M28</v>
      </c>
      <c r="DB470" t="str">
        <f t="shared" si="493"/>
        <v>N1-M28-XM01</v>
      </c>
      <c r="DC470" t="str">
        <f t="shared" si="494"/>
        <v>N1-M28-A1</v>
      </c>
      <c r="DD470" t="str">
        <f t="shared" si="495"/>
        <v>N1-M28-A5</v>
      </c>
      <c r="DE470" t="str">
        <f t="shared" si="496"/>
        <v>N1-M28-A11</v>
      </c>
      <c r="DF470" t="str">
        <f t="shared" si="497"/>
        <v>N1-M28-A12</v>
      </c>
      <c r="DG470" t="str">
        <f t="shared" si="498"/>
        <v>N1-M28-A19</v>
      </c>
      <c r="DH470" t="str">
        <f t="shared" si="499"/>
        <v>N1-M28-A20</v>
      </c>
      <c r="DI470" t="s">
        <v>142</v>
      </c>
      <c r="DJ470" t="s">
        <v>143</v>
      </c>
      <c r="DK470">
        <v>11</v>
      </c>
      <c r="DL470">
        <v>14</v>
      </c>
      <c r="DM470">
        <v>12</v>
      </c>
      <c r="DN470" t="s">
        <v>144</v>
      </c>
      <c r="DO470" t="s">
        <v>145</v>
      </c>
      <c r="DP470">
        <v>1</v>
      </c>
      <c r="DQ470">
        <v>2</v>
      </c>
      <c r="DR470">
        <v>3</v>
      </c>
      <c r="DS470">
        <v>4</v>
      </c>
      <c r="DT470">
        <v>5</v>
      </c>
      <c r="DU470">
        <v>6</v>
      </c>
      <c r="DV470">
        <v>7</v>
      </c>
      <c r="DW470">
        <v>8</v>
      </c>
      <c r="DX470">
        <v>9</v>
      </c>
      <c r="DY470">
        <v>10</v>
      </c>
      <c r="DZ470">
        <v>11</v>
      </c>
      <c r="EA470">
        <v>12</v>
      </c>
      <c r="EB470">
        <v>13</v>
      </c>
      <c r="EC470">
        <v>14</v>
      </c>
      <c r="ED470">
        <v>1</v>
      </c>
      <c r="EE470">
        <v>3</v>
      </c>
      <c r="EF470">
        <v>4</v>
      </c>
      <c r="EG470">
        <v>7</v>
      </c>
      <c r="EH470">
        <v>8</v>
      </c>
      <c r="EI470">
        <v>9</v>
      </c>
      <c r="EJ470">
        <v>10</v>
      </c>
      <c r="EK470">
        <v>13</v>
      </c>
      <c r="EL470">
        <v>14</v>
      </c>
      <c r="EM470">
        <v>15</v>
      </c>
      <c r="EN470">
        <v>16</v>
      </c>
      <c r="EO470">
        <v>22</v>
      </c>
      <c r="EP470">
        <v>23</v>
      </c>
      <c r="EQ470" s="16">
        <v>24</v>
      </c>
      <c r="MA470" t="str">
        <f t="shared" si="410"/>
        <v>DI5-B13</v>
      </c>
    </row>
    <row r="471" spans="1:339" x14ac:dyDescent="0.25">
      <c r="A471" s="83" t="s">
        <v>2581</v>
      </c>
      <c r="B471" s="83" t="s">
        <v>2580</v>
      </c>
      <c r="C471" s="3"/>
      <c r="O471" s="2"/>
      <c r="P471" t="s">
        <v>129</v>
      </c>
      <c r="Q471" s="1"/>
      <c r="S471" s="1" t="s">
        <v>130</v>
      </c>
      <c r="T471" s="14" t="s">
        <v>2182</v>
      </c>
      <c r="U471" s="59">
        <v>29</v>
      </c>
      <c r="V471" s="15" t="s">
        <v>2569</v>
      </c>
      <c r="W471" s="15"/>
      <c r="AC471" t="str">
        <f t="shared" si="500"/>
        <v>A5.5</v>
      </c>
      <c r="AD471" s="43">
        <f t="array" ref="AD471">IF(COUNTIFS(AC$377:AC471,AC471)=1,"1",VALUE(SUBSTITUTE(INDEX(AD:AD,_xlfn.XMATCH(AC471,AC$1:AC470,0,-1)),"A",""))+INDEX(AE:AE,_xlfn.XMATCH(AC471,AC$1:AC470,0,-1))+1)</f>
        <v>19</v>
      </c>
      <c r="AE471" s="43">
        <f t="array" ref="AE471">SUM(IF(ISNUMBER(FIND("TmDi",$BE$1:$AAQ$1)),IF(IFERROR(ISNUMBER(VALUE(SUBSTITUTE($BE471:$AAQ471,"B",""))),FALSE),IF(ISNUMBER(VALUE(SUBSTITUTE($BE471:$AAQ471,"B",""))),1,0),0)))</f>
        <v>5</v>
      </c>
      <c r="AF471" t="str">
        <f t="shared" si="440"/>
        <v>C19</v>
      </c>
      <c r="AG471" t="str">
        <f t="shared" si="441"/>
        <v>B19</v>
      </c>
      <c r="AH471" t="str">
        <f t="shared" si="502"/>
        <v>A6.3</v>
      </c>
      <c r="AI471" s="69">
        <f t="array" ref="AI471">IF(COUNTIFS(AH$377:AH471,AH471)=1,"1",VALUE(SUBSTITUTE(INDEX(AI:AI,_xlfn.XMATCH(AH471,AH$1:AH470,0,-1)),"A",""))+INDEX(AJ:AJ,_xlfn.XMATCH(AH471,AH$1:AH470,0,-1))+1)</f>
        <v>16</v>
      </c>
      <c r="AJ471" s="62">
        <f t="array" ref="AJ471">SUM(IF(ISNUMBER(FIND("TmDo",$BE$1:$AAQ$1)),IF(IFERROR(ISNUMBER(VALUE(SUBSTITUTE($BE471:$AAQ471,"B",""))),FALSE),IF(ISNUMBER(VALUE(SUBSTITUTE($BE471:$AAQ471,"B",""))),1,0),0)))</f>
        <v>2</v>
      </c>
      <c r="AK471" t="str">
        <f t="shared" si="442"/>
        <v>16A</v>
      </c>
      <c r="AL471" t="str">
        <f t="shared" si="443"/>
        <v>16B</v>
      </c>
      <c r="AM471" t="s">
        <v>217</v>
      </c>
      <c r="AP471" t="s">
        <v>2184</v>
      </c>
      <c r="AQ471" t="s">
        <v>2508</v>
      </c>
      <c r="AT471" t="s">
        <v>139</v>
      </c>
      <c r="AU471" t="s">
        <v>140</v>
      </c>
      <c r="BD471" s="16"/>
      <c r="BE471" s="27" t="str">
        <f t="shared" si="533"/>
        <v>XT29</v>
      </c>
      <c r="BF471" t="str">
        <f t="shared" si="534"/>
        <v>C20</v>
      </c>
      <c r="BG471" t="str">
        <f t="shared" si="535"/>
        <v>B20</v>
      </c>
      <c r="BH471" t="str">
        <f t="shared" si="536"/>
        <v>C21</v>
      </c>
      <c r="BI471" t="str">
        <f t="shared" si="537"/>
        <v>B21</v>
      </c>
      <c r="BJ471" t="str">
        <f t="shared" si="538"/>
        <v>C22</v>
      </c>
      <c r="BK471" t="str">
        <f t="shared" si="539"/>
        <v>B22</v>
      </c>
      <c r="BL471" t="str">
        <f t="shared" si="540"/>
        <v>C23</v>
      </c>
      <c r="BM471" t="str">
        <f t="shared" si="541"/>
        <v>B23</v>
      </c>
      <c r="BN471" t="str">
        <f t="shared" si="542"/>
        <v>C24</v>
      </c>
      <c r="BO471" t="str">
        <f t="shared" si="543"/>
        <v>B24</v>
      </c>
      <c r="BP471" t="str">
        <f t="shared" si="455"/>
        <v>17A</v>
      </c>
      <c r="BQ471" t="str">
        <f t="shared" si="456"/>
        <v>17B</v>
      </c>
      <c r="BR471" t="str">
        <f t="shared" si="457"/>
        <v>18A</v>
      </c>
      <c r="BS471" t="str">
        <f t="shared" si="458"/>
        <v>18B</v>
      </c>
      <c r="BT471" t="str">
        <f t="shared" si="544"/>
        <v>DI5-C19</v>
      </c>
      <c r="BU471" t="str">
        <f t="shared" si="545"/>
        <v>DI5-B19</v>
      </c>
      <c r="BV471" t="str">
        <f t="shared" si="546"/>
        <v>DI5-C20</v>
      </c>
      <c r="BW471" t="str">
        <f t="shared" si="547"/>
        <v>DI5-B20</v>
      </c>
      <c r="BX471" t="str">
        <f t="shared" si="548"/>
        <v>DI5-C21</v>
      </c>
      <c r="BY471" t="str">
        <f t="shared" si="549"/>
        <v>DI5-B21</v>
      </c>
      <c r="BZ471" t="str">
        <f t="shared" si="550"/>
        <v>DI5-C22</v>
      </c>
      <c r="CA471" t="str">
        <f t="shared" si="551"/>
        <v>DI5-B22</v>
      </c>
      <c r="CB471" t="str">
        <f t="shared" si="552"/>
        <v>DI5-C23</v>
      </c>
      <c r="CC471" t="str">
        <f t="shared" si="553"/>
        <v>DI5-B23</v>
      </c>
      <c r="CD471" t="str">
        <f t="shared" si="554"/>
        <v>DI5-C24</v>
      </c>
      <c r="CE471" t="str">
        <f t="shared" si="555"/>
        <v>DI5-B24</v>
      </c>
      <c r="CF471" t="str">
        <f t="shared" si="556"/>
        <v>DO3-16A</v>
      </c>
      <c r="CG471" t="str">
        <f t="shared" si="557"/>
        <v>DO3-16B</v>
      </c>
      <c r="CH471" t="str">
        <f t="shared" si="558"/>
        <v>DO3-17A</v>
      </c>
      <c r="CI471" t="str">
        <f t="shared" si="559"/>
        <v>DO3-17B</v>
      </c>
      <c r="CJ471" t="str">
        <f t="shared" si="560"/>
        <v>DO3-18A</v>
      </c>
      <c r="CK471" t="str">
        <f t="shared" si="561"/>
        <v>DO3-18B</v>
      </c>
      <c r="CL471" t="str">
        <f t="shared" si="477"/>
        <v>K29-10</v>
      </c>
      <c r="CM471" t="str">
        <f t="shared" si="478"/>
        <v>K29-03</v>
      </c>
      <c r="CN471" t="str">
        <f t="shared" si="479"/>
        <v>K29-04</v>
      </c>
      <c r="CO471" t="str">
        <f t="shared" si="480"/>
        <v>K29-01</v>
      </c>
      <c r="CP471" t="str">
        <f t="shared" si="481"/>
        <v>K29-08</v>
      </c>
      <c r="CQ471" t="str">
        <f t="shared" si="482"/>
        <v>K29-02</v>
      </c>
      <c r="CR471" t="str">
        <f t="shared" si="483"/>
        <v>K29-09</v>
      </c>
      <c r="CS471" t="str">
        <f t="shared" si="484"/>
        <v>K29-05</v>
      </c>
      <c r="CT471" t="str">
        <f t="shared" si="485"/>
        <v>K29-11</v>
      </c>
      <c r="CU471" t="str">
        <f t="shared" si="486"/>
        <v>N1-M29-A9</v>
      </c>
      <c r="CV471" t="str">
        <f t="shared" si="487"/>
        <v>N1-M29-A7</v>
      </c>
      <c r="CW471" t="str">
        <f t="shared" si="488"/>
        <v>N1-M29-A8</v>
      </c>
      <c r="CX471" t="str">
        <f t="shared" si="489"/>
        <v>N1-M29-A6</v>
      </c>
      <c r="CY471" t="str">
        <f t="shared" si="490"/>
        <v>N1-M29-A30</v>
      </c>
      <c r="CZ471" t="str">
        <f t="shared" si="491"/>
        <v>N1-M29-N</v>
      </c>
      <c r="DA471" t="str">
        <f t="shared" si="562"/>
        <v>N1-A220-M29</v>
      </c>
      <c r="DB471" t="str">
        <f t="shared" si="493"/>
        <v>N1-M29-XM01</v>
      </c>
      <c r="DC471" t="str">
        <f t="shared" si="494"/>
        <v>N1-M29-A1</v>
      </c>
      <c r="DD471" t="str">
        <f t="shared" si="495"/>
        <v>N1-M29-A5</v>
      </c>
      <c r="DE471" t="str">
        <f t="shared" si="496"/>
        <v>N1-M29-A11</v>
      </c>
      <c r="DF471" t="str">
        <f t="shared" si="497"/>
        <v>N1-M29-A12</v>
      </c>
      <c r="DG471" t="str">
        <f t="shared" si="498"/>
        <v>N1-M29-A19</v>
      </c>
      <c r="DH471" t="str">
        <f t="shared" si="499"/>
        <v>N1-M29-A20</v>
      </c>
      <c r="DI471" t="s">
        <v>142</v>
      </c>
      <c r="DJ471" t="s">
        <v>143</v>
      </c>
      <c r="DK471">
        <v>11</v>
      </c>
      <c r="DL471">
        <v>14</v>
      </c>
      <c r="DM471">
        <v>12</v>
      </c>
      <c r="DN471" t="s">
        <v>144</v>
      </c>
      <c r="DO471" t="s">
        <v>145</v>
      </c>
      <c r="DP471">
        <v>1</v>
      </c>
      <c r="DQ471">
        <v>2</v>
      </c>
      <c r="DR471">
        <v>3</v>
      </c>
      <c r="DS471">
        <v>4</v>
      </c>
      <c r="DT471">
        <v>5</v>
      </c>
      <c r="DU471">
        <v>6</v>
      </c>
      <c r="DV471">
        <v>7</v>
      </c>
      <c r="DW471">
        <v>8</v>
      </c>
      <c r="DX471">
        <v>9</v>
      </c>
      <c r="DY471">
        <v>10</v>
      </c>
      <c r="DZ471">
        <v>11</v>
      </c>
      <c r="EA471">
        <v>12</v>
      </c>
      <c r="EB471">
        <v>13</v>
      </c>
      <c r="EC471">
        <v>14</v>
      </c>
      <c r="ED471">
        <v>1</v>
      </c>
      <c r="EE471">
        <v>3</v>
      </c>
      <c r="EF471">
        <v>4</v>
      </c>
      <c r="EG471">
        <v>7</v>
      </c>
      <c r="EH471">
        <v>8</v>
      </c>
      <c r="EI471">
        <v>9</v>
      </c>
      <c r="EJ471">
        <v>10</v>
      </c>
      <c r="EK471">
        <v>13</v>
      </c>
      <c r="EL471">
        <v>14</v>
      </c>
      <c r="EM471">
        <v>15</v>
      </c>
      <c r="EN471">
        <v>16</v>
      </c>
      <c r="EO471">
        <v>22</v>
      </c>
      <c r="EP471">
        <v>23</v>
      </c>
      <c r="EQ471" s="16">
        <v>24</v>
      </c>
      <c r="MA471" t="str">
        <f t="shared" si="410"/>
        <v>DI5-B19</v>
      </c>
    </row>
    <row r="472" spans="1:339" x14ac:dyDescent="0.25">
      <c r="A472" s="83" t="s">
        <v>2583</v>
      </c>
      <c r="B472" s="83" t="s">
        <v>2582</v>
      </c>
      <c r="C472" s="3"/>
      <c r="O472" s="2"/>
      <c r="P472" t="s">
        <v>129</v>
      </c>
      <c r="Q472" s="1"/>
      <c r="S472" s="1" t="s">
        <v>130</v>
      </c>
      <c r="T472" s="14" t="s">
        <v>2182</v>
      </c>
      <c r="U472" s="59">
        <v>30</v>
      </c>
      <c r="V472" s="15" t="s">
        <v>2570</v>
      </c>
      <c r="W472" s="15"/>
      <c r="AC472" t="str">
        <f t="shared" si="500"/>
        <v>A5.5</v>
      </c>
      <c r="AD472" s="43">
        <f t="array" ref="AD472">IF(COUNTIFS(AC$377:AC472,AC472)=1,"1",VALUE(SUBSTITUTE(INDEX(AD:AD,_xlfn.XMATCH(AC472,AC$1:AC471,0,-1)),"A",""))+INDEX(AE:AE,_xlfn.XMATCH(AC472,AC$1:AC471,0,-1))+1)</f>
        <v>25</v>
      </c>
      <c r="AE472" s="43">
        <f t="array" ref="AE472">SUM(IF(ISNUMBER(FIND("TmDi",$BE$1:$AAQ$1)),IF(IFERROR(ISNUMBER(VALUE(SUBSTITUTE($BE472:$AAQ472,"B",""))),FALSE),IF(ISNUMBER(VALUE(SUBSTITUTE($BE472:$AAQ472,"B",""))),1,0),0)))</f>
        <v>5</v>
      </c>
      <c r="AF472" t="str">
        <f t="shared" si="440"/>
        <v>C25</v>
      </c>
      <c r="AG472" t="str">
        <f t="shared" si="441"/>
        <v>B25</v>
      </c>
      <c r="AH472" t="str">
        <f t="shared" si="502"/>
        <v>A6.3</v>
      </c>
      <c r="AI472" s="69">
        <f t="array" ref="AI472">IF(COUNTIFS(AH$377:AH472,AH472)=1,"1",VALUE(SUBSTITUTE(INDEX(AI:AI,_xlfn.XMATCH(AH472,AH$1:AH471,0,-1)),"A",""))+INDEX(AJ:AJ,_xlfn.XMATCH(AH472,AH$1:AH471,0,-1))+1)</f>
        <v>19</v>
      </c>
      <c r="AJ472" s="62">
        <f t="array" ref="AJ472">SUM(IF(ISNUMBER(FIND("TmDo",$BE$1:$AAQ$1)),IF(IFERROR(ISNUMBER(VALUE(SUBSTITUTE($BE472:$AAQ472,"B",""))),FALSE),IF(ISNUMBER(VALUE(SUBSTITUTE($BE472:$AAQ472,"B",""))),1,0),0)))</f>
        <v>2</v>
      </c>
      <c r="AK472" t="str">
        <f t="shared" si="442"/>
        <v>19A</v>
      </c>
      <c r="AL472" t="str">
        <f t="shared" si="443"/>
        <v>19B</v>
      </c>
      <c r="AM472" t="s">
        <v>220</v>
      </c>
      <c r="AP472" t="s">
        <v>2184</v>
      </c>
      <c r="AQ472" t="s">
        <v>2508</v>
      </c>
      <c r="AT472" t="s">
        <v>139</v>
      </c>
      <c r="AU472" t="s">
        <v>140</v>
      </c>
      <c r="BD472" s="16"/>
      <c r="BE472" s="27" t="str">
        <f t="shared" si="533"/>
        <v>XT30</v>
      </c>
      <c r="BF472" t="str">
        <f t="shared" si="534"/>
        <v>C26</v>
      </c>
      <c r="BG472" t="str">
        <f t="shared" si="535"/>
        <v>B26</v>
      </c>
      <c r="BH472" t="str">
        <f t="shared" si="536"/>
        <v>C27</v>
      </c>
      <c r="BI472" t="str">
        <f t="shared" si="537"/>
        <v>B27</v>
      </c>
      <c r="BJ472" t="str">
        <f t="shared" si="538"/>
        <v>C28</v>
      </c>
      <c r="BK472" t="str">
        <f t="shared" si="539"/>
        <v>B28</v>
      </c>
      <c r="BL472" t="str">
        <f t="shared" si="540"/>
        <v>C29</v>
      </c>
      <c r="BM472" t="str">
        <f t="shared" si="541"/>
        <v>B29</v>
      </c>
      <c r="BN472" t="str">
        <f t="shared" si="542"/>
        <v>C30</v>
      </c>
      <c r="BO472" t="str">
        <f t="shared" si="543"/>
        <v>B30</v>
      </c>
      <c r="BP472" t="str">
        <f t="shared" si="455"/>
        <v>20A</v>
      </c>
      <c r="BQ472" t="str">
        <f t="shared" si="456"/>
        <v>20B</v>
      </c>
      <c r="BR472" t="str">
        <f t="shared" si="457"/>
        <v>21A</v>
      </c>
      <c r="BS472" t="str">
        <f t="shared" si="458"/>
        <v>21B</v>
      </c>
      <c r="BT472" t="str">
        <f t="shared" si="544"/>
        <v>DI5-C25</v>
      </c>
      <c r="BU472" t="str">
        <f t="shared" si="545"/>
        <v>DI5-B25</v>
      </c>
      <c r="BV472" t="str">
        <f t="shared" si="546"/>
        <v>DI5-C26</v>
      </c>
      <c r="BW472" t="str">
        <f t="shared" si="547"/>
        <v>DI5-B26</v>
      </c>
      <c r="BX472" t="str">
        <f t="shared" si="548"/>
        <v>DI5-C27</v>
      </c>
      <c r="BY472" t="str">
        <f t="shared" si="549"/>
        <v>DI5-B27</v>
      </c>
      <c r="BZ472" t="str">
        <f t="shared" si="550"/>
        <v>DI5-C28</v>
      </c>
      <c r="CA472" t="str">
        <f t="shared" si="551"/>
        <v>DI5-B28</v>
      </c>
      <c r="CB472" t="str">
        <f t="shared" si="552"/>
        <v>DI5-C29</v>
      </c>
      <c r="CC472" t="str">
        <f t="shared" si="553"/>
        <v>DI5-B29</v>
      </c>
      <c r="CD472" t="str">
        <f t="shared" si="554"/>
        <v>DI5-C30</v>
      </c>
      <c r="CE472" t="str">
        <f t="shared" si="555"/>
        <v>DI5-B30</v>
      </c>
      <c r="CF472" t="str">
        <f t="shared" si="556"/>
        <v>DO3-19A</v>
      </c>
      <c r="CG472" t="str">
        <f t="shared" si="557"/>
        <v>DO3-19B</v>
      </c>
      <c r="CH472" t="str">
        <f t="shared" si="558"/>
        <v>DO3-20A</v>
      </c>
      <c r="CI472" t="str">
        <f t="shared" si="559"/>
        <v>DO3-20B</v>
      </c>
      <c r="CJ472" t="str">
        <f t="shared" si="560"/>
        <v>DO3-21A</v>
      </c>
      <c r="CK472" t="str">
        <f t="shared" si="561"/>
        <v>DO3-21B</v>
      </c>
      <c r="CL472" t="str">
        <f t="shared" si="477"/>
        <v>K30-10</v>
      </c>
      <c r="CM472" t="str">
        <f t="shared" si="478"/>
        <v>K30-03</v>
      </c>
      <c r="CN472" t="str">
        <f t="shared" si="479"/>
        <v>K30-04</v>
      </c>
      <c r="CO472" t="str">
        <f t="shared" si="480"/>
        <v>K30-01</v>
      </c>
      <c r="CP472" t="str">
        <f t="shared" si="481"/>
        <v>K30-08</v>
      </c>
      <c r="CQ472" t="str">
        <f t="shared" si="482"/>
        <v>K30-02</v>
      </c>
      <c r="CR472" t="str">
        <f t="shared" si="483"/>
        <v>K30-09</v>
      </c>
      <c r="CS472" t="str">
        <f t="shared" si="484"/>
        <v>K30-05</v>
      </c>
      <c r="CT472" t="str">
        <f t="shared" si="485"/>
        <v>K30-11</v>
      </c>
      <c r="CU472" t="str">
        <f t="shared" si="486"/>
        <v>N1-M30-A9</v>
      </c>
      <c r="CV472" t="str">
        <f t="shared" si="487"/>
        <v>N1-M30-A7</v>
      </c>
      <c r="CW472" t="str">
        <f t="shared" si="488"/>
        <v>N1-M30-A8</v>
      </c>
      <c r="CX472" t="str">
        <f t="shared" si="489"/>
        <v>N1-M30-A6</v>
      </c>
      <c r="CY472" t="str">
        <f t="shared" si="490"/>
        <v>N1-M30-A30</v>
      </c>
      <c r="CZ472" t="str">
        <f t="shared" si="491"/>
        <v>N1-M30-N</v>
      </c>
      <c r="DA472" t="str">
        <f t="shared" si="562"/>
        <v>N1-A220-M30</v>
      </c>
      <c r="DB472" t="str">
        <f t="shared" si="493"/>
        <v>N1-M30-XM01</v>
      </c>
      <c r="DC472" t="str">
        <f t="shared" si="494"/>
        <v>N1-M30-A1</v>
      </c>
      <c r="DD472" t="str">
        <f t="shared" si="495"/>
        <v>N1-M30-A5</v>
      </c>
      <c r="DE472" t="str">
        <f t="shared" si="496"/>
        <v>N1-M30-A11</v>
      </c>
      <c r="DF472" t="str">
        <f t="shared" si="497"/>
        <v>N1-M30-A12</v>
      </c>
      <c r="DG472" t="str">
        <f t="shared" si="498"/>
        <v>N1-M30-A19</v>
      </c>
      <c r="DH472" t="str">
        <f t="shared" si="499"/>
        <v>N1-M30-A20</v>
      </c>
      <c r="DI472" t="s">
        <v>142</v>
      </c>
      <c r="DJ472" t="s">
        <v>143</v>
      </c>
      <c r="DK472">
        <v>11</v>
      </c>
      <c r="DL472">
        <v>14</v>
      </c>
      <c r="DM472">
        <v>12</v>
      </c>
      <c r="DN472" t="s">
        <v>144</v>
      </c>
      <c r="DO472" t="s">
        <v>145</v>
      </c>
      <c r="DP472">
        <v>1</v>
      </c>
      <c r="DQ472">
        <v>2</v>
      </c>
      <c r="DR472">
        <v>3</v>
      </c>
      <c r="DS472">
        <v>4</v>
      </c>
      <c r="DT472">
        <v>5</v>
      </c>
      <c r="DU472">
        <v>6</v>
      </c>
      <c r="DV472">
        <v>7</v>
      </c>
      <c r="DW472">
        <v>8</v>
      </c>
      <c r="DX472">
        <v>9</v>
      </c>
      <c r="DY472">
        <v>10</v>
      </c>
      <c r="DZ472">
        <v>11</v>
      </c>
      <c r="EA472">
        <v>12</v>
      </c>
      <c r="EB472">
        <v>13</v>
      </c>
      <c r="EC472">
        <v>14</v>
      </c>
      <c r="ED472">
        <v>1</v>
      </c>
      <c r="EE472">
        <v>3</v>
      </c>
      <c r="EF472">
        <v>4</v>
      </c>
      <c r="EG472">
        <v>7</v>
      </c>
      <c r="EH472">
        <v>8</v>
      </c>
      <c r="EI472">
        <v>9</v>
      </c>
      <c r="EJ472">
        <v>10</v>
      </c>
      <c r="EK472">
        <v>13</v>
      </c>
      <c r="EL472">
        <v>14</v>
      </c>
      <c r="EM472">
        <v>15</v>
      </c>
      <c r="EN472">
        <v>16</v>
      </c>
      <c r="EO472">
        <v>22</v>
      </c>
      <c r="EP472">
        <v>23</v>
      </c>
      <c r="EQ472" s="16">
        <v>24</v>
      </c>
      <c r="MA472" t="str">
        <f t="shared" si="410"/>
        <v>DI5-B25</v>
      </c>
    </row>
    <row r="473" spans="1:339" x14ac:dyDescent="0.25">
      <c r="A473" s="83" t="s">
        <v>2585</v>
      </c>
      <c r="B473" s="83" t="s">
        <v>2584</v>
      </c>
      <c r="C473" s="3"/>
      <c r="O473" s="2"/>
      <c r="P473" t="s">
        <v>129</v>
      </c>
      <c r="Q473" s="1"/>
      <c r="S473" s="1" t="s">
        <v>130</v>
      </c>
      <c r="T473" s="14" t="s">
        <v>2182</v>
      </c>
      <c r="U473" s="59">
        <v>31</v>
      </c>
      <c r="V473" s="15" t="s">
        <v>2571</v>
      </c>
      <c r="W473" s="15"/>
      <c r="AC473" t="str">
        <f t="shared" si="500"/>
        <v>A5.6</v>
      </c>
      <c r="AD473" s="43" t="str">
        <f t="array" ref="AD473">IF(COUNTIFS(AC$377:AC473,AC473)=1,"1",VALUE(SUBSTITUTE(INDEX(AD:AD,_xlfn.XMATCH(AC473,AC$1:AC472,0,-1)),"A",""))+INDEX(AE:AE,_xlfn.XMATCH(AC473,AC$1:AC472,0,-1))+1)</f>
        <v>1</v>
      </c>
      <c r="AE473" s="43">
        <f t="array" ref="AE473">SUM(IF(ISNUMBER(FIND("TmDi",$BE$1:$AAQ$1)),IF(IFERROR(ISNUMBER(VALUE(SUBSTITUTE($BE473:$AAQ473,"B",""))),FALSE),IF(ISNUMBER(VALUE(SUBSTITUTE($BE473:$AAQ473,"B",""))),1,0),0)))</f>
        <v>5</v>
      </c>
      <c r="AF473" t="str">
        <f t="shared" si="440"/>
        <v>C1</v>
      </c>
      <c r="AG473" t="str">
        <f t="shared" si="441"/>
        <v>B1</v>
      </c>
      <c r="AH473" t="str">
        <f t="shared" si="502"/>
        <v>A6.3</v>
      </c>
      <c r="AI473" s="69">
        <f t="array" ref="AI473">IF(COUNTIFS(AH$377:AH473,AH473)=1,"1",VALUE(SUBSTITUTE(INDEX(AI:AI,_xlfn.XMATCH(AH473,AH$1:AH472,0,-1)),"A",""))+INDEX(AJ:AJ,_xlfn.XMATCH(AH473,AH$1:AH472,0,-1))+1)</f>
        <v>22</v>
      </c>
      <c r="AJ473" s="62">
        <f t="array" ref="AJ473">SUM(IF(ISNUMBER(FIND("TmDo",$BE$1:$AAQ$1)),IF(IFERROR(ISNUMBER(VALUE(SUBSTITUTE($BE473:$AAQ473,"B",""))),FALSE),IF(ISNUMBER(VALUE(SUBSTITUTE($BE473:$AAQ473,"B",""))),1,0),0)))</f>
        <v>2</v>
      </c>
      <c r="AK473" t="str">
        <f t="shared" si="442"/>
        <v>22A</v>
      </c>
      <c r="AL473" t="str">
        <f t="shared" si="443"/>
        <v>22B</v>
      </c>
      <c r="AM473" t="s">
        <v>223</v>
      </c>
      <c r="AP473" t="s">
        <v>2184</v>
      </c>
      <c r="AQ473" t="s">
        <v>2508</v>
      </c>
      <c r="AT473" t="s">
        <v>139</v>
      </c>
      <c r="AU473" t="s">
        <v>140</v>
      </c>
      <c r="BD473" s="16"/>
      <c r="BE473" s="27" t="str">
        <f t="shared" si="533"/>
        <v>XT31</v>
      </c>
      <c r="BF473" t="str">
        <f t="shared" si="534"/>
        <v>C2</v>
      </c>
      <c r="BG473" t="str">
        <f t="shared" si="535"/>
        <v>B2</v>
      </c>
      <c r="BH473" t="str">
        <f t="shared" si="536"/>
        <v>C3</v>
      </c>
      <c r="BI473" t="str">
        <f t="shared" si="537"/>
        <v>B3</v>
      </c>
      <c r="BJ473" t="str">
        <f t="shared" si="538"/>
        <v>C4</v>
      </c>
      <c r="BK473" t="str">
        <f t="shared" si="539"/>
        <v>B4</v>
      </c>
      <c r="BL473" t="str">
        <f t="shared" si="540"/>
        <v>C5</v>
      </c>
      <c r="BM473" t="str">
        <f t="shared" si="541"/>
        <v>B5</v>
      </c>
      <c r="BN473" t="str">
        <f t="shared" si="542"/>
        <v>C6</v>
      </c>
      <c r="BO473" t="str">
        <f t="shared" si="543"/>
        <v>B6</v>
      </c>
      <c r="BP473" t="str">
        <f t="shared" si="455"/>
        <v>23A</v>
      </c>
      <c r="BQ473" t="str">
        <f t="shared" si="456"/>
        <v>23B</v>
      </c>
      <c r="BR473" t="str">
        <f t="shared" si="457"/>
        <v>24A</v>
      </c>
      <c r="BS473" t="str">
        <f t="shared" si="458"/>
        <v>24B</v>
      </c>
      <c r="BT473" t="str">
        <f t="shared" si="544"/>
        <v>DI6-C1</v>
      </c>
      <c r="BU473" t="str">
        <f t="shared" si="545"/>
        <v>DI6-B1</v>
      </c>
      <c r="BV473" t="str">
        <f t="shared" si="546"/>
        <v>DI6-C2</v>
      </c>
      <c r="BW473" t="str">
        <f t="shared" si="547"/>
        <v>DI6-B2</v>
      </c>
      <c r="BX473" t="str">
        <f t="shared" si="548"/>
        <v>DI6-C3</v>
      </c>
      <c r="BY473" t="str">
        <f t="shared" si="549"/>
        <v>DI6-B3</v>
      </c>
      <c r="BZ473" t="str">
        <f t="shared" si="550"/>
        <v>DI6-C4</v>
      </c>
      <c r="CA473" t="str">
        <f t="shared" si="551"/>
        <v>DI6-B4</v>
      </c>
      <c r="CB473" t="str">
        <f t="shared" si="552"/>
        <v>DI6-C5</v>
      </c>
      <c r="CC473" t="str">
        <f t="shared" si="553"/>
        <v>DI6-B5</v>
      </c>
      <c r="CD473" t="str">
        <f t="shared" si="554"/>
        <v>DI6-C6</v>
      </c>
      <c r="CE473" t="str">
        <f t="shared" si="555"/>
        <v>DI6-B6</v>
      </c>
      <c r="CF473" t="str">
        <f t="shared" si="556"/>
        <v>DO3-22A</v>
      </c>
      <c r="CG473" t="str">
        <f t="shared" si="557"/>
        <v>DO3-22B</v>
      </c>
      <c r="CH473" t="str">
        <f t="shared" si="558"/>
        <v>DO3-23A</v>
      </c>
      <c r="CI473" t="str">
        <f t="shared" si="559"/>
        <v>DO3-23B</v>
      </c>
      <c r="CJ473" t="str">
        <f t="shared" si="560"/>
        <v>DO3-24A</v>
      </c>
      <c r="CK473" t="str">
        <f t="shared" si="561"/>
        <v>DO3-24B</v>
      </c>
      <c r="CL473" t="str">
        <f t="shared" si="477"/>
        <v>K31-10</v>
      </c>
      <c r="CM473" t="str">
        <f t="shared" si="478"/>
        <v>K31-03</v>
      </c>
      <c r="CN473" t="str">
        <f t="shared" si="479"/>
        <v>K31-04</v>
      </c>
      <c r="CO473" t="str">
        <f t="shared" si="480"/>
        <v>K31-01</v>
      </c>
      <c r="CP473" t="str">
        <f t="shared" si="481"/>
        <v>K31-08</v>
      </c>
      <c r="CQ473" t="str">
        <f t="shared" si="482"/>
        <v>K31-02</v>
      </c>
      <c r="CR473" t="str">
        <f t="shared" si="483"/>
        <v>K31-09</v>
      </c>
      <c r="CS473" t="str">
        <f t="shared" si="484"/>
        <v>K31-05</v>
      </c>
      <c r="CT473" t="str">
        <f t="shared" si="485"/>
        <v>K31-11</v>
      </c>
      <c r="CU473" t="str">
        <f t="shared" si="486"/>
        <v>N1-M31-A9</v>
      </c>
      <c r="CV473" t="str">
        <f t="shared" si="487"/>
        <v>N1-M31-A7</v>
      </c>
      <c r="CW473" t="str">
        <f t="shared" si="488"/>
        <v>N1-M31-A8</v>
      </c>
      <c r="CX473" t="str">
        <f t="shared" si="489"/>
        <v>N1-M31-A6</v>
      </c>
      <c r="CY473" t="str">
        <f t="shared" si="490"/>
        <v>N1-M31-A30</v>
      </c>
      <c r="CZ473" t="str">
        <f t="shared" si="491"/>
        <v>N1-M31-N</v>
      </c>
      <c r="DA473" t="str">
        <f t="shared" si="562"/>
        <v>N1-A220-M31</v>
      </c>
      <c r="DB473" t="str">
        <f t="shared" si="493"/>
        <v>N1-M31-XM01</v>
      </c>
      <c r="DC473" t="str">
        <f t="shared" si="494"/>
        <v>N1-M31-A1</v>
      </c>
      <c r="DD473" t="str">
        <f t="shared" si="495"/>
        <v>N1-M31-A5</v>
      </c>
      <c r="DE473" t="str">
        <f t="shared" si="496"/>
        <v>N1-M31-A11</v>
      </c>
      <c r="DF473" t="str">
        <f t="shared" si="497"/>
        <v>N1-M31-A12</v>
      </c>
      <c r="DG473" t="str">
        <f t="shared" si="498"/>
        <v>N1-M31-A19</v>
      </c>
      <c r="DH473" t="str">
        <f t="shared" si="499"/>
        <v>N1-M31-A20</v>
      </c>
      <c r="DI473" t="s">
        <v>142</v>
      </c>
      <c r="DJ473" t="s">
        <v>143</v>
      </c>
      <c r="DK473">
        <v>11</v>
      </c>
      <c r="DL473">
        <v>14</v>
      </c>
      <c r="DM473">
        <v>12</v>
      </c>
      <c r="DN473" t="s">
        <v>144</v>
      </c>
      <c r="DO473" t="s">
        <v>145</v>
      </c>
      <c r="DP473">
        <v>1</v>
      </c>
      <c r="DQ473">
        <v>2</v>
      </c>
      <c r="DR473">
        <v>3</v>
      </c>
      <c r="DS473">
        <v>4</v>
      </c>
      <c r="DT473">
        <v>5</v>
      </c>
      <c r="DU473">
        <v>6</v>
      </c>
      <c r="DV473">
        <v>7</v>
      </c>
      <c r="DW473">
        <v>8</v>
      </c>
      <c r="DX473">
        <v>9</v>
      </c>
      <c r="DY473">
        <v>10</v>
      </c>
      <c r="DZ473">
        <v>11</v>
      </c>
      <c r="EA473">
        <v>12</v>
      </c>
      <c r="EB473">
        <v>13</v>
      </c>
      <c r="EC473">
        <v>14</v>
      </c>
      <c r="ED473">
        <v>1</v>
      </c>
      <c r="EE473">
        <v>3</v>
      </c>
      <c r="EF473">
        <v>4</v>
      </c>
      <c r="EG473">
        <v>7</v>
      </c>
      <c r="EH473">
        <v>8</v>
      </c>
      <c r="EI473">
        <v>9</v>
      </c>
      <c r="EJ473">
        <v>10</v>
      </c>
      <c r="EK473">
        <v>13</v>
      </c>
      <c r="EL473">
        <v>14</v>
      </c>
      <c r="EM473">
        <v>15</v>
      </c>
      <c r="EN473">
        <v>16</v>
      </c>
      <c r="EO473">
        <v>22</v>
      </c>
      <c r="EP473">
        <v>23</v>
      </c>
      <c r="EQ473" s="16">
        <v>24</v>
      </c>
      <c r="MA473" t="str">
        <f t="shared" si="410"/>
        <v>DI6-B1</v>
      </c>
    </row>
    <row r="474" spans="1:339" x14ac:dyDescent="0.25">
      <c r="A474" s="83" t="s">
        <v>2587</v>
      </c>
      <c r="B474" s="83" t="s">
        <v>2586</v>
      </c>
      <c r="C474" s="3"/>
      <c r="O474" s="2"/>
      <c r="P474" t="s">
        <v>129</v>
      </c>
      <c r="Q474" s="1"/>
      <c r="S474" s="1" t="s">
        <v>130</v>
      </c>
      <c r="T474" s="14" t="s">
        <v>2182</v>
      </c>
      <c r="U474" s="59">
        <v>32</v>
      </c>
      <c r="V474" s="15" t="s">
        <v>2572</v>
      </c>
      <c r="W474" s="15"/>
      <c r="AC474" t="str">
        <f t="shared" si="500"/>
        <v>A5.6</v>
      </c>
      <c r="AD474" s="43">
        <f t="array" ref="AD474">IF(COUNTIFS(AC$377:AC474,AC474)=1,"1",VALUE(SUBSTITUTE(INDEX(AD:AD,_xlfn.XMATCH(AC474,AC$1:AC473,0,-1)),"A",""))+INDEX(AE:AE,_xlfn.XMATCH(AC474,AC$1:AC473,0,-1))+1)</f>
        <v>7</v>
      </c>
      <c r="AE474" s="43">
        <f t="array" ref="AE474">SUM(IF(ISNUMBER(FIND("TmDi",$BE$1:$AAQ$1)),IF(IFERROR(ISNUMBER(VALUE(SUBSTITUTE($BE474:$AAQ474,"B",""))),FALSE),IF(ISNUMBER(VALUE(SUBSTITUTE($BE474:$AAQ474,"B",""))),1,0),0)))</f>
        <v>5</v>
      </c>
      <c r="AF474" t="str">
        <f t="shared" si="440"/>
        <v>C7</v>
      </c>
      <c r="AG474" t="str">
        <f t="shared" si="441"/>
        <v>B7</v>
      </c>
      <c r="AH474" t="str">
        <f t="shared" si="502"/>
        <v>A6.3</v>
      </c>
      <c r="AI474" s="69">
        <f t="array" ref="AI474">IF(COUNTIFS(AH$377:AH474,AH474)=1,"1",VALUE(SUBSTITUTE(INDEX(AI:AI,_xlfn.XMATCH(AH474,AH$1:AH473,0,-1)),"A",""))+INDEX(AJ:AJ,_xlfn.XMATCH(AH474,AH$1:AH473,0,-1))+1)</f>
        <v>25</v>
      </c>
      <c r="AJ474" s="62">
        <f t="array" ref="AJ474">SUM(IF(ISNUMBER(FIND("TmDo",$BE$1:$AAQ$1)),IF(IFERROR(ISNUMBER(VALUE(SUBSTITUTE($BE474:$AAQ474,"B",""))),FALSE),IF(ISNUMBER(VALUE(SUBSTITUTE($BE474:$AAQ474,"B",""))),1,0),0)))</f>
        <v>2</v>
      </c>
      <c r="AK474" t="str">
        <f t="shared" si="442"/>
        <v>25A</v>
      </c>
      <c r="AL474" t="str">
        <f t="shared" si="443"/>
        <v>25B</v>
      </c>
      <c r="AM474" t="s">
        <v>226</v>
      </c>
      <c r="AP474" t="s">
        <v>2184</v>
      </c>
      <c r="AQ474" t="s">
        <v>2508</v>
      </c>
      <c r="AT474" t="s">
        <v>139</v>
      </c>
      <c r="AU474" t="s">
        <v>140</v>
      </c>
      <c r="BD474" s="16"/>
      <c r="BE474" s="27" t="str">
        <f t="shared" si="533"/>
        <v>XT32</v>
      </c>
      <c r="BF474" t="str">
        <f t="shared" si="534"/>
        <v>C8</v>
      </c>
      <c r="BG474" t="str">
        <f t="shared" si="535"/>
        <v>B8</v>
      </c>
      <c r="BH474" t="str">
        <f t="shared" si="536"/>
        <v>C9</v>
      </c>
      <c r="BI474" t="str">
        <f t="shared" si="537"/>
        <v>B9</v>
      </c>
      <c r="BJ474" t="str">
        <f t="shared" si="538"/>
        <v>C10</v>
      </c>
      <c r="BK474" t="str">
        <f t="shared" si="539"/>
        <v>B10</v>
      </c>
      <c r="BL474" t="str">
        <f t="shared" si="540"/>
        <v>C11</v>
      </c>
      <c r="BM474" t="str">
        <f t="shared" si="541"/>
        <v>B11</v>
      </c>
      <c r="BN474" t="str">
        <f t="shared" si="542"/>
        <v>C12</v>
      </c>
      <c r="BO474" t="str">
        <f t="shared" si="543"/>
        <v>B12</v>
      </c>
      <c r="BP474" t="str">
        <f t="shared" si="455"/>
        <v>26A</v>
      </c>
      <c r="BQ474" t="str">
        <f t="shared" si="456"/>
        <v>26B</v>
      </c>
      <c r="BR474" t="str">
        <f t="shared" si="457"/>
        <v>27A</v>
      </c>
      <c r="BS474" t="str">
        <f t="shared" si="458"/>
        <v>27B</v>
      </c>
      <c r="BT474" t="str">
        <f t="shared" si="544"/>
        <v>DI6-C7</v>
      </c>
      <c r="BU474" t="str">
        <f t="shared" si="545"/>
        <v>DI6-B7</v>
      </c>
      <c r="BV474" t="str">
        <f t="shared" si="546"/>
        <v>DI6-C8</v>
      </c>
      <c r="BW474" t="str">
        <f t="shared" si="547"/>
        <v>DI6-B8</v>
      </c>
      <c r="BX474" t="str">
        <f t="shared" si="548"/>
        <v>DI6-C9</v>
      </c>
      <c r="BY474" t="str">
        <f t="shared" si="549"/>
        <v>DI6-B9</v>
      </c>
      <c r="BZ474" t="str">
        <f t="shared" si="550"/>
        <v>DI6-C10</v>
      </c>
      <c r="CA474" t="str">
        <f t="shared" si="551"/>
        <v>DI6-B10</v>
      </c>
      <c r="CB474" t="str">
        <f t="shared" si="552"/>
        <v>DI6-C11</v>
      </c>
      <c r="CC474" t="str">
        <f t="shared" si="553"/>
        <v>DI6-B11</v>
      </c>
      <c r="CD474" t="str">
        <f t="shared" si="554"/>
        <v>DI6-C12</v>
      </c>
      <c r="CE474" t="str">
        <f t="shared" si="555"/>
        <v>DI6-B12</v>
      </c>
      <c r="CF474" t="str">
        <f t="shared" si="556"/>
        <v>DO3-25A</v>
      </c>
      <c r="CG474" t="str">
        <f t="shared" si="557"/>
        <v>DO3-25B</v>
      </c>
      <c r="CH474" t="str">
        <f t="shared" si="558"/>
        <v>DO3-26A</v>
      </c>
      <c r="CI474" t="str">
        <f t="shared" si="559"/>
        <v>DO3-26B</v>
      </c>
      <c r="CJ474" t="str">
        <f t="shared" si="560"/>
        <v>DO3-27A</v>
      </c>
      <c r="CK474" t="str">
        <f t="shared" si="561"/>
        <v>DO3-27B</v>
      </c>
      <c r="CL474" t="str">
        <f t="shared" si="477"/>
        <v>K32-10</v>
      </c>
      <c r="CM474" t="str">
        <f t="shared" si="478"/>
        <v>K32-03</v>
      </c>
      <c r="CN474" t="str">
        <f t="shared" si="479"/>
        <v>K32-04</v>
      </c>
      <c r="CO474" t="str">
        <f t="shared" si="480"/>
        <v>K32-01</v>
      </c>
      <c r="CP474" t="str">
        <f t="shared" si="481"/>
        <v>K32-08</v>
      </c>
      <c r="CQ474" t="str">
        <f t="shared" si="482"/>
        <v>K32-02</v>
      </c>
      <c r="CR474" t="str">
        <f t="shared" si="483"/>
        <v>K32-09</v>
      </c>
      <c r="CS474" t="str">
        <f t="shared" si="484"/>
        <v>K32-05</v>
      </c>
      <c r="CT474" t="str">
        <f t="shared" si="485"/>
        <v>K32-11</v>
      </c>
      <c r="CU474" t="str">
        <f t="shared" si="486"/>
        <v>N1-M32-A9</v>
      </c>
      <c r="CV474" t="str">
        <f t="shared" si="487"/>
        <v>N1-M32-A7</v>
      </c>
      <c r="CW474" t="str">
        <f t="shared" si="488"/>
        <v>N1-M32-A8</v>
      </c>
      <c r="CX474" t="str">
        <f t="shared" si="489"/>
        <v>N1-M32-A6</v>
      </c>
      <c r="CY474" t="str">
        <f t="shared" si="490"/>
        <v>N1-M32-A30</v>
      </c>
      <c r="CZ474" t="str">
        <f t="shared" si="491"/>
        <v>N1-M32-N</v>
      </c>
      <c r="DA474" t="str">
        <f t="shared" si="562"/>
        <v>N1-A220-M32</v>
      </c>
      <c r="DB474" t="str">
        <f t="shared" si="493"/>
        <v>N1-M32-XM01</v>
      </c>
      <c r="DC474" t="str">
        <f t="shared" si="494"/>
        <v>N1-M32-A1</v>
      </c>
      <c r="DD474" t="str">
        <f t="shared" si="495"/>
        <v>N1-M32-A5</v>
      </c>
      <c r="DE474" t="str">
        <f t="shared" si="496"/>
        <v>N1-M32-A11</v>
      </c>
      <c r="DF474" t="str">
        <f t="shared" si="497"/>
        <v>N1-M32-A12</v>
      </c>
      <c r="DG474" t="str">
        <f t="shared" si="498"/>
        <v>N1-M32-A19</v>
      </c>
      <c r="DH474" t="str">
        <f t="shared" si="499"/>
        <v>N1-M32-A20</v>
      </c>
      <c r="DI474" t="s">
        <v>142</v>
      </c>
      <c r="DJ474" t="s">
        <v>143</v>
      </c>
      <c r="DK474">
        <v>11</v>
      </c>
      <c r="DL474">
        <v>14</v>
      </c>
      <c r="DM474">
        <v>12</v>
      </c>
      <c r="DN474" t="s">
        <v>144</v>
      </c>
      <c r="DO474" t="s">
        <v>145</v>
      </c>
      <c r="DP474">
        <v>1</v>
      </c>
      <c r="DQ474">
        <v>2</v>
      </c>
      <c r="DR474">
        <v>3</v>
      </c>
      <c r="DS474">
        <v>4</v>
      </c>
      <c r="DT474">
        <v>5</v>
      </c>
      <c r="DU474">
        <v>6</v>
      </c>
      <c r="DV474">
        <v>7</v>
      </c>
      <c r="DW474">
        <v>8</v>
      </c>
      <c r="DX474">
        <v>9</v>
      </c>
      <c r="DY474">
        <v>10</v>
      </c>
      <c r="DZ474">
        <v>11</v>
      </c>
      <c r="EA474">
        <v>12</v>
      </c>
      <c r="EB474">
        <v>13</v>
      </c>
      <c r="EC474">
        <v>14</v>
      </c>
      <c r="ED474">
        <v>1</v>
      </c>
      <c r="EE474">
        <v>3</v>
      </c>
      <c r="EF474">
        <v>4</v>
      </c>
      <c r="EG474">
        <v>7</v>
      </c>
      <c r="EH474">
        <v>8</v>
      </c>
      <c r="EI474">
        <v>9</v>
      </c>
      <c r="EJ474">
        <v>10</v>
      </c>
      <c r="EK474">
        <v>13</v>
      </c>
      <c r="EL474">
        <v>14</v>
      </c>
      <c r="EM474">
        <v>15</v>
      </c>
      <c r="EN474">
        <v>16</v>
      </c>
      <c r="EO474">
        <v>22</v>
      </c>
      <c r="EP474">
        <v>23</v>
      </c>
      <c r="EQ474" s="16">
        <v>24</v>
      </c>
      <c r="MA474" t="str">
        <f t="shared" si="410"/>
        <v>DI6-B7</v>
      </c>
    </row>
    <row r="475" spans="1:339" x14ac:dyDescent="0.25">
      <c r="A475" s="83" t="s">
        <v>2589</v>
      </c>
      <c r="B475" s="83" t="s">
        <v>2588</v>
      </c>
      <c r="C475" s="3"/>
      <c r="O475" s="2"/>
      <c r="P475" t="s">
        <v>129</v>
      </c>
      <c r="Q475" s="1"/>
      <c r="S475" s="1" t="s">
        <v>130</v>
      </c>
      <c r="T475" s="14" t="s">
        <v>2182</v>
      </c>
      <c r="U475" s="59">
        <v>33</v>
      </c>
      <c r="V475" s="15" t="s">
        <v>2573</v>
      </c>
      <c r="W475" s="15"/>
      <c r="AC475" t="str">
        <f t="shared" si="500"/>
        <v>A5.6</v>
      </c>
      <c r="AD475" s="43">
        <f t="array" ref="AD475">IF(COUNTIFS(AC$377:AC475,AC475)=1,"1",VALUE(SUBSTITUTE(INDEX(AD:AD,_xlfn.XMATCH(AC475,AC$1:AC474,0,-1)),"A",""))+INDEX(AE:AE,_xlfn.XMATCH(AC475,AC$1:AC474,0,-1))+1)</f>
        <v>13</v>
      </c>
      <c r="AE475" s="43">
        <f t="array" ref="AE475">SUM(IF(ISNUMBER(FIND("TmDi",$BE$1:$AAQ$1)),IF(IFERROR(ISNUMBER(VALUE(SUBSTITUTE($BE475:$AAQ475,"B",""))),FALSE),IF(ISNUMBER(VALUE(SUBSTITUTE($BE475:$AAQ475,"B",""))),1,0),0)))</f>
        <v>5</v>
      </c>
      <c r="AF475" t="str">
        <f t="shared" si="440"/>
        <v>C13</v>
      </c>
      <c r="AG475" t="str">
        <f t="shared" si="441"/>
        <v>B13</v>
      </c>
      <c r="AH475" t="str">
        <f t="shared" si="502"/>
        <v>A6.4</v>
      </c>
      <c r="AI475" s="69" t="str">
        <f t="array" ref="AI475">IF(COUNTIFS(AH$377:AH475,AH475)=1,"1",VALUE(SUBSTITUTE(INDEX(AI:AI,_xlfn.XMATCH(AH475,AH$1:AH474,0,-1)),"A",""))+INDEX(AJ:AJ,_xlfn.XMATCH(AH475,AH$1:AH474,0,-1))+1)</f>
        <v>1</v>
      </c>
      <c r="AJ475" s="62">
        <f t="array" ref="AJ475">SUM(IF(ISNUMBER(FIND("TmDo",$BE$1:$AAQ$1)),IF(IFERROR(ISNUMBER(VALUE(SUBSTITUTE($BE475:$AAQ475,"B",""))),FALSE),IF(ISNUMBER(VALUE(SUBSTITUTE($BE475:$AAQ475,"B",""))),1,0),0)))</f>
        <v>2</v>
      </c>
      <c r="AK475" t="str">
        <f t="shared" si="442"/>
        <v>1A</v>
      </c>
      <c r="AL475" t="str">
        <f t="shared" si="443"/>
        <v>1B</v>
      </c>
      <c r="AM475" t="s">
        <v>229</v>
      </c>
      <c r="AP475" t="s">
        <v>2184</v>
      </c>
      <c r="AQ475" t="s">
        <v>2508</v>
      </c>
      <c r="AT475" t="s">
        <v>139</v>
      </c>
      <c r="AU475" t="s">
        <v>140</v>
      </c>
      <c r="BD475" s="16"/>
      <c r="BE475" s="27" t="str">
        <f t="shared" si="533"/>
        <v>XT33</v>
      </c>
      <c r="BF475" t="str">
        <f t="shared" si="534"/>
        <v>C14</v>
      </c>
      <c r="BG475" t="str">
        <f t="shared" si="535"/>
        <v>B14</v>
      </c>
      <c r="BH475" t="str">
        <f t="shared" si="536"/>
        <v>C15</v>
      </c>
      <c r="BI475" t="str">
        <f t="shared" si="537"/>
        <v>B15</v>
      </c>
      <c r="BJ475" t="str">
        <f t="shared" si="538"/>
        <v>C16</v>
      </c>
      <c r="BK475" t="str">
        <f t="shared" si="539"/>
        <v>B16</v>
      </c>
      <c r="BL475" t="str">
        <f t="shared" si="540"/>
        <v>C17</v>
      </c>
      <c r="BM475" t="str">
        <f t="shared" si="541"/>
        <v>B17</v>
      </c>
      <c r="BN475" t="str">
        <f t="shared" si="542"/>
        <v>C18</v>
      </c>
      <c r="BO475" t="str">
        <f t="shared" si="543"/>
        <v>B18</v>
      </c>
      <c r="BP475" t="str">
        <f t="shared" si="455"/>
        <v>2A</v>
      </c>
      <c r="BQ475" t="str">
        <f t="shared" si="456"/>
        <v>2B</v>
      </c>
      <c r="BR475" t="str">
        <f t="shared" si="457"/>
        <v>3A</v>
      </c>
      <c r="BS475" t="str">
        <f t="shared" si="458"/>
        <v>3B</v>
      </c>
      <c r="BT475" t="str">
        <f t="shared" si="544"/>
        <v>DI6-C13</v>
      </c>
      <c r="BU475" t="str">
        <f t="shared" si="545"/>
        <v>DI6-B13</v>
      </c>
      <c r="BV475" t="str">
        <f t="shared" si="546"/>
        <v>DI6-C14</v>
      </c>
      <c r="BW475" t="str">
        <f t="shared" si="547"/>
        <v>DI6-B14</v>
      </c>
      <c r="BX475" t="str">
        <f t="shared" si="548"/>
        <v>DI6-C15</v>
      </c>
      <c r="BY475" t="str">
        <f t="shared" si="549"/>
        <v>DI6-B15</v>
      </c>
      <c r="BZ475" t="str">
        <f t="shared" si="550"/>
        <v>DI6-C16</v>
      </c>
      <c r="CA475" t="str">
        <f t="shared" si="551"/>
        <v>DI6-B16</v>
      </c>
      <c r="CB475" t="str">
        <f t="shared" si="552"/>
        <v>DI6-C17</v>
      </c>
      <c r="CC475" t="str">
        <f t="shared" si="553"/>
        <v>DI6-B17</v>
      </c>
      <c r="CD475" t="str">
        <f t="shared" si="554"/>
        <v>DI6-C18</v>
      </c>
      <c r="CE475" t="str">
        <f t="shared" si="555"/>
        <v>DI6-B18</v>
      </c>
      <c r="CF475" t="str">
        <f t="shared" si="556"/>
        <v>DO4-1A</v>
      </c>
      <c r="CG475" t="str">
        <f t="shared" si="557"/>
        <v>DO4-1B</v>
      </c>
      <c r="CH475" t="str">
        <f t="shared" si="558"/>
        <v>DO4-2A</v>
      </c>
      <c r="CI475" t="str">
        <f t="shared" si="559"/>
        <v>DO4-2B</v>
      </c>
      <c r="CJ475" t="str">
        <f t="shared" si="560"/>
        <v>DO4-3A</v>
      </c>
      <c r="CK475" t="str">
        <f t="shared" si="561"/>
        <v>DO4-3B</v>
      </c>
      <c r="CL475" t="str">
        <f t="shared" si="477"/>
        <v>K33-10</v>
      </c>
      <c r="CM475" t="str">
        <f t="shared" si="478"/>
        <v>K33-03</v>
      </c>
      <c r="CN475" t="str">
        <f t="shared" si="479"/>
        <v>K33-04</v>
      </c>
      <c r="CO475" t="str">
        <f t="shared" si="480"/>
        <v>K33-01</v>
      </c>
      <c r="CP475" t="str">
        <f t="shared" si="481"/>
        <v>K33-08</v>
      </c>
      <c r="CQ475" t="str">
        <f t="shared" si="482"/>
        <v>K33-02</v>
      </c>
      <c r="CR475" t="str">
        <f t="shared" si="483"/>
        <v>K33-09</v>
      </c>
      <c r="CS475" t="str">
        <f t="shared" si="484"/>
        <v>K33-05</v>
      </c>
      <c r="CT475" t="str">
        <f t="shared" si="485"/>
        <v>K33-11</v>
      </c>
      <c r="CU475" t="str">
        <f t="shared" si="486"/>
        <v>N1-M33-A9</v>
      </c>
      <c r="CV475" t="str">
        <f t="shared" si="487"/>
        <v>N1-M33-A7</v>
      </c>
      <c r="CW475" t="str">
        <f t="shared" si="488"/>
        <v>N1-M33-A8</v>
      </c>
      <c r="CX475" t="str">
        <f t="shared" si="489"/>
        <v>N1-M33-A6</v>
      </c>
      <c r="CY475" t="str">
        <f t="shared" si="490"/>
        <v>N1-M33-A30</v>
      </c>
      <c r="CZ475" t="str">
        <f t="shared" si="491"/>
        <v>N1-M33-N</v>
      </c>
      <c r="DA475" t="str">
        <f t="shared" si="562"/>
        <v>N1-A220-M33</v>
      </c>
      <c r="DB475" t="str">
        <f t="shared" si="493"/>
        <v>N1-M33-XM01</v>
      </c>
      <c r="DC475" t="str">
        <f t="shared" si="494"/>
        <v>N1-M33-A1</v>
      </c>
      <c r="DD475" t="str">
        <f t="shared" si="495"/>
        <v>N1-M33-A5</v>
      </c>
      <c r="DE475" t="str">
        <f t="shared" si="496"/>
        <v>N1-M33-A11</v>
      </c>
      <c r="DF475" t="str">
        <f t="shared" si="497"/>
        <v>N1-M33-A12</v>
      </c>
      <c r="DG475" t="str">
        <f t="shared" si="498"/>
        <v>N1-M33-A19</v>
      </c>
      <c r="DH475" t="str">
        <f t="shared" si="499"/>
        <v>N1-M33-A20</v>
      </c>
      <c r="DI475" t="s">
        <v>142</v>
      </c>
      <c r="DJ475" t="s">
        <v>143</v>
      </c>
      <c r="DK475">
        <v>11</v>
      </c>
      <c r="DL475">
        <v>14</v>
      </c>
      <c r="DM475">
        <v>12</v>
      </c>
      <c r="DN475" t="s">
        <v>144</v>
      </c>
      <c r="DO475" t="s">
        <v>145</v>
      </c>
      <c r="DP475">
        <v>1</v>
      </c>
      <c r="DQ475">
        <v>2</v>
      </c>
      <c r="DR475">
        <v>3</v>
      </c>
      <c r="DS475">
        <v>4</v>
      </c>
      <c r="DT475">
        <v>5</v>
      </c>
      <c r="DU475">
        <v>6</v>
      </c>
      <c r="DV475">
        <v>7</v>
      </c>
      <c r="DW475">
        <v>8</v>
      </c>
      <c r="DX475">
        <v>9</v>
      </c>
      <c r="DY475">
        <v>10</v>
      </c>
      <c r="DZ475">
        <v>11</v>
      </c>
      <c r="EA475">
        <v>12</v>
      </c>
      <c r="EB475">
        <v>13</v>
      </c>
      <c r="EC475">
        <v>14</v>
      </c>
      <c r="ED475">
        <v>1</v>
      </c>
      <c r="EE475">
        <v>3</v>
      </c>
      <c r="EF475">
        <v>4</v>
      </c>
      <c r="EG475">
        <v>7</v>
      </c>
      <c r="EH475">
        <v>8</v>
      </c>
      <c r="EI475">
        <v>9</v>
      </c>
      <c r="EJ475">
        <v>10</v>
      </c>
      <c r="EK475">
        <v>13</v>
      </c>
      <c r="EL475">
        <v>14</v>
      </c>
      <c r="EM475">
        <v>15</v>
      </c>
      <c r="EN475">
        <v>16</v>
      </c>
      <c r="EO475">
        <v>22</v>
      </c>
      <c r="EP475">
        <v>23</v>
      </c>
      <c r="EQ475" s="16">
        <v>24</v>
      </c>
      <c r="MA475" t="str">
        <f t="shared" si="410"/>
        <v>DI6-B13</v>
      </c>
    </row>
    <row r="476" spans="1:339" x14ac:dyDescent="0.25">
      <c r="A476" s="83" t="s">
        <v>2595</v>
      </c>
      <c r="B476" s="83" t="s">
        <v>2594</v>
      </c>
      <c r="C476" s="3"/>
      <c r="O476" s="2"/>
      <c r="P476" t="s">
        <v>129</v>
      </c>
      <c r="Q476" s="1"/>
      <c r="S476" s="1" t="s">
        <v>130</v>
      </c>
      <c r="T476" s="14" t="s">
        <v>2182</v>
      </c>
      <c r="U476" s="59">
        <v>34</v>
      </c>
      <c r="V476" s="15" t="s">
        <v>2590</v>
      </c>
      <c r="W476" s="15"/>
      <c r="AC476" t="str">
        <f t="shared" si="500"/>
        <v>A5.6</v>
      </c>
      <c r="AD476" s="43">
        <f t="array" ref="AD476">IF(COUNTIFS(AC$377:AC476,AC476)=1,"1",VALUE(SUBSTITUTE(INDEX(AD:AD,_xlfn.XMATCH(AC476,AC$1:AC475,0,-1)),"A",""))+INDEX(AE:AE,_xlfn.XMATCH(AC476,AC$1:AC475,0,-1))+1)</f>
        <v>19</v>
      </c>
      <c r="AE476" s="43">
        <f t="array" ref="AE476">SUM(IF(ISNUMBER(FIND("TmDi",$BE$1:$AAQ$1)),IF(IFERROR(ISNUMBER(VALUE(SUBSTITUTE($BE476:$AAQ476,"B",""))),FALSE),IF(ISNUMBER(VALUE(SUBSTITUTE($BE476:$AAQ476,"B",""))),1,0),0)))</f>
        <v>5</v>
      </c>
      <c r="AF476" t="str">
        <f t="shared" si="440"/>
        <v>C19</v>
      </c>
      <c r="AG476" t="str">
        <f t="shared" si="441"/>
        <v>B19</v>
      </c>
      <c r="AH476" t="str">
        <f t="shared" si="502"/>
        <v>A6.4</v>
      </c>
      <c r="AI476" s="69">
        <f t="array" ref="AI476">IF(COUNTIFS(AH$377:AH476,AH476)=1,"1",VALUE(SUBSTITUTE(INDEX(AI:AI,_xlfn.XMATCH(AH476,AH$1:AH475,0,-1)),"A",""))+INDEX(AJ:AJ,_xlfn.XMATCH(AH476,AH$1:AH475,0,-1))+1)</f>
        <v>4</v>
      </c>
      <c r="AJ476" s="62">
        <f t="array" ref="AJ476">SUM(IF(ISNUMBER(FIND("TmDo",$BE$1:$AAQ$1)),IF(IFERROR(ISNUMBER(VALUE(SUBSTITUTE($BE476:$AAQ476,"B",""))),FALSE),IF(ISNUMBER(VALUE(SUBSTITUTE($BE476:$AAQ476,"B",""))),1,0),0)))</f>
        <v>2</v>
      </c>
      <c r="AK476" t="str">
        <f t="shared" si="442"/>
        <v>4A</v>
      </c>
      <c r="AL476" t="str">
        <f t="shared" si="443"/>
        <v>4B</v>
      </c>
      <c r="AM476" t="s">
        <v>232</v>
      </c>
      <c r="AP476" t="s">
        <v>2184</v>
      </c>
      <c r="AQ476" t="s">
        <v>2508</v>
      </c>
      <c r="AT476" t="s">
        <v>139</v>
      </c>
      <c r="AU476" t="s">
        <v>140</v>
      </c>
      <c r="BD476" s="16"/>
      <c r="BE476" s="27" t="str">
        <f t="shared" ref="BE476:BE487" si="563">CONCATENATE("XT",U476)</f>
        <v>XT34</v>
      </c>
      <c r="BF476" t="str">
        <f t="shared" ref="BF476:BF487" si="564">CONCATENATE("C",REPLACE(AF476,1,1,"")+1)</f>
        <v>C20</v>
      </c>
      <c r="BG476" t="str">
        <f t="shared" ref="BG476:BG487" si="565">CONCATENATE("B",REPLACE(AG476,1,1,"")+1)</f>
        <v>B20</v>
      </c>
      <c r="BH476" t="str">
        <f t="shared" ref="BH476:BH487" si="566">CONCATENATE("C",REPLACE(BF476,1,1,"")+1)</f>
        <v>C21</v>
      </c>
      <c r="BI476" t="str">
        <f t="shared" ref="BI476:BI487" si="567">CONCATENATE("B",REPLACE(BG476,1,1,"")+1)</f>
        <v>B21</v>
      </c>
      <c r="BJ476" t="str">
        <f t="shared" ref="BJ476:BJ487" si="568">CONCATENATE("C",REPLACE(BH476,1,1,"")+1)</f>
        <v>C22</v>
      </c>
      <c r="BK476" t="str">
        <f t="shared" ref="BK476:BK487" si="569">CONCATENATE("B",REPLACE(BI476,1,1,"")+1)</f>
        <v>B22</v>
      </c>
      <c r="BL476" t="str">
        <f t="shared" ref="BL476:BL487" si="570">CONCATENATE("C",REPLACE(BJ476,1,1,"")+1)</f>
        <v>C23</v>
      </c>
      <c r="BM476" t="str">
        <f t="shared" ref="BM476:BM487" si="571">CONCATENATE("B",REPLACE(BK476,1,1,"")+1)</f>
        <v>B23</v>
      </c>
      <c r="BN476" t="str">
        <f t="shared" ref="BN476:BN487" si="572">CONCATENATE("C",REPLACE(BL476,1,1,"")+1)</f>
        <v>C24</v>
      </c>
      <c r="BO476" t="str">
        <f t="shared" ref="BO476:BO487" si="573">CONCATENATE("B",REPLACE(BM476,1,1,"")+1)</f>
        <v>B24</v>
      </c>
      <c r="BP476" t="str">
        <f t="shared" si="455"/>
        <v>5A</v>
      </c>
      <c r="BQ476" t="str">
        <f t="shared" si="456"/>
        <v>5B</v>
      </c>
      <c r="BR476" t="str">
        <f t="shared" si="457"/>
        <v>6A</v>
      </c>
      <c r="BS476" t="str">
        <f t="shared" si="458"/>
        <v>6B</v>
      </c>
      <c r="BT476" t="str">
        <f t="shared" ref="BT476:BT487" si="574">CONCATENATE("DI",REPLACE($AC476,1,3,""),"-",AF476)</f>
        <v>DI6-C19</v>
      </c>
      <c r="BU476" t="str">
        <f t="shared" ref="BU476:BU487" si="575">CONCATENATE("DI",REPLACE($AC476,1,3,""),"-",AG476)</f>
        <v>DI6-B19</v>
      </c>
      <c r="BV476" t="str">
        <f t="shared" ref="BV476:BV487" si="576">CONCATENATE("DI",REPLACE($AC476,1,3,""),"-",BF476)</f>
        <v>DI6-C20</v>
      </c>
      <c r="BW476" t="str">
        <f t="shared" ref="BW476:BW487" si="577">CONCATENATE("DI",REPLACE($AC476,1,3,""),"-",BG476)</f>
        <v>DI6-B20</v>
      </c>
      <c r="BX476" t="str">
        <f t="shared" ref="BX476:BX487" si="578">CONCATENATE("DI",REPLACE($AC476,1,3,""),"-",BH476)</f>
        <v>DI6-C21</v>
      </c>
      <c r="BY476" t="str">
        <f t="shared" ref="BY476:BY487" si="579">CONCATENATE("DI",REPLACE($AC476,1,3,""),"-",BI476)</f>
        <v>DI6-B21</v>
      </c>
      <c r="BZ476" t="str">
        <f t="shared" ref="BZ476:BZ487" si="580">CONCATENATE("DI",REPLACE($AC476,1,3,""),"-",BJ476)</f>
        <v>DI6-C22</v>
      </c>
      <c r="CA476" t="str">
        <f t="shared" ref="CA476:CA487" si="581">CONCATENATE("DI",REPLACE($AC476,1,3,""),"-",BK476)</f>
        <v>DI6-B22</v>
      </c>
      <c r="CB476" t="str">
        <f t="shared" ref="CB476:CB487" si="582">CONCATENATE("DI",REPLACE($AC476,1,3,""),"-",BL476)</f>
        <v>DI6-C23</v>
      </c>
      <c r="CC476" t="str">
        <f t="shared" ref="CC476:CC487" si="583">CONCATENATE("DI",REPLACE($AC476,1,3,""),"-",BM476)</f>
        <v>DI6-B23</v>
      </c>
      <c r="CD476" t="str">
        <f t="shared" ref="CD476:CD487" si="584">CONCATENATE("DI",REPLACE($AC476,1,3,""),"-",BN476)</f>
        <v>DI6-C24</v>
      </c>
      <c r="CE476" t="str">
        <f t="shared" ref="CE476:CE487" si="585">CONCATENATE("DI",REPLACE($AC476,1,3,""),"-",BO476)</f>
        <v>DI6-B24</v>
      </c>
      <c r="CF476" t="str">
        <f t="shared" ref="CF476:CF487" si="586">CONCATENATE("DO",REPLACE($AH476,1,3,""),"-",AK476)</f>
        <v>DO4-4A</v>
      </c>
      <c r="CG476" t="str">
        <f t="shared" ref="CG476:CG487" si="587">CONCATENATE("DO",REPLACE($AH476,1,3,""),"-",AL476)</f>
        <v>DO4-4B</v>
      </c>
      <c r="CH476" t="str">
        <f t="shared" ref="CH476:CH487" si="588">CONCATENATE("DO",REPLACE($AH476,1,3,""),"-",BP476)</f>
        <v>DO4-5A</v>
      </c>
      <c r="CI476" t="str">
        <f t="shared" ref="CI476:CI487" si="589">CONCATENATE("DO",REPLACE($AH476,1,3,""),"-",BQ476)</f>
        <v>DO4-5B</v>
      </c>
      <c r="CJ476" t="str">
        <f t="shared" ref="CJ476:CJ487" si="590">CONCATENATE("DO",REPLACE($AH476,1,3,""),"-",BR476)</f>
        <v>DO4-6A</v>
      </c>
      <c r="CK476" t="str">
        <f t="shared" ref="CK476:CK487" si="591">CONCATENATE("DO",REPLACE($AH476,1,3,""),"-",BS476)</f>
        <v>DO4-6B</v>
      </c>
      <c r="CL476" t="str">
        <f t="shared" si="477"/>
        <v>K34-10</v>
      </c>
      <c r="CM476" t="str">
        <f t="shared" si="478"/>
        <v>K34-03</v>
      </c>
      <c r="CN476" t="str">
        <f t="shared" si="479"/>
        <v>K34-04</v>
      </c>
      <c r="CO476" t="str">
        <f t="shared" si="480"/>
        <v>K34-01</v>
      </c>
      <c r="CP476" t="str">
        <f t="shared" si="481"/>
        <v>K34-08</v>
      </c>
      <c r="CQ476" t="str">
        <f t="shared" si="482"/>
        <v>K34-02</v>
      </c>
      <c r="CR476" t="str">
        <f t="shared" si="483"/>
        <v>K34-09</v>
      </c>
      <c r="CS476" t="str">
        <f t="shared" si="484"/>
        <v>K34-05</v>
      </c>
      <c r="CT476" t="str">
        <f t="shared" si="485"/>
        <v>K34-11</v>
      </c>
      <c r="CU476" t="str">
        <f t="shared" si="486"/>
        <v>N1-M34-A9</v>
      </c>
      <c r="CV476" t="str">
        <f t="shared" si="487"/>
        <v>N1-M34-A7</v>
      </c>
      <c r="CW476" t="str">
        <f t="shared" si="488"/>
        <v>N1-M34-A8</v>
      </c>
      <c r="CX476" t="str">
        <f t="shared" si="489"/>
        <v>N1-M34-A6</v>
      </c>
      <c r="CY476" t="str">
        <f t="shared" si="490"/>
        <v>N1-M34-A30</v>
      </c>
      <c r="CZ476" t="str">
        <f t="shared" si="491"/>
        <v>N1-M34-N</v>
      </c>
      <c r="DA476" t="str">
        <f t="shared" ref="DA476:DA487" si="592">CONCATENATE($T476,"-A220-M",U476)</f>
        <v>N1-A220-M34</v>
      </c>
      <c r="DB476" t="str">
        <f t="shared" si="493"/>
        <v>N1-M34-XM01</v>
      </c>
      <c r="DC476" t="str">
        <f t="shared" si="494"/>
        <v>N1-M34-A1</v>
      </c>
      <c r="DD476" t="str">
        <f t="shared" si="495"/>
        <v>N1-M34-A5</v>
      </c>
      <c r="DE476" t="str">
        <f t="shared" si="496"/>
        <v>N1-M34-A11</v>
      </c>
      <c r="DF476" t="str">
        <f t="shared" si="497"/>
        <v>N1-M34-A12</v>
      </c>
      <c r="DG476" t="str">
        <f t="shared" si="498"/>
        <v>N1-M34-A19</v>
      </c>
      <c r="DH476" t="str">
        <f t="shared" si="499"/>
        <v>N1-M34-A20</v>
      </c>
      <c r="DI476" t="s">
        <v>142</v>
      </c>
      <c r="DJ476" t="s">
        <v>143</v>
      </c>
      <c r="DK476">
        <v>11</v>
      </c>
      <c r="DL476">
        <v>14</v>
      </c>
      <c r="DM476">
        <v>12</v>
      </c>
      <c r="DN476" t="s">
        <v>144</v>
      </c>
      <c r="DO476" t="s">
        <v>145</v>
      </c>
      <c r="DP476">
        <v>1</v>
      </c>
      <c r="DQ476">
        <v>2</v>
      </c>
      <c r="DR476">
        <v>3</v>
      </c>
      <c r="DS476">
        <v>4</v>
      </c>
      <c r="DT476">
        <v>5</v>
      </c>
      <c r="DU476">
        <v>6</v>
      </c>
      <c r="DV476">
        <v>7</v>
      </c>
      <c r="DW476">
        <v>8</v>
      </c>
      <c r="DX476">
        <v>9</v>
      </c>
      <c r="DY476">
        <v>10</v>
      </c>
      <c r="DZ476">
        <v>11</v>
      </c>
      <c r="EA476">
        <v>12</v>
      </c>
      <c r="EB476">
        <v>13</v>
      </c>
      <c r="EC476">
        <v>14</v>
      </c>
      <c r="ED476">
        <v>1</v>
      </c>
      <c r="EE476">
        <v>3</v>
      </c>
      <c r="EF476">
        <v>4</v>
      </c>
      <c r="EG476">
        <v>7</v>
      </c>
      <c r="EH476">
        <v>8</v>
      </c>
      <c r="EI476">
        <v>9</v>
      </c>
      <c r="EJ476">
        <v>10</v>
      </c>
      <c r="EK476">
        <v>13</v>
      </c>
      <c r="EL476">
        <v>14</v>
      </c>
      <c r="EM476">
        <v>15</v>
      </c>
      <c r="EN476">
        <v>16</v>
      </c>
      <c r="EO476">
        <v>22</v>
      </c>
      <c r="EP476">
        <v>23</v>
      </c>
      <c r="EQ476" s="16">
        <v>24</v>
      </c>
      <c r="MA476" t="str">
        <f t="shared" si="410"/>
        <v>DI6-B19</v>
      </c>
    </row>
    <row r="477" spans="1:339" x14ac:dyDescent="0.25">
      <c r="A477" s="83" t="s">
        <v>2597</v>
      </c>
      <c r="B477" s="83" t="s">
        <v>2596</v>
      </c>
      <c r="C477" s="3"/>
      <c r="O477" s="2"/>
      <c r="P477" t="s">
        <v>129</v>
      </c>
      <c r="Q477" s="1"/>
      <c r="S477" s="1" t="s">
        <v>130</v>
      </c>
      <c r="T477" s="14" t="s">
        <v>2182</v>
      </c>
      <c r="U477" s="59">
        <v>35</v>
      </c>
      <c r="V477" s="15" t="s">
        <v>2591</v>
      </c>
      <c r="W477" s="15"/>
      <c r="AC477" t="str">
        <f t="shared" si="500"/>
        <v>A5.6</v>
      </c>
      <c r="AD477" s="43">
        <f t="array" ref="AD477">IF(COUNTIFS(AC$377:AC477,AC477)=1,"1",VALUE(SUBSTITUTE(INDEX(AD:AD,_xlfn.XMATCH(AC477,AC$1:AC476,0,-1)),"A",""))+INDEX(AE:AE,_xlfn.XMATCH(AC477,AC$1:AC476,0,-1))+1)</f>
        <v>25</v>
      </c>
      <c r="AE477" s="43">
        <f t="array" ref="AE477">SUM(IF(ISNUMBER(FIND("TmDi",$BE$1:$AAQ$1)),IF(IFERROR(ISNUMBER(VALUE(SUBSTITUTE($BE477:$AAQ477,"B",""))),FALSE),IF(ISNUMBER(VALUE(SUBSTITUTE($BE477:$AAQ477,"B",""))),1,0),0)))</f>
        <v>5</v>
      </c>
      <c r="AF477" t="str">
        <f t="shared" si="440"/>
        <v>C25</v>
      </c>
      <c r="AG477" t="str">
        <f t="shared" si="441"/>
        <v>B25</v>
      </c>
      <c r="AH477" t="str">
        <f t="shared" si="502"/>
        <v>A6.4</v>
      </c>
      <c r="AI477" s="69">
        <f t="array" ref="AI477">IF(COUNTIFS(AH$377:AH477,AH477)=1,"1",VALUE(SUBSTITUTE(INDEX(AI:AI,_xlfn.XMATCH(AH477,AH$1:AH476,0,-1)),"A",""))+INDEX(AJ:AJ,_xlfn.XMATCH(AH477,AH$1:AH476,0,-1))+1)</f>
        <v>7</v>
      </c>
      <c r="AJ477" s="62">
        <f t="array" ref="AJ477">SUM(IF(ISNUMBER(FIND("TmDo",$BE$1:$AAQ$1)),IF(IFERROR(ISNUMBER(VALUE(SUBSTITUTE($BE477:$AAQ477,"B",""))),FALSE),IF(ISNUMBER(VALUE(SUBSTITUTE($BE477:$AAQ477,"B",""))),1,0),0)))</f>
        <v>2</v>
      </c>
      <c r="AK477" t="str">
        <f t="shared" si="442"/>
        <v>7A</v>
      </c>
      <c r="AL477" t="str">
        <f t="shared" si="443"/>
        <v>7B</v>
      </c>
      <c r="AM477" t="s">
        <v>235</v>
      </c>
      <c r="AP477" t="s">
        <v>2184</v>
      </c>
      <c r="AQ477" t="s">
        <v>2508</v>
      </c>
      <c r="AT477" t="s">
        <v>139</v>
      </c>
      <c r="AU477" t="s">
        <v>140</v>
      </c>
      <c r="BD477" s="16"/>
      <c r="BE477" s="27" t="str">
        <f t="shared" si="563"/>
        <v>XT35</v>
      </c>
      <c r="BF477" t="str">
        <f t="shared" si="564"/>
        <v>C26</v>
      </c>
      <c r="BG477" t="str">
        <f t="shared" si="565"/>
        <v>B26</v>
      </c>
      <c r="BH477" t="str">
        <f t="shared" si="566"/>
        <v>C27</v>
      </c>
      <c r="BI477" t="str">
        <f t="shared" si="567"/>
        <v>B27</v>
      </c>
      <c r="BJ477" t="str">
        <f t="shared" si="568"/>
        <v>C28</v>
      </c>
      <c r="BK477" t="str">
        <f t="shared" si="569"/>
        <v>B28</v>
      </c>
      <c r="BL477" t="str">
        <f t="shared" si="570"/>
        <v>C29</v>
      </c>
      <c r="BM477" t="str">
        <f t="shared" si="571"/>
        <v>B29</v>
      </c>
      <c r="BN477" t="str">
        <f t="shared" si="572"/>
        <v>C30</v>
      </c>
      <c r="BO477" t="str">
        <f t="shared" si="573"/>
        <v>B30</v>
      </c>
      <c r="BP477" t="str">
        <f t="shared" si="455"/>
        <v>8A</v>
      </c>
      <c r="BQ477" t="str">
        <f t="shared" si="456"/>
        <v>8B</v>
      </c>
      <c r="BR477" t="str">
        <f t="shared" si="457"/>
        <v>9A</v>
      </c>
      <c r="BS477" t="str">
        <f t="shared" si="458"/>
        <v>9B</v>
      </c>
      <c r="BT477" t="str">
        <f t="shared" si="574"/>
        <v>DI6-C25</v>
      </c>
      <c r="BU477" t="str">
        <f t="shared" si="575"/>
        <v>DI6-B25</v>
      </c>
      <c r="BV477" t="str">
        <f t="shared" si="576"/>
        <v>DI6-C26</v>
      </c>
      <c r="BW477" t="str">
        <f t="shared" si="577"/>
        <v>DI6-B26</v>
      </c>
      <c r="BX477" t="str">
        <f t="shared" si="578"/>
        <v>DI6-C27</v>
      </c>
      <c r="BY477" t="str">
        <f t="shared" si="579"/>
        <v>DI6-B27</v>
      </c>
      <c r="BZ477" t="str">
        <f t="shared" si="580"/>
        <v>DI6-C28</v>
      </c>
      <c r="CA477" t="str">
        <f t="shared" si="581"/>
        <v>DI6-B28</v>
      </c>
      <c r="CB477" t="str">
        <f t="shared" si="582"/>
        <v>DI6-C29</v>
      </c>
      <c r="CC477" t="str">
        <f t="shared" si="583"/>
        <v>DI6-B29</v>
      </c>
      <c r="CD477" t="str">
        <f t="shared" si="584"/>
        <v>DI6-C30</v>
      </c>
      <c r="CE477" t="str">
        <f t="shared" si="585"/>
        <v>DI6-B30</v>
      </c>
      <c r="CF477" t="str">
        <f t="shared" si="586"/>
        <v>DO4-7A</v>
      </c>
      <c r="CG477" t="str">
        <f t="shared" si="587"/>
        <v>DO4-7B</v>
      </c>
      <c r="CH477" t="str">
        <f t="shared" si="588"/>
        <v>DO4-8A</v>
      </c>
      <c r="CI477" t="str">
        <f t="shared" si="589"/>
        <v>DO4-8B</v>
      </c>
      <c r="CJ477" t="str">
        <f t="shared" si="590"/>
        <v>DO4-9A</v>
      </c>
      <c r="CK477" t="str">
        <f t="shared" si="591"/>
        <v>DO4-9B</v>
      </c>
      <c r="CL477" t="str">
        <f t="shared" si="477"/>
        <v>K35-10</v>
      </c>
      <c r="CM477" t="str">
        <f t="shared" si="478"/>
        <v>K35-03</v>
      </c>
      <c r="CN477" t="str">
        <f t="shared" si="479"/>
        <v>K35-04</v>
      </c>
      <c r="CO477" t="str">
        <f t="shared" si="480"/>
        <v>K35-01</v>
      </c>
      <c r="CP477" t="str">
        <f t="shared" si="481"/>
        <v>K35-08</v>
      </c>
      <c r="CQ477" t="str">
        <f t="shared" si="482"/>
        <v>K35-02</v>
      </c>
      <c r="CR477" t="str">
        <f t="shared" si="483"/>
        <v>K35-09</v>
      </c>
      <c r="CS477" t="str">
        <f t="shared" si="484"/>
        <v>K35-05</v>
      </c>
      <c r="CT477" t="str">
        <f t="shared" si="485"/>
        <v>K35-11</v>
      </c>
      <c r="CU477" t="str">
        <f t="shared" si="486"/>
        <v>N1-M35-A9</v>
      </c>
      <c r="CV477" t="str">
        <f t="shared" si="487"/>
        <v>N1-M35-A7</v>
      </c>
      <c r="CW477" t="str">
        <f t="shared" si="488"/>
        <v>N1-M35-A8</v>
      </c>
      <c r="CX477" t="str">
        <f t="shared" si="489"/>
        <v>N1-M35-A6</v>
      </c>
      <c r="CY477" t="str">
        <f t="shared" si="490"/>
        <v>N1-M35-A30</v>
      </c>
      <c r="CZ477" t="str">
        <f t="shared" si="491"/>
        <v>N1-M35-N</v>
      </c>
      <c r="DA477" t="str">
        <f t="shared" si="592"/>
        <v>N1-A220-M35</v>
      </c>
      <c r="DB477" t="str">
        <f t="shared" si="493"/>
        <v>N1-M35-XM01</v>
      </c>
      <c r="DC477" t="str">
        <f t="shared" si="494"/>
        <v>N1-M35-A1</v>
      </c>
      <c r="DD477" t="str">
        <f t="shared" si="495"/>
        <v>N1-M35-A5</v>
      </c>
      <c r="DE477" t="str">
        <f t="shared" si="496"/>
        <v>N1-M35-A11</v>
      </c>
      <c r="DF477" t="str">
        <f t="shared" si="497"/>
        <v>N1-M35-A12</v>
      </c>
      <c r="DG477" t="str">
        <f t="shared" si="498"/>
        <v>N1-M35-A19</v>
      </c>
      <c r="DH477" t="str">
        <f t="shared" si="499"/>
        <v>N1-M35-A20</v>
      </c>
      <c r="DI477" t="s">
        <v>142</v>
      </c>
      <c r="DJ477" t="s">
        <v>143</v>
      </c>
      <c r="DK477">
        <v>11</v>
      </c>
      <c r="DL477">
        <v>14</v>
      </c>
      <c r="DM477">
        <v>12</v>
      </c>
      <c r="DN477" t="s">
        <v>144</v>
      </c>
      <c r="DO477" t="s">
        <v>145</v>
      </c>
      <c r="DP477">
        <v>1</v>
      </c>
      <c r="DQ477">
        <v>2</v>
      </c>
      <c r="DR477">
        <v>3</v>
      </c>
      <c r="DS477">
        <v>4</v>
      </c>
      <c r="DT477">
        <v>5</v>
      </c>
      <c r="DU477">
        <v>6</v>
      </c>
      <c r="DV477">
        <v>7</v>
      </c>
      <c r="DW477">
        <v>8</v>
      </c>
      <c r="DX477">
        <v>9</v>
      </c>
      <c r="DY477">
        <v>10</v>
      </c>
      <c r="DZ477">
        <v>11</v>
      </c>
      <c r="EA477">
        <v>12</v>
      </c>
      <c r="EB477">
        <v>13</v>
      </c>
      <c r="EC477">
        <v>14</v>
      </c>
      <c r="ED477">
        <v>1</v>
      </c>
      <c r="EE477">
        <v>3</v>
      </c>
      <c r="EF477">
        <v>4</v>
      </c>
      <c r="EG477">
        <v>7</v>
      </c>
      <c r="EH477">
        <v>8</v>
      </c>
      <c r="EI477">
        <v>9</v>
      </c>
      <c r="EJ477">
        <v>10</v>
      </c>
      <c r="EK477">
        <v>13</v>
      </c>
      <c r="EL477">
        <v>14</v>
      </c>
      <c r="EM477">
        <v>15</v>
      </c>
      <c r="EN477">
        <v>16</v>
      </c>
      <c r="EO477">
        <v>22</v>
      </c>
      <c r="EP477">
        <v>23</v>
      </c>
      <c r="EQ477" s="16">
        <v>24</v>
      </c>
      <c r="MA477" t="str">
        <f t="shared" si="410"/>
        <v>DI6-B25</v>
      </c>
    </row>
    <row r="478" spans="1:339" x14ac:dyDescent="0.25">
      <c r="A478" s="83" t="s">
        <v>2599</v>
      </c>
      <c r="B478" s="83" t="s">
        <v>2598</v>
      </c>
      <c r="C478" s="3"/>
      <c r="O478" s="2"/>
      <c r="P478" t="s">
        <v>129</v>
      </c>
      <c r="Q478" s="1"/>
      <c r="S478" s="1" t="s">
        <v>130</v>
      </c>
      <c r="T478" s="14" t="s">
        <v>2182</v>
      </c>
      <c r="U478" s="59">
        <v>36</v>
      </c>
      <c r="V478" s="15" t="s">
        <v>2592</v>
      </c>
      <c r="W478" s="15"/>
      <c r="AC478" t="str">
        <f t="shared" si="500"/>
        <v>A5.7</v>
      </c>
      <c r="AD478" s="43" t="str">
        <f t="array" ref="AD478">IF(COUNTIFS(AC$377:AC478,AC478)=1,"1",VALUE(SUBSTITUTE(INDEX(AD:AD,_xlfn.XMATCH(AC478,AC$1:AC477,0,-1)),"A",""))+INDEX(AE:AE,_xlfn.XMATCH(AC478,AC$1:AC477,0,-1))+1)</f>
        <v>1</v>
      </c>
      <c r="AE478" s="43">
        <f t="array" ref="AE478">SUM(IF(ISNUMBER(FIND("TmDi",$BE$1:$AAQ$1)),IF(IFERROR(ISNUMBER(VALUE(SUBSTITUTE($BE478:$AAQ478,"B",""))),FALSE),IF(ISNUMBER(VALUE(SUBSTITUTE($BE478:$AAQ478,"B",""))),1,0),0)))</f>
        <v>5</v>
      </c>
      <c r="AF478" t="str">
        <f t="shared" si="440"/>
        <v>C1</v>
      </c>
      <c r="AG478" t="str">
        <f t="shared" si="441"/>
        <v>B1</v>
      </c>
      <c r="AH478" t="str">
        <f t="shared" si="502"/>
        <v>A6.4</v>
      </c>
      <c r="AI478" s="69">
        <f t="array" ref="AI478">IF(COUNTIFS(AH$377:AH478,AH478)=1,"1",VALUE(SUBSTITUTE(INDEX(AI:AI,_xlfn.XMATCH(AH478,AH$1:AH477,0,-1)),"A",""))+INDEX(AJ:AJ,_xlfn.XMATCH(AH478,AH$1:AH477,0,-1))+1)</f>
        <v>10</v>
      </c>
      <c r="AJ478" s="62">
        <f t="array" ref="AJ478">SUM(IF(ISNUMBER(FIND("TmDo",$BE$1:$AAQ$1)),IF(IFERROR(ISNUMBER(VALUE(SUBSTITUTE($BE478:$AAQ478,"B",""))),FALSE),IF(ISNUMBER(VALUE(SUBSTITUTE($BE478:$AAQ478,"B",""))),1,0),0)))</f>
        <v>2</v>
      </c>
      <c r="AK478" t="str">
        <f t="shared" si="442"/>
        <v>10A</v>
      </c>
      <c r="AL478" t="str">
        <f t="shared" si="443"/>
        <v>10B</v>
      </c>
      <c r="AM478" t="s">
        <v>2593</v>
      </c>
      <c r="AP478" t="s">
        <v>2184</v>
      </c>
      <c r="AQ478" t="s">
        <v>2508</v>
      </c>
      <c r="AT478" t="s">
        <v>139</v>
      </c>
      <c r="AU478" t="s">
        <v>140</v>
      </c>
      <c r="BD478" s="16"/>
      <c r="BE478" s="27" t="str">
        <f t="shared" si="563"/>
        <v>XT36</v>
      </c>
      <c r="BF478" t="str">
        <f t="shared" si="564"/>
        <v>C2</v>
      </c>
      <c r="BG478" t="str">
        <f t="shared" si="565"/>
        <v>B2</v>
      </c>
      <c r="BH478" t="str">
        <f t="shared" si="566"/>
        <v>C3</v>
      </c>
      <c r="BI478" t="str">
        <f t="shared" si="567"/>
        <v>B3</v>
      </c>
      <c r="BJ478" t="str">
        <f t="shared" si="568"/>
        <v>C4</v>
      </c>
      <c r="BK478" t="str">
        <f t="shared" si="569"/>
        <v>B4</v>
      </c>
      <c r="BL478" t="str">
        <f t="shared" si="570"/>
        <v>C5</v>
      </c>
      <c r="BM478" t="str">
        <f t="shared" si="571"/>
        <v>B5</v>
      </c>
      <c r="BN478" t="str">
        <f t="shared" si="572"/>
        <v>C6</v>
      </c>
      <c r="BO478" t="str">
        <f t="shared" si="573"/>
        <v>B6</v>
      </c>
      <c r="BP478" t="str">
        <f t="shared" si="455"/>
        <v>11A</v>
      </c>
      <c r="BQ478" t="str">
        <f t="shared" si="456"/>
        <v>11B</v>
      </c>
      <c r="BR478" t="str">
        <f t="shared" si="457"/>
        <v>12A</v>
      </c>
      <c r="BS478" t="str">
        <f t="shared" si="458"/>
        <v>12B</v>
      </c>
      <c r="BT478" t="str">
        <f t="shared" si="574"/>
        <v>DI7-C1</v>
      </c>
      <c r="BU478" t="str">
        <f t="shared" si="575"/>
        <v>DI7-B1</v>
      </c>
      <c r="BV478" t="str">
        <f t="shared" si="576"/>
        <v>DI7-C2</v>
      </c>
      <c r="BW478" t="str">
        <f t="shared" si="577"/>
        <v>DI7-B2</v>
      </c>
      <c r="BX478" t="str">
        <f t="shared" si="578"/>
        <v>DI7-C3</v>
      </c>
      <c r="BY478" t="str">
        <f t="shared" si="579"/>
        <v>DI7-B3</v>
      </c>
      <c r="BZ478" t="str">
        <f t="shared" si="580"/>
        <v>DI7-C4</v>
      </c>
      <c r="CA478" t="str">
        <f t="shared" si="581"/>
        <v>DI7-B4</v>
      </c>
      <c r="CB478" t="str">
        <f t="shared" si="582"/>
        <v>DI7-C5</v>
      </c>
      <c r="CC478" t="str">
        <f t="shared" si="583"/>
        <v>DI7-B5</v>
      </c>
      <c r="CD478" t="str">
        <f t="shared" si="584"/>
        <v>DI7-C6</v>
      </c>
      <c r="CE478" t="str">
        <f t="shared" si="585"/>
        <v>DI7-B6</v>
      </c>
      <c r="CF478" t="str">
        <f t="shared" si="586"/>
        <v>DO4-10A</v>
      </c>
      <c r="CG478" t="str">
        <f t="shared" si="587"/>
        <v>DO4-10B</v>
      </c>
      <c r="CH478" t="str">
        <f t="shared" si="588"/>
        <v>DO4-11A</v>
      </c>
      <c r="CI478" t="str">
        <f t="shared" si="589"/>
        <v>DO4-11B</v>
      </c>
      <c r="CJ478" t="str">
        <f t="shared" si="590"/>
        <v>DO4-12A</v>
      </c>
      <c r="CK478" t="str">
        <f t="shared" si="591"/>
        <v>DO4-12B</v>
      </c>
      <c r="CL478" t="str">
        <f t="shared" si="477"/>
        <v>K36-10</v>
      </c>
      <c r="CM478" t="str">
        <f t="shared" si="478"/>
        <v>K36-03</v>
      </c>
      <c r="CN478" t="str">
        <f t="shared" si="479"/>
        <v>K36-04</v>
      </c>
      <c r="CO478" t="str">
        <f t="shared" si="480"/>
        <v>K36-01</v>
      </c>
      <c r="CP478" t="str">
        <f t="shared" si="481"/>
        <v>K36-08</v>
      </c>
      <c r="CQ478" t="str">
        <f t="shared" si="482"/>
        <v>K36-02</v>
      </c>
      <c r="CR478" t="str">
        <f t="shared" si="483"/>
        <v>K36-09</v>
      </c>
      <c r="CS478" t="str">
        <f t="shared" si="484"/>
        <v>K36-05</v>
      </c>
      <c r="CT478" t="str">
        <f t="shared" si="485"/>
        <v>K36-11</v>
      </c>
      <c r="CU478" t="str">
        <f t="shared" si="486"/>
        <v>N1-M36-A9</v>
      </c>
      <c r="CV478" t="str">
        <f t="shared" si="487"/>
        <v>N1-M36-A7</v>
      </c>
      <c r="CW478" t="str">
        <f t="shared" si="488"/>
        <v>N1-M36-A8</v>
      </c>
      <c r="CX478" t="str">
        <f t="shared" si="489"/>
        <v>N1-M36-A6</v>
      </c>
      <c r="CY478" t="str">
        <f t="shared" si="490"/>
        <v>N1-M36-A30</v>
      </c>
      <c r="CZ478" t="str">
        <f t="shared" si="491"/>
        <v>N1-M36-N</v>
      </c>
      <c r="DA478" t="str">
        <f t="shared" si="592"/>
        <v>N1-A220-M36</v>
      </c>
      <c r="DB478" t="str">
        <f t="shared" si="493"/>
        <v>N1-M36-XM01</v>
      </c>
      <c r="DC478" t="str">
        <f t="shared" si="494"/>
        <v>N1-M36-A1</v>
      </c>
      <c r="DD478" t="str">
        <f t="shared" si="495"/>
        <v>N1-M36-A5</v>
      </c>
      <c r="DE478" t="str">
        <f t="shared" si="496"/>
        <v>N1-M36-A11</v>
      </c>
      <c r="DF478" t="str">
        <f t="shared" si="497"/>
        <v>N1-M36-A12</v>
      </c>
      <c r="DG478" t="str">
        <f t="shared" si="498"/>
        <v>N1-M36-A19</v>
      </c>
      <c r="DH478" t="str">
        <f t="shared" si="499"/>
        <v>N1-M36-A20</v>
      </c>
      <c r="DI478" t="s">
        <v>142</v>
      </c>
      <c r="DJ478" t="s">
        <v>143</v>
      </c>
      <c r="DK478">
        <v>11</v>
      </c>
      <c r="DL478">
        <v>14</v>
      </c>
      <c r="DM478">
        <v>12</v>
      </c>
      <c r="DN478" t="s">
        <v>144</v>
      </c>
      <c r="DO478" t="s">
        <v>145</v>
      </c>
      <c r="DP478">
        <v>1</v>
      </c>
      <c r="DQ478">
        <v>2</v>
      </c>
      <c r="DR478">
        <v>3</v>
      </c>
      <c r="DS478">
        <v>4</v>
      </c>
      <c r="DT478">
        <v>5</v>
      </c>
      <c r="DU478">
        <v>6</v>
      </c>
      <c r="DV478">
        <v>7</v>
      </c>
      <c r="DW478">
        <v>8</v>
      </c>
      <c r="DX478">
        <v>9</v>
      </c>
      <c r="DY478">
        <v>10</v>
      </c>
      <c r="DZ478">
        <v>11</v>
      </c>
      <c r="EA478">
        <v>12</v>
      </c>
      <c r="EB478">
        <v>13</v>
      </c>
      <c r="EC478">
        <v>14</v>
      </c>
      <c r="ED478">
        <v>1</v>
      </c>
      <c r="EE478">
        <v>3</v>
      </c>
      <c r="EF478">
        <v>4</v>
      </c>
      <c r="EG478">
        <v>7</v>
      </c>
      <c r="EH478">
        <v>8</v>
      </c>
      <c r="EI478">
        <v>9</v>
      </c>
      <c r="EJ478">
        <v>10</v>
      </c>
      <c r="EK478">
        <v>13</v>
      </c>
      <c r="EL478">
        <v>14</v>
      </c>
      <c r="EM478">
        <v>15</v>
      </c>
      <c r="EN478">
        <v>16</v>
      </c>
      <c r="EO478">
        <v>22</v>
      </c>
      <c r="EP478">
        <v>23</v>
      </c>
      <c r="EQ478" s="16">
        <v>24</v>
      </c>
      <c r="MA478" t="str">
        <f t="shared" ref="MA478:MA540" si="593">CONCATENATE("DI",REPLACE($AC478,1,3,""),"-",$AG478)</f>
        <v>DI7-B1</v>
      </c>
    </row>
    <row r="479" spans="1:339" x14ac:dyDescent="0.25">
      <c r="A479" s="83" t="s">
        <v>2610</v>
      </c>
      <c r="B479" s="83" t="s">
        <v>2609</v>
      </c>
      <c r="C479" s="3"/>
      <c r="O479" s="2"/>
      <c r="P479" t="s">
        <v>129</v>
      </c>
      <c r="Q479" s="1"/>
      <c r="S479" s="1" t="s">
        <v>130</v>
      </c>
      <c r="T479" s="14" t="s">
        <v>2182</v>
      </c>
      <c r="U479" s="59">
        <v>37</v>
      </c>
      <c r="V479" s="15" t="s">
        <v>2600</v>
      </c>
      <c r="W479" s="15"/>
      <c r="AC479" t="str">
        <f t="shared" si="500"/>
        <v>A5.7</v>
      </c>
      <c r="AD479" s="43">
        <f t="array" ref="AD479">IF(COUNTIFS(AC$377:AC479,AC479)=1,"1",VALUE(SUBSTITUTE(INDEX(AD:AD,_xlfn.XMATCH(AC479,AC$1:AC478,0,-1)),"A",""))+INDEX(AE:AE,_xlfn.XMATCH(AC479,AC$1:AC478,0,-1))+1)</f>
        <v>7</v>
      </c>
      <c r="AE479" s="43">
        <f t="array" ref="AE479">SUM(IF(ISNUMBER(FIND("TmDi",$BE$1:$AAQ$1)),IF(IFERROR(ISNUMBER(VALUE(SUBSTITUTE($BE479:$AAQ479,"B",""))),FALSE),IF(ISNUMBER(VALUE(SUBSTITUTE($BE479:$AAQ479,"B",""))),1,0),0)))</f>
        <v>5</v>
      </c>
      <c r="AF479" t="str">
        <f t="shared" si="440"/>
        <v>C7</v>
      </c>
      <c r="AG479" t="str">
        <f t="shared" si="441"/>
        <v>B7</v>
      </c>
      <c r="AH479" t="str">
        <f t="shared" si="502"/>
        <v>A6.4</v>
      </c>
      <c r="AI479" s="69">
        <f t="array" ref="AI479">IF(COUNTIFS(AH$377:AH479,AH479)=1,"1",VALUE(SUBSTITUTE(INDEX(AI:AI,_xlfn.XMATCH(AH479,AH$1:AH478,0,-1)),"A",""))+INDEX(AJ:AJ,_xlfn.XMATCH(AH479,AH$1:AH478,0,-1))+1)</f>
        <v>13</v>
      </c>
      <c r="AJ479" s="62">
        <f t="array" ref="AJ479">SUM(IF(ISNUMBER(FIND("TmDo",$BE$1:$AAQ$1)),IF(IFERROR(ISNUMBER(VALUE(SUBSTITUTE($BE479:$AAQ479,"B",""))),FALSE),IF(ISNUMBER(VALUE(SUBSTITUTE($BE479:$AAQ479,"B",""))),1,0),0)))</f>
        <v>2</v>
      </c>
      <c r="AK479" t="str">
        <f t="shared" si="442"/>
        <v>13A</v>
      </c>
      <c r="AL479" t="str">
        <f t="shared" si="443"/>
        <v>13B</v>
      </c>
      <c r="AM479" t="s">
        <v>394</v>
      </c>
      <c r="AP479" t="s">
        <v>2184</v>
      </c>
      <c r="AQ479" t="s">
        <v>2508</v>
      </c>
      <c r="AT479" t="s">
        <v>139</v>
      </c>
      <c r="AU479" t="s">
        <v>140</v>
      </c>
      <c r="BD479" s="16"/>
      <c r="BE479" s="27" t="str">
        <f t="shared" si="563"/>
        <v>XT37</v>
      </c>
      <c r="BF479" t="str">
        <f t="shared" si="564"/>
        <v>C8</v>
      </c>
      <c r="BG479" t="str">
        <f t="shared" si="565"/>
        <v>B8</v>
      </c>
      <c r="BH479" t="str">
        <f t="shared" si="566"/>
        <v>C9</v>
      </c>
      <c r="BI479" t="str">
        <f t="shared" si="567"/>
        <v>B9</v>
      </c>
      <c r="BJ479" t="str">
        <f t="shared" si="568"/>
        <v>C10</v>
      </c>
      <c r="BK479" t="str">
        <f t="shared" si="569"/>
        <v>B10</v>
      </c>
      <c r="BL479" t="str">
        <f t="shared" si="570"/>
        <v>C11</v>
      </c>
      <c r="BM479" t="str">
        <f t="shared" si="571"/>
        <v>B11</v>
      </c>
      <c r="BN479" t="str">
        <f t="shared" si="572"/>
        <v>C12</v>
      </c>
      <c r="BO479" t="str">
        <f t="shared" si="573"/>
        <v>B12</v>
      </c>
      <c r="BP479" t="str">
        <f t="shared" si="455"/>
        <v>14A</v>
      </c>
      <c r="BQ479" t="str">
        <f t="shared" si="456"/>
        <v>14B</v>
      </c>
      <c r="BR479" t="str">
        <f t="shared" si="457"/>
        <v>15A</v>
      </c>
      <c r="BS479" t="str">
        <f t="shared" si="458"/>
        <v>15B</v>
      </c>
      <c r="BT479" t="str">
        <f t="shared" si="574"/>
        <v>DI7-C7</v>
      </c>
      <c r="BU479" t="str">
        <f t="shared" si="575"/>
        <v>DI7-B7</v>
      </c>
      <c r="BV479" t="str">
        <f t="shared" si="576"/>
        <v>DI7-C8</v>
      </c>
      <c r="BW479" t="str">
        <f t="shared" si="577"/>
        <v>DI7-B8</v>
      </c>
      <c r="BX479" t="str">
        <f t="shared" si="578"/>
        <v>DI7-C9</v>
      </c>
      <c r="BY479" t="str">
        <f t="shared" si="579"/>
        <v>DI7-B9</v>
      </c>
      <c r="BZ479" t="str">
        <f t="shared" si="580"/>
        <v>DI7-C10</v>
      </c>
      <c r="CA479" t="str">
        <f t="shared" si="581"/>
        <v>DI7-B10</v>
      </c>
      <c r="CB479" t="str">
        <f t="shared" si="582"/>
        <v>DI7-C11</v>
      </c>
      <c r="CC479" t="str">
        <f t="shared" si="583"/>
        <v>DI7-B11</v>
      </c>
      <c r="CD479" t="str">
        <f t="shared" si="584"/>
        <v>DI7-C12</v>
      </c>
      <c r="CE479" t="str">
        <f t="shared" si="585"/>
        <v>DI7-B12</v>
      </c>
      <c r="CF479" t="str">
        <f t="shared" si="586"/>
        <v>DO4-13A</v>
      </c>
      <c r="CG479" t="str">
        <f t="shared" si="587"/>
        <v>DO4-13B</v>
      </c>
      <c r="CH479" t="str">
        <f t="shared" si="588"/>
        <v>DO4-14A</v>
      </c>
      <c r="CI479" t="str">
        <f t="shared" si="589"/>
        <v>DO4-14B</v>
      </c>
      <c r="CJ479" t="str">
        <f t="shared" si="590"/>
        <v>DO4-15A</v>
      </c>
      <c r="CK479" t="str">
        <f t="shared" si="591"/>
        <v>DO4-15B</v>
      </c>
      <c r="CL479" t="str">
        <f t="shared" si="477"/>
        <v>K37-10</v>
      </c>
      <c r="CM479" t="str">
        <f t="shared" si="478"/>
        <v>K37-03</v>
      </c>
      <c r="CN479" t="str">
        <f t="shared" si="479"/>
        <v>K37-04</v>
      </c>
      <c r="CO479" t="str">
        <f t="shared" si="480"/>
        <v>K37-01</v>
      </c>
      <c r="CP479" t="str">
        <f t="shared" si="481"/>
        <v>K37-08</v>
      </c>
      <c r="CQ479" t="str">
        <f t="shared" si="482"/>
        <v>K37-02</v>
      </c>
      <c r="CR479" t="str">
        <f t="shared" si="483"/>
        <v>K37-09</v>
      </c>
      <c r="CS479" t="str">
        <f t="shared" si="484"/>
        <v>K37-05</v>
      </c>
      <c r="CT479" t="str">
        <f t="shared" si="485"/>
        <v>K37-11</v>
      </c>
      <c r="CU479" t="str">
        <f t="shared" si="486"/>
        <v>N1-M37-A9</v>
      </c>
      <c r="CV479" t="str">
        <f t="shared" si="487"/>
        <v>N1-M37-A7</v>
      </c>
      <c r="CW479" t="str">
        <f t="shared" si="488"/>
        <v>N1-M37-A8</v>
      </c>
      <c r="CX479" t="str">
        <f t="shared" si="489"/>
        <v>N1-M37-A6</v>
      </c>
      <c r="CY479" t="str">
        <f t="shared" si="490"/>
        <v>N1-M37-A30</v>
      </c>
      <c r="CZ479" t="str">
        <f t="shared" si="491"/>
        <v>N1-M37-N</v>
      </c>
      <c r="DA479" t="str">
        <f t="shared" si="592"/>
        <v>N1-A220-M37</v>
      </c>
      <c r="DB479" t="str">
        <f t="shared" si="493"/>
        <v>N1-M37-XM01</v>
      </c>
      <c r="DC479" t="str">
        <f t="shared" si="494"/>
        <v>N1-M37-A1</v>
      </c>
      <c r="DD479" t="str">
        <f t="shared" si="495"/>
        <v>N1-M37-A5</v>
      </c>
      <c r="DE479" t="str">
        <f t="shared" si="496"/>
        <v>N1-M37-A11</v>
      </c>
      <c r="DF479" t="str">
        <f t="shared" si="497"/>
        <v>N1-M37-A12</v>
      </c>
      <c r="DG479" t="str">
        <f t="shared" si="498"/>
        <v>N1-M37-A19</v>
      </c>
      <c r="DH479" t="str">
        <f t="shared" si="499"/>
        <v>N1-M37-A20</v>
      </c>
      <c r="DI479" t="s">
        <v>142</v>
      </c>
      <c r="DJ479" t="s">
        <v>143</v>
      </c>
      <c r="DK479">
        <v>11</v>
      </c>
      <c r="DL479">
        <v>14</v>
      </c>
      <c r="DM479">
        <v>12</v>
      </c>
      <c r="DN479" t="s">
        <v>144</v>
      </c>
      <c r="DO479" t="s">
        <v>145</v>
      </c>
      <c r="DP479">
        <v>1</v>
      </c>
      <c r="DQ479">
        <v>2</v>
      </c>
      <c r="DR479">
        <v>3</v>
      </c>
      <c r="DS479">
        <v>4</v>
      </c>
      <c r="DT479">
        <v>5</v>
      </c>
      <c r="DU479">
        <v>6</v>
      </c>
      <c r="DV479">
        <v>7</v>
      </c>
      <c r="DW479">
        <v>8</v>
      </c>
      <c r="DX479">
        <v>9</v>
      </c>
      <c r="DY479">
        <v>10</v>
      </c>
      <c r="DZ479">
        <v>11</v>
      </c>
      <c r="EA479">
        <v>12</v>
      </c>
      <c r="EB479">
        <v>13</v>
      </c>
      <c r="EC479">
        <v>14</v>
      </c>
      <c r="ED479">
        <v>1</v>
      </c>
      <c r="EE479">
        <v>3</v>
      </c>
      <c r="EF479">
        <v>4</v>
      </c>
      <c r="EG479">
        <v>7</v>
      </c>
      <c r="EH479">
        <v>8</v>
      </c>
      <c r="EI479">
        <v>9</v>
      </c>
      <c r="EJ479">
        <v>10</v>
      </c>
      <c r="EK479">
        <v>13</v>
      </c>
      <c r="EL479">
        <v>14</v>
      </c>
      <c r="EM479">
        <v>15</v>
      </c>
      <c r="EN479">
        <v>16</v>
      </c>
      <c r="EO479">
        <v>22</v>
      </c>
      <c r="EP479">
        <v>23</v>
      </c>
      <c r="EQ479" s="16">
        <v>24</v>
      </c>
      <c r="MA479" t="str">
        <f t="shared" si="593"/>
        <v>DI7-B7</v>
      </c>
    </row>
    <row r="480" spans="1:339" x14ac:dyDescent="0.25">
      <c r="A480" s="83" t="s">
        <v>2612</v>
      </c>
      <c r="B480" s="83" t="s">
        <v>2611</v>
      </c>
      <c r="C480" s="3"/>
      <c r="O480" s="2"/>
      <c r="P480" t="s">
        <v>129</v>
      </c>
      <c r="Q480" s="1"/>
      <c r="S480" s="1" t="s">
        <v>130</v>
      </c>
      <c r="T480" s="14" t="s">
        <v>2182</v>
      </c>
      <c r="U480" s="59">
        <v>38</v>
      </c>
      <c r="V480" s="15" t="s">
        <v>2601</v>
      </c>
      <c r="W480" s="15"/>
      <c r="AC480" t="str">
        <f t="shared" si="500"/>
        <v>A5.7</v>
      </c>
      <c r="AD480" s="43">
        <f t="array" ref="AD480">IF(COUNTIFS(AC$377:AC480,AC480)=1,"1",VALUE(SUBSTITUTE(INDEX(AD:AD,_xlfn.XMATCH(AC480,AC$1:AC479,0,-1)),"A",""))+INDEX(AE:AE,_xlfn.XMATCH(AC480,AC$1:AC479,0,-1))+1)</f>
        <v>13</v>
      </c>
      <c r="AE480" s="43">
        <f t="array" ref="AE480">SUM(IF(ISNUMBER(FIND("TmDi",$BE$1:$AAQ$1)),IF(IFERROR(ISNUMBER(VALUE(SUBSTITUTE($BE480:$AAQ480,"B",""))),FALSE),IF(ISNUMBER(VALUE(SUBSTITUTE($BE480:$AAQ480,"B",""))),1,0),0)))</f>
        <v>5</v>
      </c>
      <c r="AF480" t="str">
        <f t="shared" si="440"/>
        <v>C13</v>
      </c>
      <c r="AG480" t="str">
        <f t="shared" si="441"/>
        <v>B13</v>
      </c>
      <c r="AH480" t="str">
        <f t="shared" si="502"/>
        <v>A6.4</v>
      </c>
      <c r="AI480" s="69">
        <f t="array" ref="AI480">IF(COUNTIFS(AH$377:AH480,AH480)=1,"1",VALUE(SUBSTITUTE(INDEX(AI:AI,_xlfn.XMATCH(AH480,AH$1:AH479,0,-1)),"A",""))+INDEX(AJ:AJ,_xlfn.XMATCH(AH480,AH$1:AH479,0,-1))+1)</f>
        <v>16</v>
      </c>
      <c r="AJ480" s="62">
        <f t="array" ref="AJ480">SUM(IF(ISNUMBER(FIND("TmDo",$BE$1:$AAQ$1)),IF(IFERROR(ISNUMBER(VALUE(SUBSTITUTE($BE480:$AAQ480,"B",""))),FALSE),IF(ISNUMBER(VALUE(SUBSTITUTE($BE480:$AAQ480,"B",""))),1,0),0)))</f>
        <v>2</v>
      </c>
      <c r="AK480" t="str">
        <f t="shared" ref="AK480:AK499" si="594">CONCATENATE($AI480,"A")</f>
        <v>16A</v>
      </c>
      <c r="AL480" t="str">
        <f t="shared" ref="AL480:AL499" si="595">CONCATENATE($AI480,"B")</f>
        <v>16B</v>
      </c>
      <c r="AM480" t="s">
        <v>419</v>
      </c>
      <c r="AP480" t="s">
        <v>2184</v>
      </c>
      <c r="AQ480" t="s">
        <v>2508</v>
      </c>
      <c r="AT480" t="s">
        <v>139</v>
      </c>
      <c r="AU480" t="s">
        <v>140</v>
      </c>
      <c r="BD480" s="16"/>
      <c r="BE480" s="27" t="str">
        <f t="shared" si="563"/>
        <v>XT38</v>
      </c>
      <c r="BF480" t="str">
        <f t="shared" si="564"/>
        <v>C14</v>
      </c>
      <c r="BG480" t="str">
        <f t="shared" si="565"/>
        <v>B14</v>
      </c>
      <c r="BH480" t="str">
        <f t="shared" si="566"/>
        <v>C15</v>
      </c>
      <c r="BI480" t="str">
        <f t="shared" si="567"/>
        <v>B15</v>
      </c>
      <c r="BJ480" t="str">
        <f t="shared" si="568"/>
        <v>C16</v>
      </c>
      <c r="BK480" t="str">
        <f t="shared" si="569"/>
        <v>B16</v>
      </c>
      <c r="BL480" t="str">
        <f t="shared" si="570"/>
        <v>C17</v>
      </c>
      <c r="BM480" t="str">
        <f t="shared" si="571"/>
        <v>B17</v>
      </c>
      <c r="BN480" t="str">
        <f t="shared" si="572"/>
        <v>C18</v>
      </c>
      <c r="BO480" t="str">
        <f t="shared" si="573"/>
        <v>B18</v>
      </c>
      <c r="BP480" t="str">
        <f t="shared" si="455"/>
        <v>17A</v>
      </c>
      <c r="BQ480" t="str">
        <f t="shared" si="456"/>
        <v>17B</v>
      </c>
      <c r="BR480" t="str">
        <f t="shared" si="457"/>
        <v>18A</v>
      </c>
      <c r="BS480" t="str">
        <f t="shared" si="458"/>
        <v>18B</v>
      </c>
      <c r="BT480" t="str">
        <f t="shared" si="574"/>
        <v>DI7-C13</v>
      </c>
      <c r="BU480" t="str">
        <f t="shared" si="575"/>
        <v>DI7-B13</v>
      </c>
      <c r="BV480" t="str">
        <f t="shared" si="576"/>
        <v>DI7-C14</v>
      </c>
      <c r="BW480" t="str">
        <f t="shared" si="577"/>
        <v>DI7-B14</v>
      </c>
      <c r="BX480" t="str">
        <f t="shared" si="578"/>
        <v>DI7-C15</v>
      </c>
      <c r="BY480" t="str">
        <f t="shared" si="579"/>
        <v>DI7-B15</v>
      </c>
      <c r="BZ480" t="str">
        <f t="shared" si="580"/>
        <v>DI7-C16</v>
      </c>
      <c r="CA480" t="str">
        <f t="shared" si="581"/>
        <v>DI7-B16</v>
      </c>
      <c r="CB480" t="str">
        <f t="shared" si="582"/>
        <v>DI7-C17</v>
      </c>
      <c r="CC480" t="str">
        <f t="shared" si="583"/>
        <v>DI7-B17</v>
      </c>
      <c r="CD480" t="str">
        <f t="shared" si="584"/>
        <v>DI7-C18</v>
      </c>
      <c r="CE480" t="str">
        <f t="shared" si="585"/>
        <v>DI7-B18</v>
      </c>
      <c r="CF480" t="str">
        <f t="shared" si="586"/>
        <v>DO4-16A</v>
      </c>
      <c r="CG480" t="str">
        <f t="shared" si="587"/>
        <v>DO4-16B</v>
      </c>
      <c r="CH480" t="str">
        <f t="shared" si="588"/>
        <v>DO4-17A</v>
      </c>
      <c r="CI480" t="str">
        <f t="shared" si="589"/>
        <v>DO4-17B</v>
      </c>
      <c r="CJ480" t="str">
        <f t="shared" si="590"/>
        <v>DO4-18A</v>
      </c>
      <c r="CK480" t="str">
        <f t="shared" si="591"/>
        <v>DO4-18B</v>
      </c>
      <c r="CL480" t="str">
        <f t="shared" si="477"/>
        <v>K38-10</v>
      </c>
      <c r="CM480" t="str">
        <f t="shared" si="478"/>
        <v>K38-03</v>
      </c>
      <c r="CN480" t="str">
        <f t="shared" si="479"/>
        <v>K38-04</v>
      </c>
      <c r="CO480" t="str">
        <f t="shared" si="480"/>
        <v>K38-01</v>
      </c>
      <c r="CP480" t="str">
        <f t="shared" si="481"/>
        <v>K38-08</v>
      </c>
      <c r="CQ480" t="str">
        <f t="shared" si="482"/>
        <v>K38-02</v>
      </c>
      <c r="CR480" t="str">
        <f t="shared" si="483"/>
        <v>K38-09</v>
      </c>
      <c r="CS480" t="str">
        <f t="shared" si="484"/>
        <v>K38-05</v>
      </c>
      <c r="CT480" t="str">
        <f t="shared" si="485"/>
        <v>K38-11</v>
      </c>
      <c r="CU480" t="str">
        <f t="shared" si="486"/>
        <v>N1-M38-A9</v>
      </c>
      <c r="CV480" t="str">
        <f t="shared" si="487"/>
        <v>N1-M38-A7</v>
      </c>
      <c r="CW480" t="str">
        <f t="shared" si="488"/>
        <v>N1-M38-A8</v>
      </c>
      <c r="CX480" t="str">
        <f t="shared" si="489"/>
        <v>N1-M38-A6</v>
      </c>
      <c r="CY480" t="str">
        <f t="shared" si="490"/>
        <v>N1-M38-A30</v>
      </c>
      <c r="CZ480" t="str">
        <f t="shared" si="491"/>
        <v>N1-M38-N</v>
      </c>
      <c r="DA480" t="str">
        <f t="shared" si="592"/>
        <v>N1-A220-M38</v>
      </c>
      <c r="DB480" t="str">
        <f t="shared" si="493"/>
        <v>N1-M38-XM01</v>
      </c>
      <c r="DC480" t="str">
        <f t="shared" si="494"/>
        <v>N1-M38-A1</v>
      </c>
      <c r="DD480" t="str">
        <f t="shared" si="495"/>
        <v>N1-M38-A5</v>
      </c>
      <c r="DE480" t="str">
        <f t="shared" si="496"/>
        <v>N1-M38-A11</v>
      </c>
      <c r="DF480" t="str">
        <f t="shared" si="497"/>
        <v>N1-M38-A12</v>
      </c>
      <c r="DG480" t="str">
        <f t="shared" si="498"/>
        <v>N1-M38-A19</v>
      </c>
      <c r="DH480" t="str">
        <f t="shared" si="499"/>
        <v>N1-M38-A20</v>
      </c>
      <c r="DI480" t="s">
        <v>142</v>
      </c>
      <c r="DJ480" t="s">
        <v>143</v>
      </c>
      <c r="DK480">
        <v>11</v>
      </c>
      <c r="DL480">
        <v>14</v>
      </c>
      <c r="DM480">
        <v>12</v>
      </c>
      <c r="DN480" t="s">
        <v>144</v>
      </c>
      <c r="DO480" t="s">
        <v>145</v>
      </c>
      <c r="DP480">
        <v>1</v>
      </c>
      <c r="DQ480">
        <v>2</v>
      </c>
      <c r="DR480">
        <v>3</v>
      </c>
      <c r="DS480">
        <v>4</v>
      </c>
      <c r="DT480">
        <v>5</v>
      </c>
      <c r="DU480">
        <v>6</v>
      </c>
      <c r="DV480">
        <v>7</v>
      </c>
      <c r="DW480">
        <v>8</v>
      </c>
      <c r="DX480">
        <v>9</v>
      </c>
      <c r="DY480">
        <v>10</v>
      </c>
      <c r="DZ480">
        <v>11</v>
      </c>
      <c r="EA480">
        <v>12</v>
      </c>
      <c r="EB480">
        <v>13</v>
      </c>
      <c r="EC480">
        <v>14</v>
      </c>
      <c r="ED480">
        <v>1</v>
      </c>
      <c r="EE480">
        <v>3</v>
      </c>
      <c r="EF480">
        <v>4</v>
      </c>
      <c r="EG480">
        <v>7</v>
      </c>
      <c r="EH480">
        <v>8</v>
      </c>
      <c r="EI480">
        <v>9</v>
      </c>
      <c r="EJ480">
        <v>10</v>
      </c>
      <c r="EK480">
        <v>13</v>
      </c>
      <c r="EL480">
        <v>14</v>
      </c>
      <c r="EM480">
        <v>15</v>
      </c>
      <c r="EN480">
        <v>16</v>
      </c>
      <c r="EO480">
        <v>22</v>
      </c>
      <c r="EP480">
        <v>23</v>
      </c>
      <c r="EQ480" s="16">
        <v>24</v>
      </c>
      <c r="MA480" t="str">
        <f t="shared" si="593"/>
        <v>DI7-B13</v>
      </c>
    </row>
    <row r="481" spans="1:339" x14ac:dyDescent="0.25">
      <c r="A481" s="83" t="s">
        <v>2614</v>
      </c>
      <c r="B481" s="83" t="s">
        <v>2613</v>
      </c>
      <c r="C481" s="3"/>
      <c r="O481" s="2"/>
      <c r="P481" t="s">
        <v>129</v>
      </c>
      <c r="Q481" s="1"/>
      <c r="S481" s="1" t="s">
        <v>130</v>
      </c>
      <c r="T481" s="14" t="s">
        <v>2182</v>
      </c>
      <c r="U481" s="59">
        <v>39</v>
      </c>
      <c r="V481" s="15" t="s">
        <v>2602</v>
      </c>
      <c r="W481" s="15"/>
      <c r="AC481" t="str">
        <f t="shared" si="500"/>
        <v>A5.7</v>
      </c>
      <c r="AD481" s="43">
        <f t="array" ref="AD481">IF(COUNTIFS(AC$377:AC481,AC481)=1,"1",VALUE(SUBSTITUTE(INDEX(AD:AD,_xlfn.XMATCH(AC481,AC$1:AC480,0,-1)),"A",""))+INDEX(AE:AE,_xlfn.XMATCH(AC481,AC$1:AC480,0,-1))+1)</f>
        <v>19</v>
      </c>
      <c r="AE481" s="43">
        <f t="array" ref="AE481">SUM(IF(ISNUMBER(FIND("TmDi",$BE$1:$AAQ$1)),IF(IFERROR(ISNUMBER(VALUE(SUBSTITUTE($BE481:$AAQ481,"B",""))),FALSE),IF(ISNUMBER(VALUE(SUBSTITUTE($BE481:$AAQ481,"B",""))),1,0),0)))</f>
        <v>5</v>
      </c>
      <c r="AF481" t="str">
        <f t="shared" si="440"/>
        <v>C19</v>
      </c>
      <c r="AG481" t="str">
        <f t="shared" si="441"/>
        <v>B19</v>
      </c>
      <c r="AH481" t="str">
        <f t="shared" si="502"/>
        <v>A6.4</v>
      </c>
      <c r="AI481" s="69">
        <f t="array" ref="AI481">IF(COUNTIFS(AH$377:AH481,AH481)=1,"1",VALUE(SUBSTITUTE(INDEX(AI:AI,_xlfn.XMATCH(AH481,AH$1:AH480,0,-1)),"A",""))+INDEX(AJ:AJ,_xlfn.XMATCH(AH481,AH$1:AH480,0,-1))+1)</f>
        <v>19</v>
      </c>
      <c r="AJ481" s="62">
        <f t="array" ref="AJ481">SUM(IF(ISNUMBER(FIND("TmDo",$BE$1:$AAQ$1)),IF(IFERROR(ISNUMBER(VALUE(SUBSTITUTE($BE481:$AAQ481,"B",""))),FALSE),IF(ISNUMBER(VALUE(SUBSTITUTE($BE481:$AAQ481,"B",""))),1,0),0)))</f>
        <v>2</v>
      </c>
      <c r="AK481" t="str">
        <f t="shared" si="594"/>
        <v>19A</v>
      </c>
      <c r="AL481" t="str">
        <f t="shared" si="595"/>
        <v>19B</v>
      </c>
      <c r="AM481" t="s">
        <v>424</v>
      </c>
      <c r="AP481" t="s">
        <v>2184</v>
      </c>
      <c r="AQ481" t="s">
        <v>2508</v>
      </c>
      <c r="AT481" t="s">
        <v>139</v>
      </c>
      <c r="AU481" t="s">
        <v>140</v>
      </c>
      <c r="BD481" s="16"/>
      <c r="BE481" s="27" t="str">
        <f t="shared" si="563"/>
        <v>XT39</v>
      </c>
      <c r="BF481" t="str">
        <f t="shared" si="564"/>
        <v>C20</v>
      </c>
      <c r="BG481" t="str">
        <f t="shared" si="565"/>
        <v>B20</v>
      </c>
      <c r="BH481" t="str">
        <f t="shared" si="566"/>
        <v>C21</v>
      </c>
      <c r="BI481" t="str">
        <f t="shared" si="567"/>
        <v>B21</v>
      </c>
      <c r="BJ481" t="str">
        <f t="shared" si="568"/>
        <v>C22</v>
      </c>
      <c r="BK481" t="str">
        <f t="shared" si="569"/>
        <v>B22</v>
      </c>
      <c r="BL481" t="str">
        <f t="shared" si="570"/>
        <v>C23</v>
      </c>
      <c r="BM481" t="str">
        <f t="shared" si="571"/>
        <v>B23</v>
      </c>
      <c r="BN481" t="str">
        <f t="shared" si="572"/>
        <v>C24</v>
      </c>
      <c r="BO481" t="str">
        <f t="shared" si="573"/>
        <v>B24</v>
      </c>
      <c r="BP481" t="str">
        <f t="shared" si="455"/>
        <v>20A</v>
      </c>
      <c r="BQ481" t="str">
        <f t="shared" si="456"/>
        <v>20B</v>
      </c>
      <c r="BR481" t="str">
        <f t="shared" si="457"/>
        <v>21A</v>
      </c>
      <c r="BS481" t="str">
        <f t="shared" si="458"/>
        <v>21B</v>
      </c>
      <c r="BT481" t="str">
        <f t="shared" si="574"/>
        <v>DI7-C19</v>
      </c>
      <c r="BU481" t="str">
        <f t="shared" si="575"/>
        <v>DI7-B19</v>
      </c>
      <c r="BV481" t="str">
        <f t="shared" si="576"/>
        <v>DI7-C20</v>
      </c>
      <c r="BW481" t="str">
        <f t="shared" si="577"/>
        <v>DI7-B20</v>
      </c>
      <c r="BX481" t="str">
        <f t="shared" si="578"/>
        <v>DI7-C21</v>
      </c>
      <c r="BY481" t="str">
        <f t="shared" si="579"/>
        <v>DI7-B21</v>
      </c>
      <c r="BZ481" t="str">
        <f t="shared" si="580"/>
        <v>DI7-C22</v>
      </c>
      <c r="CA481" t="str">
        <f t="shared" si="581"/>
        <v>DI7-B22</v>
      </c>
      <c r="CB481" t="str">
        <f t="shared" si="582"/>
        <v>DI7-C23</v>
      </c>
      <c r="CC481" t="str">
        <f t="shared" si="583"/>
        <v>DI7-B23</v>
      </c>
      <c r="CD481" t="str">
        <f t="shared" si="584"/>
        <v>DI7-C24</v>
      </c>
      <c r="CE481" t="str">
        <f t="shared" si="585"/>
        <v>DI7-B24</v>
      </c>
      <c r="CF481" t="str">
        <f t="shared" si="586"/>
        <v>DO4-19A</v>
      </c>
      <c r="CG481" t="str">
        <f t="shared" si="587"/>
        <v>DO4-19B</v>
      </c>
      <c r="CH481" t="str">
        <f t="shared" si="588"/>
        <v>DO4-20A</v>
      </c>
      <c r="CI481" t="str">
        <f t="shared" si="589"/>
        <v>DO4-20B</v>
      </c>
      <c r="CJ481" t="str">
        <f t="shared" si="590"/>
        <v>DO4-21A</v>
      </c>
      <c r="CK481" t="str">
        <f t="shared" si="591"/>
        <v>DO4-21B</v>
      </c>
      <c r="CL481" t="str">
        <f t="shared" si="477"/>
        <v>K39-10</v>
      </c>
      <c r="CM481" t="str">
        <f t="shared" si="478"/>
        <v>K39-03</v>
      </c>
      <c r="CN481" t="str">
        <f t="shared" si="479"/>
        <v>K39-04</v>
      </c>
      <c r="CO481" t="str">
        <f t="shared" si="480"/>
        <v>K39-01</v>
      </c>
      <c r="CP481" t="str">
        <f t="shared" si="481"/>
        <v>K39-08</v>
      </c>
      <c r="CQ481" t="str">
        <f t="shared" si="482"/>
        <v>K39-02</v>
      </c>
      <c r="CR481" t="str">
        <f t="shared" si="483"/>
        <v>K39-09</v>
      </c>
      <c r="CS481" t="str">
        <f t="shared" si="484"/>
        <v>K39-05</v>
      </c>
      <c r="CT481" t="str">
        <f t="shared" si="485"/>
        <v>K39-11</v>
      </c>
      <c r="CU481" t="str">
        <f t="shared" si="486"/>
        <v>N1-M39-A9</v>
      </c>
      <c r="CV481" t="str">
        <f t="shared" si="487"/>
        <v>N1-M39-A7</v>
      </c>
      <c r="CW481" t="str">
        <f t="shared" si="488"/>
        <v>N1-M39-A8</v>
      </c>
      <c r="CX481" t="str">
        <f t="shared" si="489"/>
        <v>N1-M39-A6</v>
      </c>
      <c r="CY481" t="str">
        <f t="shared" si="490"/>
        <v>N1-M39-A30</v>
      </c>
      <c r="CZ481" t="str">
        <f t="shared" si="491"/>
        <v>N1-M39-N</v>
      </c>
      <c r="DA481" t="str">
        <f t="shared" si="592"/>
        <v>N1-A220-M39</v>
      </c>
      <c r="DB481" t="str">
        <f t="shared" si="493"/>
        <v>N1-M39-XM01</v>
      </c>
      <c r="DC481" t="str">
        <f t="shared" si="494"/>
        <v>N1-M39-A1</v>
      </c>
      <c r="DD481" t="str">
        <f t="shared" si="495"/>
        <v>N1-M39-A5</v>
      </c>
      <c r="DE481" t="str">
        <f t="shared" si="496"/>
        <v>N1-M39-A11</v>
      </c>
      <c r="DF481" t="str">
        <f t="shared" si="497"/>
        <v>N1-M39-A12</v>
      </c>
      <c r="DG481" t="str">
        <f t="shared" si="498"/>
        <v>N1-M39-A19</v>
      </c>
      <c r="DH481" t="str">
        <f t="shared" si="499"/>
        <v>N1-M39-A20</v>
      </c>
      <c r="DI481" t="s">
        <v>142</v>
      </c>
      <c r="DJ481" t="s">
        <v>143</v>
      </c>
      <c r="DK481">
        <v>11</v>
      </c>
      <c r="DL481">
        <v>14</v>
      </c>
      <c r="DM481">
        <v>12</v>
      </c>
      <c r="DN481" t="s">
        <v>144</v>
      </c>
      <c r="DO481" t="s">
        <v>145</v>
      </c>
      <c r="DP481">
        <v>1</v>
      </c>
      <c r="DQ481">
        <v>2</v>
      </c>
      <c r="DR481">
        <v>3</v>
      </c>
      <c r="DS481">
        <v>4</v>
      </c>
      <c r="DT481">
        <v>5</v>
      </c>
      <c r="DU481">
        <v>6</v>
      </c>
      <c r="DV481">
        <v>7</v>
      </c>
      <c r="DW481">
        <v>8</v>
      </c>
      <c r="DX481">
        <v>9</v>
      </c>
      <c r="DY481">
        <v>10</v>
      </c>
      <c r="DZ481">
        <v>11</v>
      </c>
      <c r="EA481">
        <v>12</v>
      </c>
      <c r="EB481">
        <v>13</v>
      </c>
      <c r="EC481">
        <v>14</v>
      </c>
      <c r="ED481">
        <v>1</v>
      </c>
      <c r="EE481">
        <v>3</v>
      </c>
      <c r="EF481">
        <v>4</v>
      </c>
      <c r="EG481">
        <v>7</v>
      </c>
      <c r="EH481">
        <v>8</v>
      </c>
      <c r="EI481">
        <v>9</v>
      </c>
      <c r="EJ481">
        <v>10</v>
      </c>
      <c r="EK481">
        <v>13</v>
      </c>
      <c r="EL481">
        <v>14</v>
      </c>
      <c r="EM481">
        <v>15</v>
      </c>
      <c r="EN481">
        <v>16</v>
      </c>
      <c r="EO481">
        <v>22</v>
      </c>
      <c r="EP481">
        <v>23</v>
      </c>
      <c r="EQ481" s="16">
        <v>24</v>
      </c>
      <c r="MA481" t="str">
        <f t="shared" si="593"/>
        <v>DI7-B19</v>
      </c>
    </row>
    <row r="482" spans="1:339" x14ac:dyDescent="0.25">
      <c r="A482" s="83" t="s">
        <v>2616</v>
      </c>
      <c r="B482" s="83" t="s">
        <v>2615</v>
      </c>
      <c r="C482" s="3"/>
      <c r="O482" s="2"/>
      <c r="P482" t="s">
        <v>129</v>
      </c>
      <c r="Q482" s="1"/>
      <c r="S482" s="1" t="s">
        <v>130</v>
      </c>
      <c r="T482" s="14" t="s">
        <v>2182</v>
      </c>
      <c r="U482" s="59">
        <v>40</v>
      </c>
      <c r="V482" s="15" t="s">
        <v>2603</v>
      </c>
      <c r="W482" s="15"/>
      <c r="AC482" t="str">
        <f t="shared" si="500"/>
        <v>A5.7</v>
      </c>
      <c r="AD482" s="43">
        <f t="array" ref="AD482">IF(COUNTIFS(AC$377:AC482,AC482)=1,"1",VALUE(SUBSTITUTE(INDEX(AD:AD,_xlfn.XMATCH(AC482,AC$1:AC481,0,-1)),"A",""))+INDEX(AE:AE,_xlfn.XMATCH(AC482,AC$1:AC481,0,-1))+1)</f>
        <v>25</v>
      </c>
      <c r="AE482" s="43">
        <f t="array" ref="AE482">SUM(IF(ISNUMBER(FIND("TmDi",$BE$1:$AAQ$1)),IF(IFERROR(ISNUMBER(VALUE(SUBSTITUTE($BE482:$AAQ482,"B",""))),FALSE),IF(ISNUMBER(VALUE(SUBSTITUTE($BE482:$AAQ482,"B",""))),1,0),0)))</f>
        <v>5</v>
      </c>
      <c r="AF482" t="str">
        <f t="shared" si="440"/>
        <v>C25</v>
      </c>
      <c r="AG482" t="str">
        <f t="shared" si="441"/>
        <v>B25</v>
      </c>
      <c r="AH482" t="str">
        <f t="shared" si="502"/>
        <v>A6.4</v>
      </c>
      <c r="AI482" s="69">
        <f t="array" ref="AI482">IF(COUNTIFS(AH$377:AH482,AH482)=1,"1",VALUE(SUBSTITUTE(INDEX(AI:AI,_xlfn.XMATCH(AH482,AH$1:AH481,0,-1)),"A",""))+INDEX(AJ:AJ,_xlfn.XMATCH(AH482,AH$1:AH481,0,-1))+1)</f>
        <v>22</v>
      </c>
      <c r="AJ482" s="62">
        <f t="array" ref="AJ482">SUM(IF(ISNUMBER(FIND("TmDo",$BE$1:$AAQ$1)),IF(IFERROR(ISNUMBER(VALUE(SUBSTITUTE($BE482:$AAQ482,"B",""))),FALSE),IF(ISNUMBER(VALUE(SUBSTITUTE($BE482:$AAQ482,"B",""))),1,0),0)))</f>
        <v>2</v>
      </c>
      <c r="AK482" t="str">
        <f t="shared" si="594"/>
        <v>22A</v>
      </c>
      <c r="AL482" t="str">
        <f t="shared" si="595"/>
        <v>22B</v>
      </c>
      <c r="AM482" t="s">
        <v>425</v>
      </c>
      <c r="AP482" t="s">
        <v>2184</v>
      </c>
      <c r="AQ482" t="s">
        <v>2508</v>
      </c>
      <c r="AT482" t="s">
        <v>139</v>
      </c>
      <c r="AU482" t="s">
        <v>140</v>
      </c>
      <c r="BD482" s="16"/>
      <c r="BE482" s="27" t="str">
        <f t="shared" si="563"/>
        <v>XT40</v>
      </c>
      <c r="BF482" t="str">
        <f t="shared" si="564"/>
        <v>C26</v>
      </c>
      <c r="BG482" t="str">
        <f t="shared" si="565"/>
        <v>B26</v>
      </c>
      <c r="BH482" t="str">
        <f t="shared" si="566"/>
        <v>C27</v>
      </c>
      <c r="BI482" t="str">
        <f t="shared" si="567"/>
        <v>B27</v>
      </c>
      <c r="BJ482" t="str">
        <f t="shared" si="568"/>
        <v>C28</v>
      </c>
      <c r="BK482" t="str">
        <f t="shared" si="569"/>
        <v>B28</v>
      </c>
      <c r="BL482" t="str">
        <f t="shared" si="570"/>
        <v>C29</v>
      </c>
      <c r="BM482" t="str">
        <f t="shared" si="571"/>
        <v>B29</v>
      </c>
      <c r="BN482" t="str">
        <f t="shared" si="572"/>
        <v>C30</v>
      </c>
      <c r="BO482" t="str">
        <f t="shared" si="573"/>
        <v>B30</v>
      </c>
      <c r="BP482" t="str">
        <f t="shared" si="455"/>
        <v>23A</v>
      </c>
      <c r="BQ482" t="str">
        <f t="shared" si="456"/>
        <v>23B</v>
      </c>
      <c r="BR482" t="str">
        <f t="shared" si="457"/>
        <v>24A</v>
      </c>
      <c r="BS482" t="str">
        <f t="shared" si="458"/>
        <v>24B</v>
      </c>
      <c r="BT482" t="str">
        <f t="shared" si="574"/>
        <v>DI7-C25</v>
      </c>
      <c r="BU482" t="str">
        <f t="shared" si="575"/>
        <v>DI7-B25</v>
      </c>
      <c r="BV482" t="str">
        <f t="shared" si="576"/>
        <v>DI7-C26</v>
      </c>
      <c r="BW482" t="str">
        <f t="shared" si="577"/>
        <v>DI7-B26</v>
      </c>
      <c r="BX482" t="str">
        <f t="shared" si="578"/>
        <v>DI7-C27</v>
      </c>
      <c r="BY482" t="str">
        <f t="shared" si="579"/>
        <v>DI7-B27</v>
      </c>
      <c r="BZ482" t="str">
        <f t="shared" si="580"/>
        <v>DI7-C28</v>
      </c>
      <c r="CA482" t="str">
        <f t="shared" si="581"/>
        <v>DI7-B28</v>
      </c>
      <c r="CB482" t="str">
        <f t="shared" si="582"/>
        <v>DI7-C29</v>
      </c>
      <c r="CC482" t="str">
        <f t="shared" si="583"/>
        <v>DI7-B29</v>
      </c>
      <c r="CD482" t="str">
        <f t="shared" si="584"/>
        <v>DI7-C30</v>
      </c>
      <c r="CE482" t="str">
        <f t="shared" si="585"/>
        <v>DI7-B30</v>
      </c>
      <c r="CF482" t="str">
        <f t="shared" si="586"/>
        <v>DO4-22A</v>
      </c>
      <c r="CG482" t="str">
        <f t="shared" si="587"/>
        <v>DO4-22B</v>
      </c>
      <c r="CH482" t="str">
        <f t="shared" si="588"/>
        <v>DO4-23A</v>
      </c>
      <c r="CI482" t="str">
        <f t="shared" si="589"/>
        <v>DO4-23B</v>
      </c>
      <c r="CJ482" t="str">
        <f t="shared" si="590"/>
        <v>DO4-24A</v>
      </c>
      <c r="CK482" t="str">
        <f t="shared" si="591"/>
        <v>DO4-24B</v>
      </c>
      <c r="CL482" t="str">
        <f t="shared" si="477"/>
        <v>K40-10</v>
      </c>
      <c r="CM482" t="str">
        <f t="shared" si="478"/>
        <v>K40-03</v>
      </c>
      <c r="CN482" t="str">
        <f t="shared" si="479"/>
        <v>K40-04</v>
      </c>
      <c r="CO482" t="str">
        <f t="shared" si="480"/>
        <v>K40-01</v>
      </c>
      <c r="CP482" t="str">
        <f t="shared" si="481"/>
        <v>K40-08</v>
      </c>
      <c r="CQ482" t="str">
        <f t="shared" si="482"/>
        <v>K40-02</v>
      </c>
      <c r="CR482" t="str">
        <f t="shared" si="483"/>
        <v>K40-09</v>
      </c>
      <c r="CS482" t="str">
        <f t="shared" si="484"/>
        <v>K40-05</v>
      </c>
      <c r="CT482" t="str">
        <f t="shared" si="485"/>
        <v>K40-11</v>
      </c>
      <c r="CU482" t="str">
        <f t="shared" si="486"/>
        <v>N1-M40-A9</v>
      </c>
      <c r="CV482" t="str">
        <f t="shared" si="487"/>
        <v>N1-M40-A7</v>
      </c>
      <c r="CW482" t="str">
        <f t="shared" si="488"/>
        <v>N1-M40-A8</v>
      </c>
      <c r="CX482" t="str">
        <f t="shared" si="489"/>
        <v>N1-M40-A6</v>
      </c>
      <c r="CY482" t="str">
        <f t="shared" si="490"/>
        <v>N1-M40-A30</v>
      </c>
      <c r="CZ482" t="str">
        <f t="shared" si="491"/>
        <v>N1-M40-N</v>
      </c>
      <c r="DA482" t="str">
        <f t="shared" si="592"/>
        <v>N1-A220-M40</v>
      </c>
      <c r="DB482" t="str">
        <f t="shared" si="493"/>
        <v>N1-M40-XM01</v>
      </c>
      <c r="DC482" t="str">
        <f t="shared" si="494"/>
        <v>N1-M40-A1</v>
      </c>
      <c r="DD482" t="str">
        <f t="shared" si="495"/>
        <v>N1-M40-A5</v>
      </c>
      <c r="DE482" t="str">
        <f t="shared" si="496"/>
        <v>N1-M40-A11</v>
      </c>
      <c r="DF482" t="str">
        <f t="shared" si="497"/>
        <v>N1-M40-A12</v>
      </c>
      <c r="DG482" t="str">
        <f t="shared" si="498"/>
        <v>N1-M40-A19</v>
      </c>
      <c r="DH482" t="str">
        <f t="shared" si="499"/>
        <v>N1-M40-A20</v>
      </c>
      <c r="DI482" t="s">
        <v>142</v>
      </c>
      <c r="DJ482" t="s">
        <v>143</v>
      </c>
      <c r="DK482">
        <v>11</v>
      </c>
      <c r="DL482">
        <v>14</v>
      </c>
      <c r="DM482">
        <v>12</v>
      </c>
      <c r="DN482" t="s">
        <v>144</v>
      </c>
      <c r="DO482" t="s">
        <v>145</v>
      </c>
      <c r="DP482">
        <v>1</v>
      </c>
      <c r="DQ482">
        <v>2</v>
      </c>
      <c r="DR482">
        <v>3</v>
      </c>
      <c r="DS482">
        <v>4</v>
      </c>
      <c r="DT482">
        <v>5</v>
      </c>
      <c r="DU482">
        <v>6</v>
      </c>
      <c r="DV482">
        <v>7</v>
      </c>
      <c r="DW482">
        <v>8</v>
      </c>
      <c r="DX482">
        <v>9</v>
      </c>
      <c r="DY482">
        <v>10</v>
      </c>
      <c r="DZ482">
        <v>11</v>
      </c>
      <c r="EA482">
        <v>12</v>
      </c>
      <c r="EB482">
        <v>13</v>
      </c>
      <c r="EC482">
        <v>14</v>
      </c>
      <c r="ED482">
        <v>1</v>
      </c>
      <c r="EE482">
        <v>3</v>
      </c>
      <c r="EF482">
        <v>4</v>
      </c>
      <c r="EG482">
        <v>7</v>
      </c>
      <c r="EH482">
        <v>8</v>
      </c>
      <c r="EI482">
        <v>9</v>
      </c>
      <c r="EJ482">
        <v>10</v>
      </c>
      <c r="EK482">
        <v>13</v>
      </c>
      <c r="EL482">
        <v>14</v>
      </c>
      <c r="EM482">
        <v>15</v>
      </c>
      <c r="EN482">
        <v>16</v>
      </c>
      <c r="EO482">
        <v>22</v>
      </c>
      <c r="EP482">
        <v>23</v>
      </c>
      <c r="EQ482" s="16">
        <v>24</v>
      </c>
      <c r="MA482" t="str">
        <f t="shared" si="593"/>
        <v>DI7-B25</v>
      </c>
    </row>
    <row r="483" spans="1:339" x14ac:dyDescent="0.25">
      <c r="A483" s="83" t="s">
        <v>2618</v>
      </c>
      <c r="B483" s="83" t="s">
        <v>2617</v>
      </c>
      <c r="C483" s="3"/>
      <c r="O483" s="2"/>
      <c r="P483" t="s">
        <v>129</v>
      </c>
      <c r="Q483" s="1"/>
      <c r="S483" s="1" t="s">
        <v>130</v>
      </c>
      <c r="T483" s="14" t="s">
        <v>2182</v>
      </c>
      <c r="U483" s="59">
        <v>41</v>
      </c>
      <c r="V483" s="15" t="s">
        <v>2604</v>
      </c>
      <c r="W483" s="15"/>
      <c r="AC483" t="str">
        <f t="shared" si="500"/>
        <v>A5.8</v>
      </c>
      <c r="AD483" s="43" t="str">
        <f t="array" ref="AD483">IF(COUNTIFS(AC$377:AC483,AC483)=1,"1",VALUE(SUBSTITUTE(INDEX(AD:AD,_xlfn.XMATCH(AC483,AC$1:AC482,0,-1)),"A",""))+INDEX(AE:AE,_xlfn.XMATCH(AC483,AC$1:AC482,0,-1))+1)</f>
        <v>1</v>
      </c>
      <c r="AE483" s="43">
        <f t="array" ref="AE483">SUM(IF(ISNUMBER(FIND("TmDi",$BE$1:$AAQ$1)),IF(IFERROR(ISNUMBER(VALUE(SUBSTITUTE($BE483:$AAQ483,"B",""))),FALSE),IF(ISNUMBER(VALUE(SUBSTITUTE($BE483:$AAQ483,"B",""))),1,0),0)))</f>
        <v>5</v>
      </c>
      <c r="AF483" t="str">
        <f t="shared" si="440"/>
        <v>C1</v>
      </c>
      <c r="AG483" t="str">
        <f t="shared" si="441"/>
        <v>B1</v>
      </c>
      <c r="AH483" t="str">
        <f t="shared" si="502"/>
        <v>A6.4</v>
      </c>
      <c r="AI483" s="69">
        <f t="array" ref="AI483">IF(COUNTIFS(AH$377:AH483,AH483)=1,"1",VALUE(SUBSTITUTE(INDEX(AI:AI,_xlfn.XMATCH(AH483,AH$1:AH482,0,-1)),"A",""))+INDEX(AJ:AJ,_xlfn.XMATCH(AH483,AH$1:AH482,0,-1))+1)</f>
        <v>25</v>
      </c>
      <c r="AJ483" s="62">
        <f t="array" ref="AJ483">SUM(IF(ISNUMBER(FIND("TmDo",$BE$1:$AAQ$1)),IF(IFERROR(ISNUMBER(VALUE(SUBSTITUTE($BE483:$AAQ483,"B",""))),FALSE),IF(ISNUMBER(VALUE(SUBSTITUTE($BE483:$AAQ483,"B",""))),1,0),0)))</f>
        <v>2</v>
      </c>
      <c r="AK483" t="str">
        <f t="shared" si="594"/>
        <v>25A</v>
      </c>
      <c r="AL483" t="str">
        <f t="shared" si="595"/>
        <v>25B</v>
      </c>
      <c r="AM483" t="s">
        <v>447</v>
      </c>
      <c r="AP483" t="s">
        <v>2184</v>
      </c>
      <c r="AQ483" t="s">
        <v>2508</v>
      </c>
      <c r="AT483" t="s">
        <v>139</v>
      </c>
      <c r="AU483" t="s">
        <v>140</v>
      </c>
      <c r="BD483" s="16"/>
      <c r="BE483" s="27" t="str">
        <f t="shared" si="563"/>
        <v>XT41</v>
      </c>
      <c r="BF483" t="str">
        <f t="shared" si="564"/>
        <v>C2</v>
      </c>
      <c r="BG483" t="str">
        <f t="shared" si="565"/>
        <v>B2</v>
      </c>
      <c r="BH483" t="str">
        <f t="shared" si="566"/>
        <v>C3</v>
      </c>
      <c r="BI483" t="str">
        <f t="shared" si="567"/>
        <v>B3</v>
      </c>
      <c r="BJ483" t="str">
        <f t="shared" si="568"/>
        <v>C4</v>
      </c>
      <c r="BK483" t="str">
        <f t="shared" si="569"/>
        <v>B4</v>
      </c>
      <c r="BL483" t="str">
        <f t="shared" si="570"/>
        <v>C5</v>
      </c>
      <c r="BM483" t="str">
        <f t="shared" si="571"/>
        <v>B5</v>
      </c>
      <c r="BN483" t="str">
        <f t="shared" si="572"/>
        <v>C6</v>
      </c>
      <c r="BO483" t="str">
        <f t="shared" si="573"/>
        <v>B6</v>
      </c>
      <c r="BP483" t="str">
        <f t="shared" si="455"/>
        <v>26A</v>
      </c>
      <c r="BQ483" t="str">
        <f t="shared" si="456"/>
        <v>26B</v>
      </c>
      <c r="BR483" t="str">
        <f t="shared" si="457"/>
        <v>27A</v>
      </c>
      <c r="BS483" t="str">
        <f t="shared" si="458"/>
        <v>27B</v>
      </c>
      <c r="BT483" t="str">
        <f t="shared" si="574"/>
        <v>DI8-C1</v>
      </c>
      <c r="BU483" t="str">
        <f t="shared" si="575"/>
        <v>DI8-B1</v>
      </c>
      <c r="BV483" t="str">
        <f t="shared" si="576"/>
        <v>DI8-C2</v>
      </c>
      <c r="BW483" t="str">
        <f t="shared" si="577"/>
        <v>DI8-B2</v>
      </c>
      <c r="BX483" t="str">
        <f t="shared" si="578"/>
        <v>DI8-C3</v>
      </c>
      <c r="BY483" t="str">
        <f t="shared" si="579"/>
        <v>DI8-B3</v>
      </c>
      <c r="BZ483" t="str">
        <f t="shared" si="580"/>
        <v>DI8-C4</v>
      </c>
      <c r="CA483" t="str">
        <f t="shared" si="581"/>
        <v>DI8-B4</v>
      </c>
      <c r="CB483" t="str">
        <f t="shared" si="582"/>
        <v>DI8-C5</v>
      </c>
      <c r="CC483" t="str">
        <f t="shared" si="583"/>
        <v>DI8-B5</v>
      </c>
      <c r="CD483" t="str">
        <f t="shared" si="584"/>
        <v>DI8-C6</v>
      </c>
      <c r="CE483" t="str">
        <f t="shared" si="585"/>
        <v>DI8-B6</v>
      </c>
      <c r="CF483" t="str">
        <f t="shared" si="586"/>
        <v>DO4-25A</v>
      </c>
      <c r="CG483" t="str">
        <f t="shared" si="587"/>
        <v>DO4-25B</v>
      </c>
      <c r="CH483" t="str">
        <f t="shared" si="588"/>
        <v>DO4-26A</v>
      </c>
      <c r="CI483" t="str">
        <f t="shared" si="589"/>
        <v>DO4-26B</v>
      </c>
      <c r="CJ483" t="str">
        <f t="shared" si="590"/>
        <v>DO4-27A</v>
      </c>
      <c r="CK483" t="str">
        <f t="shared" si="591"/>
        <v>DO4-27B</v>
      </c>
      <c r="CL483" t="str">
        <f t="shared" si="477"/>
        <v>K41-10</v>
      </c>
      <c r="CM483" t="str">
        <f t="shared" si="478"/>
        <v>K41-03</v>
      </c>
      <c r="CN483" t="str">
        <f t="shared" si="479"/>
        <v>K41-04</v>
      </c>
      <c r="CO483" t="str">
        <f t="shared" si="480"/>
        <v>K41-01</v>
      </c>
      <c r="CP483" t="str">
        <f t="shared" si="481"/>
        <v>K41-08</v>
      </c>
      <c r="CQ483" t="str">
        <f t="shared" si="482"/>
        <v>K41-02</v>
      </c>
      <c r="CR483" t="str">
        <f t="shared" si="483"/>
        <v>K41-09</v>
      </c>
      <c r="CS483" t="str">
        <f t="shared" si="484"/>
        <v>K41-05</v>
      </c>
      <c r="CT483" t="str">
        <f t="shared" si="485"/>
        <v>K41-11</v>
      </c>
      <c r="CU483" t="str">
        <f t="shared" si="486"/>
        <v>N1-M41-A9</v>
      </c>
      <c r="CV483" t="str">
        <f t="shared" si="487"/>
        <v>N1-M41-A7</v>
      </c>
      <c r="CW483" t="str">
        <f t="shared" si="488"/>
        <v>N1-M41-A8</v>
      </c>
      <c r="CX483" t="str">
        <f t="shared" si="489"/>
        <v>N1-M41-A6</v>
      </c>
      <c r="CY483" t="str">
        <f t="shared" si="490"/>
        <v>N1-M41-A30</v>
      </c>
      <c r="CZ483" t="str">
        <f t="shared" si="491"/>
        <v>N1-M41-N</v>
      </c>
      <c r="DA483" t="str">
        <f t="shared" si="592"/>
        <v>N1-A220-M41</v>
      </c>
      <c r="DB483" t="str">
        <f t="shared" si="493"/>
        <v>N1-M41-XM01</v>
      </c>
      <c r="DC483" t="str">
        <f t="shared" si="494"/>
        <v>N1-M41-A1</v>
      </c>
      <c r="DD483" t="str">
        <f t="shared" si="495"/>
        <v>N1-M41-A5</v>
      </c>
      <c r="DE483" t="str">
        <f t="shared" si="496"/>
        <v>N1-M41-A11</v>
      </c>
      <c r="DF483" t="str">
        <f t="shared" si="497"/>
        <v>N1-M41-A12</v>
      </c>
      <c r="DG483" t="str">
        <f t="shared" si="498"/>
        <v>N1-M41-A19</v>
      </c>
      <c r="DH483" t="str">
        <f t="shared" si="499"/>
        <v>N1-M41-A20</v>
      </c>
      <c r="DI483" t="s">
        <v>142</v>
      </c>
      <c r="DJ483" t="s">
        <v>143</v>
      </c>
      <c r="DK483">
        <v>11</v>
      </c>
      <c r="DL483">
        <v>14</v>
      </c>
      <c r="DM483">
        <v>12</v>
      </c>
      <c r="DN483" t="s">
        <v>144</v>
      </c>
      <c r="DO483" t="s">
        <v>145</v>
      </c>
      <c r="DP483">
        <v>1</v>
      </c>
      <c r="DQ483">
        <v>2</v>
      </c>
      <c r="DR483">
        <v>3</v>
      </c>
      <c r="DS483">
        <v>4</v>
      </c>
      <c r="DT483">
        <v>5</v>
      </c>
      <c r="DU483">
        <v>6</v>
      </c>
      <c r="DV483">
        <v>7</v>
      </c>
      <c r="DW483">
        <v>8</v>
      </c>
      <c r="DX483">
        <v>9</v>
      </c>
      <c r="DY483">
        <v>10</v>
      </c>
      <c r="DZ483">
        <v>11</v>
      </c>
      <c r="EA483">
        <v>12</v>
      </c>
      <c r="EB483">
        <v>13</v>
      </c>
      <c r="EC483">
        <v>14</v>
      </c>
      <c r="ED483">
        <v>1</v>
      </c>
      <c r="EE483">
        <v>3</v>
      </c>
      <c r="EF483">
        <v>4</v>
      </c>
      <c r="EG483">
        <v>7</v>
      </c>
      <c r="EH483">
        <v>8</v>
      </c>
      <c r="EI483">
        <v>9</v>
      </c>
      <c r="EJ483">
        <v>10</v>
      </c>
      <c r="EK483">
        <v>13</v>
      </c>
      <c r="EL483">
        <v>14</v>
      </c>
      <c r="EM483">
        <v>15</v>
      </c>
      <c r="EN483">
        <v>16</v>
      </c>
      <c r="EO483">
        <v>22</v>
      </c>
      <c r="EP483">
        <v>23</v>
      </c>
      <c r="EQ483" s="16">
        <v>24</v>
      </c>
      <c r="MA483" t="str">
        <f t="shared" si="593"/>
        <v>DI8-B1</v>
      </c>
    </row>
    <row r="484" spans="1:339" x14ac:dyDescent="0.25">
      <c r="A484" s="83" t="s">
        <v>2620</v>
      </c>
      <c r="B484" s="83" t="s">
        <v>2619</v>
      </c>
      <c r="C484" s="3"/>
      <c r="O484" s="2"/>
      <c r="P484" t="s">
        <v>129</v>
      </c>
      <c r="Q484" s="1"/>
      <c r="S484" s="1" t="s">
        <v>130</v>
      </c>
      <c r="T484" s="14" t="s">
        <v>2182</v>
      </c>
      <c r="U484" s="59">
        <v>42</v>
      </c>
      <c r="V484" s="15" t="s">
        <v>2605</v>
      </c>
      <c r="W484" s="15"/>
      <c r="AC484" t="str">
        <f t="shared" si="500"/>
        <v>A5.8</v>
      </c>
      <c r="AD484" s="43">
        <f t="array" ref="AD484">IF(COUNTIFS(AC$377:AC484,AC484)=1,"1",VALUE(SUBSTITUTE(INDEX(AD:AD,_xlfn.XMATCH(AC484,AC$1:AC483,0,-1)),"A",""))+INDEX(AE:AE,_xlfn.XMATCH(AC484,AC$1:AC483,0,-1))+1)</f>
        <v>7</v>
      </c>
      <c r="AE484" s="43">
        <f t="array" ref="AE484">SUM(IF(ISNUMBER(FIND("TmDi",$BE$1:$AAQ$1)),IF(IFERROR(ISNUMBER(VALUE(SUBSTITUTE($BE484:$AAQ484,"B",""))),FALSE),IF(ISNUMBER(VALUE(SUBSTITUTE($BE484:$AAQ484,"B",""))),1,0),0)))</f>
        <v>5</v>
      </c>
      <c r="AF484" t="str">
        <f t="shared" si="440"/>
        <v>C7</v>
      </c>
      <c r="AG484" t="str">
        <f t="shared" si="441"/>
        <v>B7</v>
      </c>
      <c r="AH484" t="str">
        <f t="shared" si="502"/>
        <v>A6.5</v>
      </c>
      <c r="AI484" s="69" t="str">
        <f t="array" ref="AI484">IF(COUNTIFS(AH$377:AH484,AH484)=1,"1",VALUE(SUBSTITUTE(INDEX(AI:AI,_xlfn.XMATCH(AH484,AH$1:AH483,0,-1)),"A",""))+INDEX(AJ:AJ,_xlfn.XMATCH(AH484,AH$1:AH483,0,-1))+1)</f>
        <v>1</v>
      </c>
      <c r="AJ484" s="62">
        <f t="array" ref="AJ484">SUM(IF(ISNUMBER(FIND("TmDo",$BE$1:$AAQ$1)),IF(IFERROR(ISNUMBER(VALUE(SUBSTITUTE($BE484:$AAQ484,"B",""))),FALSE),IF(ISNUMBER(VALUE(SUBSTITUTE($BE484:$AAQ484,"B",""))),1,0),0)))</f>
        <v>2</v>
      </c>
      <c r="AK484" t="str">
        <f t="shared" si="594"/>
        <v>1A</v>
      </c>
      <c r="AL484" t="str">
        <f t="shared" si="595"/>
        <v>1B</v>
      </c>
      <c r="AM484" t="s">
        <v>448</v>
      </c>
      <c r="AP484" t="s">
        <v>2184</v>
      </c>
      <c r="AQ484" t="s">
        <v>2508</v>
      </c>
      <c r="AT484" t="s">
        <v>139</v>
      </c>
      <c r="AU484" t="s">
        <v>140</v>
      </c>
      <c r="BD484" s="16"/>
      <c r="BE484" s="27" t="str">
        <f t="shared" si="563"/>
        <v>XT42</v>
      </c>
      <c r="BF484" t="str">
        <f t="shared" si="564"/>
        <v>C8</v>
      </c>
      <c r="BG484" t="str">
        <f t="shared" si="565"/>
        <v>B8</v>
      </c>
      <c r="BH484" t="str">
        <f t="shared" si="566"/>
        <v>C9</v>
      </c>
      <c r="BI484" t="str">
        <f t="shared" si="567"/>
        <v>B9</v>
      </c>
      <c r="BJ484" t="str">
        <f t="shared" si="568"/>
        <v>C10</v>
      </c>
      <c r="BK484" t="str">
        <f t="shared" si="569"/>
        <v>B10</v>
      </c>
      <c r="BL484" t="str">
        <f t="shared" si="570"/>
        <v>C11</v>
      </c>
      <c r="BM484" t="str">
        <f t="shared" si="571"/>
        <v>B11</v>
      </c>
      <c r="BN484" t="str">
        <f t="shared" si="572"/>
        <v>C12</v>
      </c>
      <c r="BO484" t="str">
        <f t="shared" si="573"/>
        <v>B12</v>
      </c>
      <c r="BP484" t="str">
        <f t="shared" si="455"/>
        <v>2A</v>
      </c>
      <c r="BQ484" t="str">
        <f t="shared" si="456"/>
        <v>2B</v>
      </c>
      <c r="BR484" t="str">
        <f t="shared" si="457"/>
        <v>3A</v>
      </c>
      <c r="BS484" t="str">
        <f t="shared" si="458"/>
        <v>3B</v>
      </c>
      <c r="BT484" t="str">
        <f t="shared" si="574"/>
        <v>DI8-C7</v>
      </c>
      <c r="BU484" t="str">
        <f t="shared" si="575"/>
        <v>DI8-B7</v>
      </c>
      <c r="BV484" t="str">
        <f t="shared" si="576"/>
        <v>DI8-C8</v>
      </c>
      <c r="BW484" t="str">
        <f t="shared" si="577"/>
        <v>DI8-B8</v>
      </c>
      <c r="BX484" t="str">
        <f t="shared" si="578"/>
        <v>DI8-C9</v>
      </c>
      <c r="BY484" t="str">
        <f t="shared" si="579"/>
        <v>DI8-B9</v>
      </c>
      <c r="BZ484" t="str">
        <f t="shared" si="580"/>
        <v>DI8-C10</v>
      </c>
      <c r="CA484" t="str">
        <f t="shared" si="581"/>
        <v>DI8-B10</v>
      </c>
      <c r="CB484" t="str">
        <f t="shared" si="582"/>
        <v>DI8-C11</v>
      </c>
      <c r="CC484" t="str">
        <f t="shared" si="583"/>
        <v>DI8-B11</v>
      </c>
      <c r="CD484" t="str">
        <f t="shared" si="584"/>
        <v>DI8-C12</v>
      </c>
      <c r="CE484" t="str">
        <f t="shared" si="585"/>
        <v>DI8-B12</v>
      </c>
      <c r="CF484" t="str">
        <f t="shared" si="586"/>
        <v>DO5-1A</v>
      </c>
      <c r="CG484" t="str">
        <f t="shared" si="587"/>
        <v>DO5-1B</v>
      </c>
      <c r="CH484" t="str">
        <f t="shared" si="588"/>
        <v>DO5-2A</v>
      </c>
      <c r="CI484" t="str">
        <f t="shared" si="589"/>
        <v>DO5-2B</v>
      </c>
      <c r="CJ484" t="str">
        <f t="shared" si="590"/>
        <v>DO5-3A</v>
      </c>
      <c r="CK484" t="str">
        <f t="shared" si="591"/>
        <v>DO5-3B</v>
      </c>
      <c r="CL484" t="str">
        <f t="shared" si="477"/>
        <v>K42-10</v>
      </c>
      <c r="CM484" t="str">
        <f t="shared" si="478"/>
        <v>K42-03</v>
      </c>
      <c r="CN484" t="str">
        <f t="shared" si="479"/>
        <v>K42-04</v>
      </c>
      <c r="CO484" t="str">
        <f t="shared" si="480"/>
        <v>K42-01</v>
      </c>
      <c r="CP484" t="str">
        <f t="shared" si="481"/>
        <v>K42-08</v>
      </c>
      <c r="CQ484" t="str">
        <f t="shared" si="482"/>
        <v>K42-02</v>
      </c>
      <c r="CR484" t="str">
        <f t="shared" si="483"/>
        <v>K42-09</v>
      </c>
      <c r="CS484" t="str">
        <f t="shared" si="484"/>
        <v>K42-05</v>
      </c>
      <c r="CT484" t="str">
        <f t="shared" si="485"/>
        <v>K42-11</v>
      </c>
      <c r="CU484" t="str">
        <f t="shared" si="486"/>
        <v>N1-M42-A9</v>
      </c>
      <c r="CV484" t="str">
        <f t="shared" si="487"/>
        <v>N1-M42-A7</v>
      </c>
      <c r="CW484" t="str">
        <f t="shared" si="488"/>
        <v>N1-M42-A8</v>
      </c>
      <c r="CX484" t="str">
        <f t="shared" si="489"/>
        <v>N1-M42-A6</v>
      </c>
      <c r="CY484" t="str">
        <f t="shared" si="490"/>
        <v>N1-M42-A30</v>
      </c>
      <c r="CZ484" t="str">
        <f t="shared" si="491"/>
        <v>N1-M42-N</v>
      </c>
      <c r="DA484" t="str">
        <f t="shared" si="592"/>
        <v>N1-A220-M42</v>
      </c>
      <c r="DB484" t="str">
        <f t="shared" si="493"/>
        <v>N1-M42-XM01</v>
      </c>
      <c r="DC484" t="str">
        <f t="shared" si="494"/>
        <v>N1-M42-A1</v>
      </c>
      <c r="DD484" t="str">
        <f t="shared" si="495"/>
        <v>N1-M42-A5</v>
      </c>
      <c r="DE484" t="str">
        <f t="shared" si="496"/>
        <v>N1-M42-A11</v>
      </c>
      <c r="DF484" t="str">
        <f t="shared" si="497"/>
        <v>N1-M42-A12</v>
      </c>
      <c r="DG484" t="str">
        <f t="shared" si="498"/>
        <v>N1-M42-A19</v>
      </c>
      <c r="DH484" t="str">
        <f t="shared" si="499"/>
        <v>N1-M42-A20</v>
      </c>
      <c r="DI484" t="s">
        <v>142</v>
      </c>
      <c r="DJ484" t="s">
        <v>143</v>
      </c>
      <c r="DK484">
        <v>11</v>
      </c>
      <c r="DL484">
        <v>14</v>
      </c>
      <c r="DM484">
        <v>12</v>
      </c>
      <c r="DN484" t="s">
        <v>144</v>
      </c>
      <c r="DO484" t="s">
        <v>145</v>
      </c>
      <c r="DP484">
        <v>1</v>
      </c>
      <c r="DQ484">
        <v>2</v>
      </c>
      <c r="DR484">
        <v>3</v>
      </c>
      <c r="DS484">
        <v>4</v>
      </c>
      <c r="DT484">
        <v>5</v>
      </c>
      <c r="DU484">
        <v>6</v>
      </c>
      <c r="DV484">
        <v>7</v>
      </c>
      <c r="DW484">
        <v>8</v>
      </c>
      <c r="DX484">
        <v>9</v>
      </c>
      <c r="DY484">
        <v>10</v>
      </c>
      <c r="DZ484">
        <v>11</v>
      </c>
      <c r="EA484">
        <v>12</v>
      </c>
      <c r="EB484">
        <v>13</v>
      </c>
      <c r="EC484">
        <v>14</v>
      </c>
      <c r="ED484">
        <v>1</v>
      </c>
      <c r="EE484">
        <v>3</v>
      </c>
      <c r="EF484">
        <v>4</v>
      </c>
      <c r="EG484">
        <v>7</v>
      </c>
      <c r="EH484">
        <v>8</v>
      </c>
      <c r="EI484">
        <v>9</v>
      </c>
      <c r="EJ484">
        <v>10</v>
      </c>
      <c r="EK484">
        <v>13</v>
      </c>
      <c r="EL484">
        <v>14</v>
      </c>
      <c r="EM484">
        <v>15</v>
      </c>
      <c r="EN484">
        <v>16</v>
      </c>
      <c r="EO484">
        <v>22</v>
      </c>
      <c r="EP484">
        <v>23</v>
      </c>
      <c r="EQ484" s="16">
        <v>24</v>
      </c>
      <c r="MA484" t="str">
        <f t="shared" si="593"/>
        <v>DI8-B7</v>
      </c>
    </row>
    <row r="485" spans="1:339" x14ac:dyDescent="0.25">
      <c r="A485" s="83" t="s">
        <v>2622</v>
      </c>
      <c r="B485" s="83" t="s">
        <v>2621</v>
      </c>
      <c r="C485" s="3"/>
      <c r="O485" s="2"/>
      <c r="P485" t="s">
        <v>129</v>
      </c>
      <c r="Q485" s="1"/>
      <c r="S485" s="1" t="s">
        <v>130</v>
      </c>
      <c r="T485" s="14" t="s">
        <v>2182</v>
      </c>
      <c r="U485" s="59">
        <v>43</v>
      </c>
      <c r="V485" s="15" t="s">
        <v>2606</v>
      </c>
      <c r="W485" s="15"/>
      <c r="AC485" t="str">
        <f t="shared" si="500"/>
        <v>A5.8</v>
      </c>
      <c r="AD485" s="43">
        <f t="array" ref="AD485">IF(COUNTIFS(AC$377:AC485,AC485)=1,"1",VALUE(SUBSTITUTE(INDEX(AD:AD,_xlfn.XMATCH(AC485,AC$1:AC484,0,-1)),"A",""))+INDEX(AE:AE,_xlfn.XMATCH(AC485,AC$1:AC484,0,-1))+1)</f>
        <v>13</v>
      </c>
      <c r="AE485" s="43">
        <f t="array" ref="AE485">SUM(IF(ISNUMBER(FIND("TmDi",$BE$1:$AAQ$1)),IF(IFERROR(ISNUMBER(VALUE(SUBSTITUTE($BE485:$AAQ485,"B",""))),FALSE),IF(ISNUMBER(VALUE(SUBSTITUTE($BE485:$AAQ485,"B",""))),1,0),0)))</f>
        <v>5</v>
      </c>
      <c r="AF485" t="str">
        <f t="shared" si="440"/>
        <v>C13</v>
      </c>
      <c r="AG485" t="str">
        <f t="shared" si="441"/>
        <v>B13</v>
      </c>
      <c r="AH485" t="str">
        <f t="shared" si="502"/>
        <v>A6.5</v>
      </c>
      <c r="AI485" s="69">
        <f t="array" ref="AI485">IF(COUNTIFS(AH$377:AH485,AH485)=1,"1",VALUE(SUBSTITUTE(INDEX(AI:AI,_xlfn.XMATCH(AH485,AH$1:AH484,0,-1)),"A",""))+INDEX(AJ:AJ,_xlfn.XMATCH(AH485,AH$1:AH484,0,-1))+1)</f>
        <v>4</v>
      </c>
      <c r="AJ485" s="62">
        <f t="array" ref="AJ485">SUM(IF(ISNUMBER(FIND("TmDo",$BE$1:$AAQ$1)),IF(IFERROR(ISNUMBER(VALUE(SUBSTITUTE($BE485:$AAQ485,"B",""))),FALSE),IF(ISNUMBER(VALUE(SUBSTITUTE($BE485:$AAQ485,"B",""))),1,0),0)))</f>
        <v>2</v>
      </c>
      <c r="AK485" t="str">
        <f t="shared" si="594"/>
        <v>4A</v>
      </c>
      <c r="AL485" t="str">
        <f t="shared" si="595"/>
        <v>4B</v>
      </c>
      <c r="AM485" t="s">
        <v>449</v>
      </c>
      <c r="AP485" t="s">
        <v>2184</v>
      </c>
      <c r="AQ485" t="s">
        <v>2508</v>
      </c>
      <c r="AT485" t="s">
        <v>139</v>
      </c>
      <c r="AU485" t="s">
        <v>140</v>
      </c>
      <c r="BD485" s="16"/>
      <c r="BE485" s="27" t="str">
        <f t="shared" si="563"/>
        <v>XT43</v>
      </c>
      <c r="BF485" t="str">
        <f t="shared" si="564"/>
        <v>C14</v>
      </c>
      <c r="BG485" t="str">
        <f t="shared" si="565"/>
        <v>B14</v>
      </c>
      <c r="BH485" t="str">
        <f t="shared" si="566"/>
        <v>C15</v>
      </c>
      <c r="BI485" t="str">
        <f t="shared" si="567"/>
        <v>B15</v>
      </c>
      <c r="BJ485" t="str">
        <f t="shared" si="568"/>
        <v>C16</v>
      </c>
      <c r="BK485" t="str">
        <f t="shared" si="569"/>
        <v>B16</v>
      </c>
      <c r="BL485" t="str">
        <f t="shared" si="570"/>
        <v>C17</v>
      </c>
      <c r="BM485" t="str">
        <f t="shared" si="571"/>
        <v>B17</v>
      </c>
      <c r="BN485" t="str">
        <f t="shared" si="572"/>
        <v>C18</v>
      </c>
      <c r="BO485" t="str">
        <f t="shared" si="573"/>
        <v>B18</v>
      </c>
      <c r="BP485" t="str">
        <f t="shared" si="455"/>
        <v>5A</v>
      </c>
      <c r="BQ485" t="str">
        <f t="shared" si="456"/>
        <v>5B</v>
      </c>
      <c r="BR485" t="str">
        <f t="shared" si="457"/>
        <v>6A</v>
      </c>
      <c r="BS485" t="str">
        <f t="shared" si="458"/>
        <v>6B</v>
      </c>
      <c r="BT485" t="str">
        <f t="shared" si="574"/>
        <v>DI8-C13</v>
      </c>
      <c r="BU485" t="str">
        <f t="shared" si="575"/>
        <v>DI8-B13</v>
      </c>
      <c r="BV485" t="str">
        <f t="shared" si="576"/>
        <v>DI8-C14</v>
      </c>
      <c r="BW485" t="str">
        <f t="shared" si="577"/>
        <v>DI8-B14</v>
      </c>
      <c r="BX485" t="str">
        <f t="shared" si="578"/>
        <v>DI8-C15</v>
      </c>
      <c r="BY485" t="str">
        <f t="shared" si="579"/>
        <v>DI8-B15</v>
      </c>
      <c r="BZ485" t="str">
        <f t="shared" si="580"/>
        <v>DI8-C16</v>
      </c>
      <c r="CA485" t="str">
        <f t="shared" si="581"/>
        <v>DI8-B16</v>
      </c>
      <c r="CB485" t="str">
        <f t="shared" si="582"/>
        <v>DI8-C17</v>
      </c>
      <c r="CC485" t="str">
        <f t="shared" si="583"/>
        <v>DI8-B17</v>
      </c>
      <c r="CD485" t="str">
        <f t="shared" si="584"/>
        <v>DI8-C18</v>
      </c>
      <c r="CE485" t="str">
        <f t="shared" si="585"/>
        <v>DI8-B18</v>
      </c>
      <c r="CF485" t="str">
        <f t="shared" si="586"/>
        <v>DO5-4A</v>
      </c>
      <c r="CG485" t="str">
        <f t="shared" si="587"/>
        <v>DO5-4B</v>
      </c>
      <c r="CH485" t="str">
        <f t="shared" si="588"/>
        <v>DO5-5A</v>
      </c>
      <c r="CI485" t="str">
        <f t="shared" si="589"/>
        <v>DO5-5B</v>
      </c>
      <c r="CJ485" t="str">
        <f t="shared" si="590"/>
        <v>DO5-6A</v>
      </c>
      <c r="CK485" t="str">
        <f t="shared" si="591"/>
        <v>DO5-6B</v>
      </c>
      <c r="CL485" t="str">
        <f t="shared" si="477"/>
        <v>K43-10</v>
      </c>
      <c r="CM485" t="str">
        <f t="shared" si="478"/>
        <v>K43-03</v>
      </c>
      <c r="CN485" t="str">
        <f t="shared" si="479"/>
        <v>K43-04</v>
      </c>
      <c r="CO485" t="str">
        <f t="shared" si="480"/>
        <v>K43-01</v>
      </c>
      <c r="CP485" t="str">
        <f t="shared" si="481"/>
        <v>K43-08</v>
      </c>
      <c r="CQ485" t="str">
        <f t="shared" si="482"/>
        <v>K43-02</v>
      </c>
      <c r="CR485" t="str">
        <f t="shared" si="483"/>
        <v>K43-09</v>
      </c>
      <c r="CS485" t="str">
        <f t="shared" si="484"/>
        <v>K43-05</v>
      </c>
      <c r="CT485" t="str">
        <f t="shared" si="485"/>
        <v>K43-11</v>
      </c>
      <c r="CU485" t="str">
        <f t="shared" si="486"/>
        <v>N1-M43-A9</v>
      </c>
      <c r="CV485" t="str">
        <f t="shared" si="487"/>
        <v>N1-M43-A7</v>
      </c>
      <c r="CW485" t="str">
        <f t="shared" si="488"/>
        <v>N1-M43-A8</v>
      </c>
      <c r="CX485" t="str">
        <f t="shared" si="489"/>
        <v>N1-M43-A6</v>
      </c>
      <c r="CY485" t="str">
        <f t="shared" si="490"/>
        <v>N1-M43-A30</v>
      </c>
      <c r="CZ485" t="str">
        <f t="shared" si="491"/>
        <v>N1-M43-N</v>
      </c>
      <c r="DA485" t="str">
        <f t="shared" si="592"/>
        <v>N1-A220-M43</v>
      </c>
      <c r="DB485" t="str">
        <f t="shared" si="493"/>
        <v>N1-M43-XM01</v>
      </c>
      <c r="DC485" t="str">
        <f t="shared" si="494"/>
        <v>N1-M43-A1</v>
      </c>
      <c r="DD485" t="str">
        <f t="shared" si="495"/>
        <v>N1-M43-A5</v>
      </c>
      <c r="DE485" t="str">
        <f t="shared" si="496"/>
        <v>N1-M43-A11</v>
      </c>
      <c r="DF485" t="str">
        <f t="shared" si="497"/>
        <v>N1-M43-A12</v>
      </c>
      <c r="DG485" t="str">
        <f t="shared" si="498"/>
        <v>N1-M43-A19</v>
      </c>
      <c r="DH485" t="str">
        <f t="shared" si="499"/>
        <v>N1-M43-A20</v>
      </c>
      <c r="DI485" t="s">
        <v>142</v>
      </c>
      <c r="DJ485" t="s">
        <v>143</v>
      </c>
      <c r="DK485">
        <v>11</v>
      </c>
      <c r="DL485">
        <v>14</v>
      </c>
      <c r="DM485">
        <v>12</v>
      </c>
      <c r="DN485" t="s">
        <v>144</v>
      </c>
      <c r="DO485" t="s">
        <v>145</v>
      </c>
      <c r="DP485">
        <v>1</v>
      </c>
      <c r="DQ485">
        <v>2</v>
      </c>
      <c r="DR485">
        <v>3</v>
      </c>
      <c r="DS485">
        <v>4</v>
      </c>
      <c r="DT485">
        <v>5</v>
      </c>
      <c r="DU485">
        <v>6</v>
      </c>
      <c r="DV485">
        <v>7</v>
      </c>
      <c r="DW485">
        <v>8</v>
      </c>
      <c r="DX485">
        <v>9</v>
      </c>
      <c r="DY485">
        <v>10</v>
      </c>
      <c r="DZ485">
        <v>11</v>
      </c>
      <c r="EA485">
        <v>12</v>
      </c>
      <c r="EB485">
        <v>13</v>
      </c>
      <c r="EC485">
        <v>14</v>
      </c>
      <c r="ED485">
        <v>1</v>
      </c>
      <c r="EE485">
        <v>3</v>
      </c>
      <c r="EF485">
        <v>4</v>
      </c>
      <c r="EG485">
        <v>7</v>
      </c>
      <c r="EH485">
        <v>8</v>
      </c>
      <c r="EI485">
        <v>9</v>
      </c>
      <c r="EJ485">
        <v>10</v>
      </c>
      <c r="EK485">
        <v>13</v>
      </c>
      <c r="EL485">
        <v>14</v>
      </c>
      <c r="EM485">
        <v>15</v>
      </c>
      <c r="EN485">
        <v>16</v>
      </c>
      <c r="EO485">
        <v>22</v>
      </c>
      <c r="EP485">
        <v>23</v>
      </c>
      <c r="EQ485" s="16">
        <v>24</v>
      </c>
      <c r="MA485" t="str">
        <f t="shared" si="593"/>
        <v>DI8-B13</v>
      </c>
    </row>
    <row r="486" spans="1:339" x14ac:dyDescent="0.25">
      <c r="A486" s="83" t="s">
        <v>2624</v>
      </c>
      <c r="B486" s="83" t="s">
        <v>2623</v>
      </c>
      <c r="C486" s="3"/>
      <c r="O486" s="2"/>
      <c r="P486" t="s">
        <v>129</v>
      </c>
      <c r="Q486" s="1"/>
      <c r="S486" s="1" t="s">
        <v>130</v>
      </c>
      <c r="T486" s="14" t="s">
        <v>2182</v>
      </c>
      <c r="U486" s="59">
        <v>44</v>
      </c>
      <c r="V486" s="15" t="s">
        <v>2607</v>
      </c>
      <c r="W486" s="15"/>
      <c r="AC486" t="str">
        <f t="shared" si="500"/>
        <v>A5.8</v>
      </c>
      <c r="AD486" s="43">
        <f t="array" ref="AD486">IF(COUNTIFS(AC$377:AC486,AC486)=1,"1",VALUE(SUBSTITUTE(INDEX(AD:AD,_xlfn.XMATCH(AC486,AC$1:AC485,0,-1)),"A",""))+INDEX(AE:AE,_xlfn.XMATCH(AC486,AC$1:AC485,0,-1))+1)</f>
        <v>19</v>
      </c>
      <c r="AE486" s="43">
        <f t="array" ref="AE486">SUM(IF(ISNUMBER(FIND("TmDi",$BE$1:$AAQ$1)),IF(IFERROR(ISNUMBER(VALUE(SUBSTITUTE($BE486:$AAQ486,"B",""))),FALSE),IF(ISNUMBER(VALUE(SUBSTITUTE($BE486:$AAQ486,"B",""))),1,0),0)))</f>
        <v>5</v>
      </c>
      <c r="AF486" t="str">
        <f t="shared" si="440"/>
        <v>C19</v>
      </c>
      <c r="AG486" t="str">
        <f t="shared" si="441"/>
        <v>B19</v>
      </c>
      <c r="AH486" t="str">
        <f t="shared" si="502"/>
        <v>A6.5</v>
      </c>
      <c r="AI486" s="69">
        <f t="array" ref="AI486">IF(COUNTIFS(AH$377:AH486,AH486)=1,"1",VALUE(SUBSTITUTE(INDEX(AI:AI,_xlfn.XMATCH(AH486,AH$1:AH485,0,-1)),"A",""))+INDEX(AJ:AJ,_xlfn.XMATCH(AH486,AH$1:AH485,0,-1))+1)</f>
        <v>7</v>
      </c>
      <c r="AJ486" s="62">
        <f t="array" ref="AJ486">SUM(IF(ISNUMBER(FIND("TmDo",$BE$1:$AAQ$1)),IF(IFERROR(ISNUMBER(VALUE(SUBSTITUTE($BE486:$AAQ486,"B",""))),FALSE),IF(ISNUMBER(VALUE(SUBSTITUTE($BE486:$AAQ486,"B",""))),1,0),0)))</f>
        <v>2</v>
      </c>
      <c r="AK486" t="str">
        <f t="shared" si="594"/>
        <v>7A</v>
      </c>
      <c r="AL486" t="str">
        <f t="shared" si="595"/>
        <v>7B</v>
      </c>
      <c r="AM486" t="s">
        <v>450</v>
      </c>
      <c r="AP486" t="s">
        <v>2184</v>
      </c>
      <c r="AQ486" t="s">
        <v>2508</v>
      </c>
      <c r="AT486" t="s">
        <v>139</v>
      </c>
      <c r="AU486" t="s">
        <v>140</v>
      </c>
      <c r="BD486" s="16"/>
      <c r="BE486" s="27" t="str">
        <f t="shared" si="563"/>
        <v>XT44</v>
      </c>
      <c r="BF486" t="str">
        <f t="shared" si="564"/>
        <v>C20</v>
      </c>
      <c r="BG486" t="str">
        <f t="shared" si="565"/>
        <v>B20</v>
      </c>
      <c r="BH486" t="str">
        <f t="shared" si="566"/>
        <v>C21</v>
      </c>
      <c r="BI486" t="str">
        <f t="shared" si="567"/>
        <v>B21</v>
      </c>
      <c r="BJ486" t="str">
        <f t="shared" si="568"/>
        <v>C22</v>
      </c>
      <c r="BK486" t="str">
        <f t="shared" si="569"/>
        <v>B22</v>
      </c>
      <c r="BL486" t="str">
        <f t="shared" si="570"/>
        <v>C23</v>
      </c>
      <c r="BM486" t="str">
        <f t="shared" si="571"/>
        <v>B23</v>
      </c>
      <c r="BN486" t="str">
        <f t="shared" si="572"/>
        <v>C24</v>
      </c>
      <c r="BO486" t="str">
        <f t="shared" si="573"/>
        <v>B24</v>
      </c>
      <c r="BP486" t="str">
        <f t="shared" si="455"/>
        <v>8A</v>
      </c>
      <c r="BQ486" t="str">
        <f t="shared" si="456"/>
        <v>8B</v>
      </c>
      <c r="BR486" t="str">
        <f t="shared" si="457"/>
        <v>9A</v>
      </c>
      <c r="BS486" t="str">
        <f t="shared" si="458"/>
        <v>9B</v>
      </c>
      <c r="BT486" t="str">
        <f t="shared" si="574"/>
        <v>DI8-C19</v>
      </c>
      <c r="BU486" t="str">
        <f t="shared" si="575"/>
        <v>DI8-B19</v>
      </c>
      <c r="BV486" t="str">
        <f t="shared" si="576"/>
        <v>DI8-C20</v>
      </c>
      <c r="BW486" t="str">
        <f t="shared" si="577"/>
        <v>DI8-B20</v>
      </c>
      <c r="BX486" t="str">
        <f t="shared" si="578"/>
        <v>DI8-C21</v>
      </c>
      <c r="BY486" t="str">
        <f t="shared" si="579"/>
        <v>DI8-B21</v>
      </c>
      <c r="BZ486" t="str">
        <f t="shared" si="580"/>
        <v>DI8-C22</v>
      </c>
      <c r="CA486" t="str">
        <f t="shared" si="581"/>
        <v>DI8-B22</v>
      </c>
      <c r="CB486" t="str">
        <f t="shared" si="582"/>
        <v>DI8-C23</v>
      </c>
      <c r="CC486" t="str">
        <f t="shared" si="583"/>
        <v>DI8-B23</v>
      </c>
      <c r="CD486" t="str">
        <f t="shared" si="584"/>
        <v>DI8-C24</v>
      </c>
      <c r="CE486" t="str">
        <f t="shared" si="585"/>
        <v>DI8-B24</v>
      </c>
      <c r="CF486" t="str">
        <f t="shared" si="586"/>
        <v>DO5-7A</v>
      </c>
      <c r="CG486" t="str">
        <f t="shared" si="587"/>
        <v>DO5-7B</v>
      </c>
      <c r="CH486" t="str">
        <f t="shared" si="588"/>
        <v>DO5-8A</v>
      </c>
      <c r="CI486" t="str">
        <f t="shared" si="589"/>
        <v>DO5-8B</v>
      </c>
      <c r="CJ486" t="str">
        <f t="shared" si="590"/>
        <v>DO5-9A</v>
      </c>
      <c r="CK486" t="str">
        <f t="shared" si="591"/>
        <v>DO5-9B</v>
      </c>
      <c r="CL486" t="str">
        <f t="shared" si="477"/>
        <v>K44-10</v>
      </c>
      <c r="CM486" t="str">
        <f t="shared" si="478"/>
        <v>K44-03</v>
      </c>
      <c r="CN486" t="str">
        <f t="shared" si="479"/>
        <v>K44-04</v>
      </c>
      <c r="CO486" t="str">
        <f t="shared" si="480"/>
        <v>K44-01</v>
      </c>
      <c r="CP486" t="str">
        <f t="shared" si="481"/>
        <v>K44-08</v>
      </c>
      <c r="CQ486" t="str">
        <f t="shared" si="482"/>
        <v>K44-02</v>
      </c>
      <c r="CR486" t="str">
        <f t="shared" si="483"/>
        <v>K44-09</v>
      </c>
      <c r="CS486" t="str">
        <f t="shared" si="484"/>
        <v>K44-05</v>
      </c>
      <c r="CT486" t="str">
        <f t="shared" si="485"/>
        <v>K44-11</v>
      </c>
      <c r="CU486" t="str">
        <f t="shared" si="486"/>
        <v>N1-M44-A9</v>
      </c>
      <c r="CV486" t="str">
        <f t="shared" si="487"/>
        <v>N1-M44-A7</v>
      </c>
      <c r="CW486" t="str">
        <f t="shared" si="488"/>
        <v>N1-M44-A8</v>
      </c>
      <c r="CX486" t="str">
        <f t="shared" si="489"/>
        <v>N1-M44-A6</v>
      </c>
      <c r="CY486" t="str">
        <f t="shared" si="490"/>
        <v>N1-M44-A30</v>
      </c>
      <c r="CZ486" t="str">
        <f t="shared" si="491"/>
        <v>N1-M44-N</v>
      </c>
      <c r="DA486" t="str">
        <f t="shared" si="592"/>
        <v>N1-A220-M44</v>
      </c>
      <c r="DB486" t="str">
        <f t="shared" si="493"/>
        <v>N1-M44-XM01</v>
      </c>
      <c r="DC486" t="str">
        <f t="shared" si="494"/>
        <v>N1-M44-A1</v>
      </c>
      <c r="DD486" t="str">
        <f t="shared" si="495"/>
        <v>N1-M44-A5</v>
      </c>
      <c r="DE486" t="str">
        <f t="shared" si="496"/>
        <v>N1-M44-A11</v>
      </c>
      <c r="DF486" t="str">
        <f t="shared" si="497"/>
        <v>N1-M44-A12</v>
      </c>
      <c r="DG486" t="str">
        <f t="shared" si="498"/>
        <v>N1-M44-A19</v>
      </c>
      <c r="DH486" t="str">
        <f t="shared" si="499"/>
        <v>N1-M44-A20</v>
      </c>
      <c r="DI486" t="s">
        <v>142</v>
      </c>
      <c r="DJ486" t="s">
        <v>143</v>
      </c>
      <c r="DK486">
        <v>11</v>
      </c>
      <c r="DL486">
        <v>14</v>
      </c>
      <c r="DM486">
        <v>12</v>
      </c>
      <c r="DN486" t="s">
        <v>144</v>
      </c>
      <c r="DO486" t="s">
        <v>145</v>
      </c>
      <c r="DP486">
        <v>1</v>
      </c>
      <c r="DQ486">
        <v>2</v>
      </c>
      <c r="DR486">
        <v>3</v>
      </c>
      <c r="DS486">
        <v>4</v>
      </c>
      <c r="DT486">
        <v>5</v>
      </c>
      <c r="DU486">
        <v>6</v>
      </c>
      <c r="DV486">
        <v>7</v>
      </c>
      <c r="DW486">
        <v>8</v>
      </c>
      <c r="DX486">
        <v>9</v>
      </c>
      <c r="DY486">
        <v>10</v>
      </c>
      <c r="DZ486">
        <v>11</v>
      </c>
      <c r="EA486">
        <v>12</v>
      </c>
      <c r="EB486">
        <v>13</v>
      </c>
      <c r="EC486">
        <v>14</v>
      </c>
      <c r="ED486">
        <v>1</v>
      </c>
      <c r="EE486">
        <v>3</v>
      </c>
      <c r="EF486">
        <v>4</v>
      </c>
      <c r="EG486">
        <v>7</v>
      </c>
      <c r="EH486">
        <v>8</v>
      </c>
      <c r="EI486">
        <v>9</v>
      </c>
      <c r="EJ486">
        <v>10</v>
      </c>
      <c r="EK486">
        <v>13</v>
      </c>
      <c r="EL486">
        <v>14</v>
      </c>
      <c r="EM486">
        <v>15</v>
      </c>
      <c r="EN486">
        <v>16</v>
      </c>
      <c r="EO486">
        <v>22</v>
      </c>
      <c r="EP486">
        <v>23</v>
      </c>
      <c r="EQ486" s="16">
        <v>24</v>
      </c>
      <c r="MA486" t="str">
        <f t="shared" si="593"/>
        <v>DI8-B19</v>
      </c>
    </row>
    <row r="487" spans="1:339" x14ac:dyDescent="0.25">
      <c r="A487" s="83" t="s">
        <v>2626</v>
      </c>
      <c r="B487" s="83" t="s">
        <v>2625</v>
      </c>
      <c r="C487" s="3"/>
      <c r="O487" s="2"/>
      <c r="P487" t="s">
        <v>129</v>
      </c>
      <c r="Q487" s="1"/>
      <c r="S487" s="1" t="s">
        <v>130</v>
      </c>
      <c r="T487" s="14" t="s">
        <v>2182</v>
      </c>
      <c r="U487" s="59">
        <v>45</v>
      </c>
      <c r="V487" s="15" t="s">
        <v>2608</v>
      </c>
      <c r="W487" s="15"/>
      <c r="AC487" t="str">
        <f t="shared" si="500"/>
        <v>A5.8</v>
      </c>
      <c r="AD487" s="43">
        <f t="array" ref="AD487">IF(COUNTIFS(AC$377:AC487,AC487)=1,"1",VALUE(SUBSTITUTE(INDEX(AD:AD,_xlfn.XMATCH(AC487,AC$1:AC486,0,-1)),"A",""))+INDEX(AE:AE,_xlfn.XMATCH(AC487,AC$1:AC486,0,-1))+1)</f>
        <v>25</v>
      </c>
      <c r="AE487" s="43">
        <f t="array" ref="AE487">SUM(IF(ISNUMBER(FIND("TmDi",$BE$1:$AAQ$1)),IF(IFERROR(ISNUMBER(VALUE(SUBSTITUTE($BE487:$AAQ487,"B",""))),FALSE),IF(ISNUMBER(VALUE(SUBSTITUTE($BE487:$AAQ487,"B",""))),1,0),0)))</f>
        <v>5</v>
      </c>
      <c r="AF487" t="str">
        <f t="shared" si="440"/>
        <v>C25</v>
      </c>
      <c r="AG487" t="str">
        <f t="shared" si="441"/>
        <v>B25</v>
      </c>
      <c r="AH487" t="str">
        <f t="shared" si="502"/>
        <v>A6.5</v>
      </c>
      <c r="AI487" s="69">
        <f t="array" ref="AI487">IF(COUNTIFS(AH$377:AH487,AH487)=1,"1",VALUE(SUBSTITUTE(INDEX(AI:AI,_xlfn.XMATCH(AH487,AH$1:AH486,0,-1)),"A",""))+INDEX(AJ:AJ,_xlfn.XMATCH(AH487,AH$1:AH486,0,-1))+1)</f>
        <v>10</v>
      </c>
      <c r="AJ487" s="62">
        <f t="array" ref="AJ487">SUM(IF(ISNUMBER(FIND("TmDo",$BE$1:$AAQ$1)),IF(IFERROR(ISNUMBER(VALUE(SUBSTITUTE($BE487:$AAQ487,"B",""))),FALSE),IF(ISNUMBER(VALUE(SUBSTITUTE($BE487:$AAQ487,"B",""))),1,0),0)))</f>
        <v>2</v>
      </c>
      <c r="AK487" t="str">
        <f t="shared" si="594"/>
        <v>10A</v>
      </c>
      <c r="AL487" t="str">
        <f t="shared" si="595"/>
        <v>10B</v>
      </c>
      <c r="AM487" t="s">
        <v>451</v>
      </c>
      <c r="AP487" t="s">
        <v>2184</v>
      </c>
      <c r="AQ487" t="s">
        <v>2508</v>
      </c>
      <c r="AT487" t="s">
        <v>139</v>
      </c>
      <c r="AU487" t="s">
        <v>140</v>
      </c>
      <c r="BD487" s="16"/>
      <c r="BE487" s="27" t="str">
        <f t="shared" si="563"/>
        <v>XT45</v>
      </c>
      <c r="BF487" t="str">
        <f t="shared" si="564"/>
        <v>C26</v>
      </c>
      <c r="BG487" t="str">
        <f t="shared" si="565"/>
        <v>B26</v>
      </c>
      <c r="BH487" t="str">
        <f t="shared" si="566"/>
        <v>C27</v>
      </c>
      <c r="BI487" t="str">
        <f t="shared" si="567"/>
        <v>B27</v>
      </c>
      <c r="BJ487" t="str">
        <f t="shared" si="568"/>
        <v>C28</v>
      </c>
      <c r="BK487" t="str">
        <f t="shared" si="569"/>
        <v>B28</v>
      </c>
      <c r="BL487" t="str">
        <f t="shared" si="570"/>
        <v>C29</v>
      </c>
      <c r="BM487" t="str">
        <f t="shared" si="571"/>
        <v>B29</v>
      </c>
      <c r="BN487" t="str">
        <f t="shared" si="572"/>
        <v>C30</v>
      </c>
      <c r="BO487" t="str">
        <f t="shared" si="573"/>
        <v>B30</v>
      </c>
      <c r="BP487" t="str">
        <f t="shared" si="455"/>
        <v>11A</v>
      </c>
      <c r="BQ487" t="str">
        <f t="shared" si="456"/>
        <v>11B</v>
      </c>
      <c r="BR487" t="str">
        <f t="shared" si="457"/>
        <v>12A</v>
      </c>
      <c r="BS487" t="str">
        <f t="shared" si="458"/>
        <v>12B</v>
      </c>
      <c r="BT487" t="str">
        <f t="shared" si="574"/>
        <v>DI8-C25</v>
      </c>
      <c r="BU487" t="str">
        <f t="shared" si="575"/>
        <v>DI8-B25</v>
      </c>
      <c r="BV487" t="str">
        <f t="shared" si="576"/>
        <v>DI8-C26</v>
      </c>
      <c r="BW487" t="str">
        <f t="shared" si="577"/>
        <v>DI8-B26</v>
      </c>
      <c r="BX487" t="str">
        <f t="shared" si="578"/>
        <v>DI8-C27</v>
      </c>
      <c r="BY487" t="str">
        <f t="shared" si="579"/>
        <v>DI8-B27</v>
      </c>
      <c r="BZ487" t="str">
        <f t="shared" si="580"/>
        <v>DI8-C28</v>
      </c>
      <c r="CA487" t="str">
        <f t="shared" si="581"/>
        <v>DI8-B28</v>
      </c>
      <c r="CB487" t="str">
        <f t="shared" si="582"/>
        <v>DI8-C29</v>
      </c>
      <c r="CC487" t="str">
        <f t="shared" si="583"/>
        <v>DI8-B29</v>
      </c>
      <c r="CD487" t="str">
        <f t="shared" si="584"/>
        <v>DI8-C30</v>
      </c>
      <c r="CE487" t="str">
        <f t="shared" si="585"/>
        <v>DI8-B30</v>
      </c>
      <c r="CF487" t="str">
        <f t="shared" si="586"/>
        <v>DO5-10A</v>
      </c>
      <c r="CG487" t="str">
        <f t="shared" si="587"/>
        <v>DO5-10B</v>
      </c>
      <c r="CH487" t="str">
        <f t="shared" si="588"/>
        <v>DO5-11A</v>
      </c>
      <c r="CI487" t="str">
        <f t="shared" si="589"/>
        <v>DO5-11B</v>
      </c>
      <c r="CJ487" t="str">
        <f t="shared" si="590"/>
        <v>DO5-12A</v>
      </c>
      <c r="CK487" t="str">
        <f t="shared" si="591"/>
        <v>DO5-12B</v>
      </c>
      <c r="CL487" t="str">
        <f t="shared" si="477"/>
        <v>K45-10</v>
      </c>
      <c r="CM487" t="str">
        <f t="shared" si="478"/>
        <v>K45-03</v>
      </c>
      <c r="CN487" t="str">
        <f t="shared" si="479"/>
        <v>K45-04</v>
      </c>
      <c r="CO487" t="str">
        <f t="shared" si="480"/>
        <v>K45-01</v>
      </c>
      <c r="CP487" t="str">
        <f t="shared" si="481"/>
        <v>K45-08</v>
      </c>
      <c r="CQ487" t="str">
        <f t="shared" si="482"/>
        <v>K45-02</v>
      </c>
      <c r="CR487" t="str">
        <f t="shared" si="483"/>
        <v>K45-09</v>
      </c>
      <c r="CS487" t="str">
        <f t="shared" si="484"/>
        <v>K45-05</v>
      </c>
      <c r="CT487" t="str">
        <f t="shared" si="485"/>
        <v>K45-11</v>
      </c>
      <c r="CU487" t="str">
        <f t="shared" si="486"/>
        <v>N1-M45-A9</v>
      </c>
      <c r="CV487" t="str">
        <f t="shared" si="487"/>
        <v>N1-M45-A7</v>
      </c>
      <c r="CW487" t="str">
        <f t="shared" si="488"/>
        <v>N1-M45-A8</v>
      </c>
      <c r="CX487" t="str">
        <f t="shared" si="489"/>
        <v>N1-M45-A6</v>
      </c>
      <c r="CY487" t="str">
        <f t="shared" si="490"/>
        <v>N1-M45-A30</v>
      </c>
      <c r="CZ487" t="str">
        <f t="shared" si="491"/>
        <v>N1-M45-N</v>
      </c>
      <c r="DA487" t="str">
        <f t="shared" si="592"/>
        <v>N1-A220-M45</v>
      </c>
      <c r="DB487" t="str">
        <f t="shared" si="493"/>
        <v>N1-M45-XM01</v>
      </c>
      <c r="DC487" t="str">
        <f t="shared" si="494"/>
        <v>N1-M45-A1</v>
      </c>
      <c r="DD487" t="str">
        <f t="shared" si="495"/>
        <v>N1-M45-A5</v>
      </c>
      <c r="DE487" t="str">
        <f t="shared" si="496"/>
        <v>N1-M45-A11</v>
      </c>
      <c r="DF487" t="str">
        <f t="shared" si="497"/>
        <v>N1-M45-A12</v>
      </c>
      <c r="DG487" t="str">
        <f t="shared" si="498"/>
        <v>N1-M45-A19</v>
      </c>
      <c r="DH487" t="str">
        <f t="shared" si="499"/>
        <v>N1-M45-A20</v>
      </c>
      <c r="DI487" t="s">
        <v>142</v>
      </c>
      <c r="DJ487" t="s">
        <v>143</v>
      </c>
      <c r="DK487">
        <v>11</v>
      </c>
      <c r="DL487">
        <v>14</v>
      </c>
      <c r="DM487">
        <v>12</v>
      </c>
      <c r="DN487" t="s">
        <v>144</v>
      </c>
      <c r="DO487" t="s">
        <v>145</v>
      </c>
      <c r="DP487">
        <v>1</v>
      </c>
      <c r="DQ487">
        <v>2</v>
      </c>
      <c r="DR487">
        <v>3</v>
      </c>
      <c r="DS487">
        <v>4</v>
      </c>
      <c r="DT487">
        <v>5</v>
      </c>
      <c r="DU487">
        <v>6</v>
      </c>
      <c r="DV487">
        <v>7</v>
      </c>
      <c r="DW487">
        <v>8</v>
      </c>
      <c r="DX487">
        <v>9</v>
      </c>
      <c r="DY487">
        <v>10</v>
      </c>
      <c r="DZ487">
        <v>11</v>
      </c>
      <c r="EA487">
        <v>12</v>
      </c>
      <c r="EB487">
        <v>13</v>
      </c>
      <c r="EC487">
        <v>14</v>
      </c>
      <c r="ED487">
        <v>1</v>
      </c>
      <c r="EE487">
        <v>3</v>
      </c>
      <c r="EF487">
        <v>4</v>
      </c>
      <c r="EG487">
        <v>7</v>
      </c>
      <c r="EH487">
        <v>8</v>
      </c>
      <c r="EI487">
        <v>9</v>
      </c>
      <c r="EJ487">
        <v>10</v>
      </c>
      <c r="EK487">
        <v>13</v>
      </c>
      <c r="EL487">
        <v>14</v>
      </c>
      <c r="EM487">
        <v>15</v>
      </c>
      <c r="EN487">
        <v>16</v>
      </c>
      <c r="EO487">
        <v>22</v>
      </c>
      <c r="EP487">
        <v>23</v>
      </c>
      <c r="EQ487" s="16">
        <v>24</v>
      </c>
      <c r="MA487" t="str">
        <f t="shared" si="593"/>
        <v>DI8-B25</v>
      </c>
    </row>
    <row r="488" spans="1:339" x14ac:dyDescent="0.25">
      <c r="A488" s="83" t="s">
        <v>2632</v>
      </c>
      <c r="B488" s="83" t="s">
        <v>2631</v>
      </c>
      <c r="C488" s="3"/>
      <c r="O488" s="2"/>
      <c r="P488" t="s">
        <v>129</v>
      </c>
      <c r="Q488" s="1"/>
      <c r="S488" s="1" t="s">
        <v>130</v>
      </c>
      <c r="T488" s="14" t="s">
        <v>2182</v>
      </c>
      <c r="U488" s="59">
        <v>46</v>
      </c>
      <c r="V488" s="15" t="s">
        <v>2627</v>
      </c>
      <c r="W488" s="15"/>
      <c r="AC488" t="str">
        <f t="shared" ref="AC488:AC499" si="596">IF(AD487+AE487&gt;25,REPLACE(AC487,LEN(AC487),1,VALUE(RIGHT(AC487,1))+1),AC487)</f>
        <v>A5.9</v>
      </c>
      <c r="AD488" s="43" t="str">
        <f t="array" ref="AD488">IF(COUNTIFS(AC$377:AC488,AC488)=1,"1",VALUE(SUBSTITUTE(INDEX(AD:AD,_xlfn.XMATCH(AC488,AC$1:AC487,0,-1)),"A",""))+INDEX(AE:AE,_xlfn.XMATCH(AC488,AC$1:AC487,0,-1))+1)</f>
        <v>1</v>
      </c>
      <c r="AE488" s="43">
        <f t="array" ref="AE488">SUM(IF(ISNUMBER(FIND("TmDi",$BE$1:$AAQ$1)),IF(IFERROR(ISNUMBER(VALUE(SUBSTITUTE($BE488:$AAQ488,"B",""))),FALSE),IF(ISNUMBER(VALUE(SUBSTITUTE($BE488:$AAQ488,"B",""))),1,0),0)))</f>
        <v>5</v>
      </c>
      <c r="AF488" t="str">
        <f t="shared" si="440"/>
        <v>C1</v>
      </c>
      <c r="AG488" t="str">
        <f t="shared" si="441"/>
        <v>B1</v>
      </c>
      <c r="AH488" t="str">
        <f t="shared" ref="AH488:AH499" si="597">IF(AI487+AJ487&gt;25,REPLACE(AH487,LEN(AH487),1,VALUE(RIGHT(AH487,1))+1),AH487)</f>
        <v>A6.5</v>
      </c>
      <c r="AI488" s="69">
        <f t="array" ref="AI488">IF(COUNTIFS(AH$377:AH488,AH488)=1,"1",VALUE(SUBSTITUTE(INDEX(AI:AI,_xlfn.XMATCH(AH488,AH$1:AH487,0,-1)),"A",""))+INDEX(AJ:AJ,_xlfn.XMATCH(AH488,AH$1:AH487,0,-1))+1)</f>
        <v>13</v>
      </c>
      <c r="AJ488" s="62">
        <f t="array" ref="AJ488">SUM(IF(ISNUMBER(FIND("TmDo",$BE$1:$AAQ$1)),IF(IFERROR(ISNUMBER(VALUE(SUBSTITUTE($BE488:$AAQ488,"B",""))),FALSE),IF(ISNUMBER(VALUE(SUBSTITUTE($BE488:$AAQ488,"B",""))),1,0),0)))</f>
        <v>2</v>
      </c>
      <c r="AK488" t="str">
        <f t="shared" si="594"/>
        <v>13A</v>
      </c>
      <c r="AL488" t="str">
        <f t="shared" si="595"/>
        <v>13B</v>
      </c>
      <c r="AM488" t="s">
        <v>452</v>
      </c>
      <c r="AP488" t="s">
        <v>2184</v>
      </c>
      <c r="AQ488" t="s">
        <v>2508</v>
      </c>
      <c r="AT488" t="s">
        <v>139</v>
      </c>
      <c r="AU488" t="s">
        <v>140</v>
      </c>
      <c r="BD488" s="16"/>
      <c r="BE488" s="27" t="str">
        <f>CONCATENATE("XT",U488)</f>
        <v>XT46</v>
      </c>
      <c r="BF488" t="str">
        <f>CONCATENATE("C",REPLACE(AF488,1,1,"")+1)</f>
        <v>C2</v>
      </c>
      <c r="BG488" t="str">
        <f>CONCATENATE("B",REPLACE(AG488,1,1,"")+1)</f>
        <v>B2</v>
      </c>
      <c r="BH488" t="str">
        <f>CONCATENATE("C",REPLACE(BF488,1,1,"")+1)</f>
        <v>C3</v>
      </c>
      <c r="BI488" t="str">
        <f>CONCATENATE("B",REPLACE(BG488,1,1,"")+1)</f>
        <v>B3</v>
      </c>
      <c r="BJ488" t="str">
        <f>CONCATENATE("C",REPLACE(BH488,1,1,"")+1)</f>
        <v>C4</v>
      </c>
      <c r="BK488" t="str">
        <f>CONCATENATE("B",REPLACE(BI488,1,1,"")+1)</f>
        <v>B4</v>
      </c>
      <c r="BL488" t="str">
        <f>CONCATENATE("C",REPLACE(BJ488,1,1,"")+1)</f>
        <v>C5</v>
      </c>
      <c r="BM488" t="str">
        <f>CONCATENATE("B",REPLACE(BK488,1,1,"")+1)</f>
        <v>B5</v>
      </c>
      <c r="BN488" t="str">
        <f>CONCATENATE("C",REPLACE(BL488,1,1,"")+1)</f>
        <v>C6</v>
      </c>
      <c r="BO488" t="str">
        <f>CONCATENATE("B",REPLACE(BM488,1,1,"")+1)</f>
        <v>B6</v>
      </c>
      <c r="BP488" t="str">
        <f t="shared" si="455"/>
        <v>14A</v>
      </c>
      <c r="BQ488" t="str">
        <f t="shared" si="456"/>
        <v>14B</v>
      </c>
      <c r="BR488" t="str">
        <f t="shared" si="457"/>
        <v>15A</v>
      </c>
      <c r="BS488" t="str">
        <f t="shared" si="458"/>
        <v>15B</v>
      </c>
      <c r="BT488" t="str">
        <f t="shared" ref="BT488:BU490" si="598">CONCATENATE("DI",REPLACE($AC488,1,3,""),"-",AF488)</f>
        <v>DI9-C1</v>
      </c>
      <c r="BU488" t="str">
        <f t="shared" si="598"/>
        <v>DI9-B1</v>
      </c>
      <c r="BV488" t="str">
        <f t="shared" ref="BV488:CE490" si="599">CONCATENATE("DI",REPLACE($AC488,1,3,""),"-",BF488)</f>
        <v>DI9-C2</v>
      </c>
      <c r="BW488" t="str">
        <f t="shared" si="599"/>
        <v>DI9-B2</v>
      </c>
      <c r="BX488" t="str">
        <f t="shared" si="599"/>
        <v>DI9-C3</v>
      </c>
      <c r="BY488" t="str">
        <f t="shared" si="599"/>
        <v>DI9-B3</v>
      </c>
      <c r="BZ488" t="str">
        <f t="shared" si="599"/>
        <v>DI9-C4</v>
      </c>
      <c r="CA488" t="str">
        <f t="shared" si="599"/>
        <v>DI9-B4</v>
      </c>
      <c r="CB488" t="str">
        <f t="shared" si="599"/>
        <v>DI9-C5</v>
      </c>
      <c r="CC488" t="str">
        <f t="shared" si="599"/>
        <v>DI9-B5</v>
      </c>
      <c r="CD488" t="str">
        <f t="shared" si="599"/>
        <v>DI9-C6</v>
      </c>
      <c r="CE488" t="str">
        <f t="shared" si="599"/>
        <v>DI9-B6</v>
      </c>
      <c r="CF488" t="str">
        <f t="shared" ref="CF488:CG490" si="600">CONCATENATE("DO",REPLACE($AH488,1,3,""),"-",AK488)</f>
        <v>DO5-13A</v>
      </c>
      <c r="CG488" t="str">
        <f t="shared" si="600"/>
        <v>DO5-13B</v>
      </c>
      <c r="CH488" t="str">
        <f t="shared" ref="CH488:CK490" si="601">CONCATENATE("DO",REPLACE($AH488,1,3,""),"-",BP488)</f>
        <v>DO5-14A</v>
      </c>
      <c r="CI488" t="str">
        <f t="shared" si="601"/>
        <v>DO5-14B</v>
      </c>
      <c r="CJ488" t="str">
        <f t="shared" si="601"/>
        <v>DO5-15A</v>
      </c>
      <c r="CK488" t="str">
        <f t="shared" si="601"/>
        <v>DO5-15B</v>
      </c>
      <c r="CL488" t="str">
        <f t="shared" si="477"/>
        <v>K46-10</v>
      </c>
      <c r="CM488" t="str">
        <f t="shared" si="478"/>
        <v>K46-03</v>
      </c>
      <c r="CN488" t="str">
        <f t="shared" si="479"/>
        <v>K46-04</v>
      </c>
      <c r="CO488" t="str">
        <f t="shared" si="480"/>
        <v>K46-01</v>
      </c>
      <c r="CP488" t="str">
        <f t="shared" si="481"/>
        <v>K46-08</v>
      </c>
      <c r="CQ488" t="str">
        <f t="shared" si="482"/>
        <v>K46-02</v>
      </c>
      <c r="CR488" t="str">
        <f t="shared" si="483"/>
        <v>K46-09</v>
      </c>
      <c r="CS488" t="str">
        <f t="shared" si="484"/>
        <v>K46-05</v>
      </c>
      <c r="CT488" t="str">
        <f t="shared" si="485"/>
        <v>K46-11</v>
      </c>
      <c r="CU488" t="str">
        <f t="shared" si="486"/>
        <v>N1-M46-A9</v>
      </c>
      <c r="CV488" t="str">
        <f t="shared" si="487"/>
        <v>N1-M46-A7</v>
      </c>
      <c r="CW488" t="str">
        <f t="shared" si="488"/>
        <v>N1-M46-A8</v>
      </c>
      <c r="CX488" t="str">
        <f t="shared" si="489"/>
        <v>N1-M46-A6</v>
      </c>
      <c r="CY488" t="str">
        <f t="shared" si="490"/>
        <v>N1-M46-A30</v>
      </c>
      <c r="CZ488" t="str">
        <f t="shared" si="491"/>
        <v>N1-M46-N</v>
      </c>
      <c r="DA488" t="str">
        <f>CONCATENATE($T488,"-A220-M",U488)</f>
        <v>N1-A220-M46</v>
      </c>
      <c r="DB488" t="str">
        <f t="shared" si="493"/>
        <v>N1-M46-XM01</v>
      </c>
      <c r="DC488" t="str">
        <f t="shared" si="494"/>
        <v>N1-M46-A1</v>
      </c>
      <c r="DD488" t="str">
        <f t="shared" si="495"/>
        <v>N1-M46-A5</v>
      </c>
      <c r="DE488" t="str">
        <f t="shared" si="496"/>
        <v>N1-M46-A11</v>
      </c>
      <c r="DF488" t="str">
        <f t="shared" si="497"/>
        <v>N1-M46-A12</v>
      </c>
      <c r="DG488" t="str">
        <f t="shared" si="498"/>
        <v>N1-M46-A19</v>
      </c>
      <c r="DH488" t="str">
        <f t="shared" si="499"/>
        <v>N1-M46-A20</v>
      </c>
      <c r="DI488" t="s">
        <v>142</v>
      </c>
      <c r="DJ488" t="s">
        <v>143</v>
      </c>
      <c r="DK488">
        <v>11</v>
      </c>
      <c r="DL488">
        <v>14</v>
      </c>
      <c r="DM488">
        <v>12</v>
      </c>
      <c r="DN488" t="s">
        <v>144</v>
      </c>
      <c r="DO488" t="s">
        <v>145</v>
      </c>
      <c r="DP488">
        <v>1</v>
      </c>
      <c r="DQ488">
        <v>2</v>
      </c>
      <c r="DR488">
        <v>3</v>
      </c>
      <c r="DS488">
        <v>4</v>
      </c>
      <c r="DT488">
        <v>5</v>
      </c>
      <c r="DU488">
        <v>6</v>
      </c>
      <c r="DV488">
        <v>7</v>
      </c>
      <c r="DW488">
        <v>8</v>
      </c>
      <c r="DX488">
        <v>9</v>
      </c>
      <c r="DY488">
        <v>10</v>
      </c>
      <c r="DZ488">
        <v>11</v>
      </c>
      <c r="EA488">
        <v>12</v>
      </c>
      <c r="EB488">
        <v>13</v>
      </c>
      <c r="EC488">
        <v>14</v>
      </c>
      <c r="ED488">
        <v>1</v>
      </c>
      <c r="EE488">
        <v>3</v>
      </c>
      <c r="EF488">
        <v>4</v>
      </c>
      <c r="EG488">
        <v>7</v>
      </c>
      <c r="EH488">
        <v>8</v>
      </c>
      <c r="EI488">
        <v>9</v>
      </c>
      <c r="EJ488">
        <v>10</v>
      </c>
      <c r="EK488">
        <v>13</v>
      </c>
      <c r="EL488">
        <v>14</v>
      </c>
      <c r="EM488">
        <v>15</v>
      </c>
      <c r="EN488">
        <v>16</v>
      </c>
      <c r="EO488">
        <v>22</v>
      </c>
      <c r="EP488">
        <v>23</v>
      </c>
      <c r="EQ488" s="16">
        <v>24</v>
      </c>
      <c r="MA488" t="str">
        <f t="shared" si="593"/>
        <v>DI9-B1</v>
      </c>
    </row>
    <row r="489" spans="1:339" x14ac:dyDescent="0.25">
      <c r="A489" s="83" t="s">
        <v>2634</v>
      </c>
      <c r="B489" s="83" t="s">
        <v>2633</v>
      </c>
      <c r="C489" s="3"/>
      <c r="O489" s="2"/>
      <c r="P489" t="s">
        <v>129</v>
      </c>
      <c r="Q489" s="1"/>
      <c r="S489" s="1" t="s">
        <v>130</v>
      </c>
      <c r="T489" s="14" t="s">
        <v>2182</v>
      </c>
      <c r="U489" s="59">
        <v>47</v>
      </c>
      <c r="V489" s="15" t="s">
        <v>2628</v>
      </c>
      <c r="W489" s="15"/>
      <c r="AC489" t="str">
        <f t="shared" si="596"/>
        <v>A5.9</v>
      </c>
      <c r="AD489" s="43">
        <f t="array" ref="AD489">IF(COUNTIFS(AC$377:AC489,AC489)=1,"1",VALUE(SUBSTITUTE(INDEX(AD:AD,_xlfn.XMATCH(AC489,AC$1:AC488,0,-1)),"A",""))+INDEX(AE:AE,_xlfn.XMATCH(AC489,AC$1:AC488,0,-1))+1)</f>
        <v>7</v>
      </c>
      <c r="AE489" s="43">
        <f t="array" ref="AE489">SUM(IF(ISNUMBER(FIND("TmDi",$BE$1:$AAQ$1)),IF(IFERROR(ISNUMBER(VALUE(SUBSTITUTE($BE489:$AAQ489,"B",""))),FALSE),IF(ISNUMBER(VALUE(SUBSTITUTE($BE489:$AAQ489,"B",""))),1,0),0)))</f>
        <v>5</v>
      </c>
      <c r="AF489" t="str">
        <f t="shared" si="440"/>
        <v>C7</v>
      </c>
      <c r="AG489" t="str">
        <f t="shared" si="441"/>
        <v>B7</v>
      </c>
      <c r="AH489" t="str">
        <f t="shared" si="597"/>
        <v>A6.5</v>
      </c>
      <c r="AI489" s="69">
        <f t="array" ref="AI489">IF(COUNTIFS(AH$377:AH489,AH489)=1,"1",VALUE(SUBSTITUTE(INDEX(AI:AI,_xlfn.XMATCH(AH489,AH$1:AH488,0,-1)),"A",""))+INDEX(AJ:AJ,_xlfn.XMATCH(AH489,AH$1:AH488,0,-1))+1)</f>
        <v>16</v>
      </c>
      <c r="AJ489" s="62">
        <f t="array" ref="AJ489">SUM(IF(ISNUMBER(FIND("TmDo",$BE$1:$AAQ$1)),IF(IFERROR(ISNUMBER(VALUE(SUBSTITUTE($BE489:$AAQ489,"B",""))),FALSE),IF(ISNUMBER(VALUE(SUBSTITUTE($BE489:$AAQ489,"B",""))),1,0),0)))</f>
        <v>2</v>
      </c>
      <c r="AK489" t="str">
        <f t="shared" si="594"/>
        <v>16A</v>
      </c>
      <c r="AL489" t="str">
        <f t="shared" si="595"/>
        <v>16B</v>
      </c>
      <c r="AM489" t="s">
        <v>2630</v>
      </c>
      <c r="AP489" t="s">
        <v>2184</v>
      </c>
      <c r="AQ489" t="s">
        <v>2508</v>
      </c>
      <c r="AT489" t="s">
        <v>139</v>
      </c>
      <c r="AU489" t="s">
        <v>140</v>
      </c>
      <c r="BD489" s="16"/>
      <c r="BE489" s="27" t="str">
        <f>CONCATENATE("XT",U489)</f>
        <v>XT47</v>
      </c>
      <c r="BF489" t="str">
        <f>CONCATENATE("C",REPLACE(AF489,1,1,"")+1)</f>
        <v>C8</v>
      </c>
      <c r="BG489" t="str">
        <f>CONCATENATE("B",REPLACE(AG489,1,1,"")+1)</f>
        <v>B8</v>
      </c>
      <c r="BH489" t="str">
        <f>CONCATENATE("C",REPLACE(BF489,1,1,"")+1)</f>
        <v>C9</v>
      </c>
      <c r="BI489" t="str">
        <f>CONCATENATE("B",REPLACE(BG489,1,1,"")+1)</f>
        <v>B9</v>
      </c>
      <c r="BJ489" t="str">
        <f>CONCATENATE("C",REPLACE(BH489,1,1,"")+1)</f>
        <v>C10</v>
      </c>
      <c r="BK489" t="str">
        <f>CONCATENATE("B",REPLACE(BI489,1,1,"")+1)</f>
        <v>B10</v>
      </c>
      <c r="BL489" t="str">
        <f>CONCATENATE("C",REPLACE(BJ489,1,1,"")+1)</f>
        <v>C11</v>
      </c>
      <c r="BM489" t="str">
        <f>CONCATENATE("B",REPLACE(BK489,1,1,"")+1)</f>
        <v>B11</v>
      </c>
      <c r="BN489" t="str">
        <f>CONCATENATE("C",REPLACE(BL489,1,1,"")+1)</f>
        <v>C12</v>
      </c>
      <c r="BO489" t="str">
        <f>CONCATENATE("B",REPLACE(BM489,1,1,"")+1)</f>
        <v>B12</v>
      </c>
      <c r="BP489" t="str">
        <f t="shared" si="455"/>
        <v>17A</v>
      </c>
      <c r="BQ489" t="str">
        <f t="shared" si="456"/>
        <v>17B</v>
      </c>
      <c r="BR489" t="str">
        <f t="shared" si="457"/>
        <v>18A</v>
      </c>
      <c r="BS489" t="str">
        <f t="shared" si="458"/>
        <v>18B</v>
      </c>
      <c r="BT489" t="str">
        <f t="shared" si="598"/>
        <v>DI9-C7</v>
      </c>
      <c r="BU489" t="str">
        <f t="shared" si="598"/>
        <v>DI9-B7</v>
      </c>
      <c r="BV489" t="str">
        <f t="shared" si="599"/>
        <v>DI9-C8</v>
      </c>
      <c r="BW489" t="str">
        <f t="shared" si="599"/>
        <v>DI9-B8</v>
      </c>
      <c r="BX489" t="str">
        <f t="shared" si="599"/>
        <v>DI9-C9</v>
      </c>
      <c r="BY489" t="str">
        <f t="shared" si="599"/>
        <v>DI9-B9</v>
      </c>
      <c r="BZ489" t="str">
        <f t="shared" si="599"/>
        <v>DI9-C10</v>
      </c>
      <c r="CA489" t="str">
        <f t="shared" si="599"/>
        <v>DI9-B10</v>
      </c>
      <c r="CB489" t="str">
        <f t="shared" si="599"/>
        <v>DI9-C11</v>
      </c>
      <c r="CC489" t="str">
        <f t="shared" si="599"/>
        <v>DI9-B11</v>
      </c>
      <c r="CD489" t="str">
        <f t="shared" si="599"/>
        <v>DI9-C12</v>
      </c>
      <c r="CE489" t="str">
        <f t="shared" si="599"/>
        <v>DI9-B12</v>
      </c>
      <c r="CF489" t="str">
        <f t="shared" si="600"/>
        <v>DO5-16A</v>
      </c>
      <c r="CG489" t="str">
        <f t="shared" si="600"/>
        <v>DO5-16B</v>
      </c>
      <c r="CH489" t="str">
        <f t="shared" si="601"/>
        <v>DO5-17A</v>
      </c>
      <c r="CI489" t="str">
        <f t="shared" si="601"/>
        <v>DO5-17B</v>
      </c>
      <c r="CJ489" t="str">
        <f t="shared" si="601"/>
        <v>DO5-18A</v>
      </c>
      <c r="CK489" t="str">
        <f t="shared" si="601"/>
        <v>DO5-18B</v>
      </c>
      <c r="CL489" t="str">
        <f t="shared" si="477"/>
        <v>K47-10</v>
      </c>
      <c r="CM489" t="str">
        <f t="shared" si="478"/>
        <v>K47-03</v>
      </c>
      <c r="CN489" t="str">
        <f t="shared" si="479"/>
        <v>K47-04</v>
      </c>
      <c r="CO489" t="str">
        <f t="shared" si="480"/>
        <v>K47-01</v>
      </c>
      <c r="CP489" t="str">
        <f t="shared" si="481"/>
        <v>K47-08</v>
      </c>
      <c r="CQ489" t="str">
        <f t="shared" si="482"/>
        <v>K47-02</v>
      </c>
      <c r="CR489" t="str">
        <f t="shared" si="483"/>
        <v>K47-09</v>
      </c>
      <c r="CS489" t="str">
        <f t="shared" si="484"/>
        <v>K47-05</v>
      </c>
      <c r="CT489" t="str">
        <f t="shared" si="485"/>
        <v>K47-11</v>
      </c>
      <c r="CU489" t="str">
        <f t="shared" si="486"/>
        <v>N1-M47-A9</v>
      </c>
      <c r="CV489" t="str">
        <f t="shared" si="487"/>
        <v>N1-M47-A7</v>
      </c>
      <c r="CW489" t="str">
        <f t="shared" si="488"/>
        <v>N1-M47-A8</v>
      </c>
      <c r="CX489" t="str">
        <f t="shared" si="489"/>
        <v>N1-M47-A6</v>
      </c>
      <c r="CY489" t="str">
        <f t="shared" si="490"/>
        <v>N1-M47-A30</v>
      </c>
      <c r="CZ489" t="str">
        <f t="shared" si="491"/>
        <v>N1-M47-N</v>
      </c>
      <c r="DA489" t="str">
        <f>CONCATENATE($T489,"-A220-M",U489)</f>
        <v>N1-A220-M47</v>
      </c>
      <c r="DB489" t="str">
        <f t="shared" si="493"/>
        <v>N1-M47-XM01</v>
      </c>
      <c r="DC489" t="str">
        <f t="shared" si="494"/>
        <v>N1-M47-A1</v>
      </c>
      <c r="DD489" t="str">
        <f t="shared" si="495"/>
        <v>N1-M47-A5</v>
      </c>
      <c r="DE489" t="str">
        <f t="shared" si="496"/>
        <v>N1-M47-A11</v>
      </c>
      <c r="DF489" t="str">
        <f t="shared" si="497"/>
        <v>N1-M47-A12</v>
      </c>
      <c r="DG489" t="str">
        <f t="shared" si="498"/>
        <v>N1-M47-A19</v>
      </c>
      <c r="DH489" t="str">
        <f t="shared" si="499"/>
        <v>N1-M47-A20</v>
      </c>
      <c r="DI489" t="s">
        <v>142</v>
      </c>
      <c r="DJ489" t="s">
        <v>143</v>
      </c>
      <c r="DK489">
        <v>11</v>
      </c>
      <c r="DL489">
        <v>14</v>
      </c>
      <c r="DM489">
        <v>12</v>
      </c>
      <c r="DN489" t="s">
        <v>144</v>
      </c>
      <c r="DO489" t="s">
        <v>145</v>
      </c>
      <c r="DP489">
        <v>1</v>
      </c>
      <c r="DQ489">
        <v>2</v>
      </c>
      <c r="DR489">
        <v>3</v>
      </c>
      <c r="DS489">
        <v>4</v>
      </c>
      <c r="DT489">
        <v>5</v>
      </c>
      <c r="DU489">
        <v>6</v>
      </c>
      <c r="DV489">
        <v>7</v>
      </c>
      <c r="DW489">
        <v>8</v>
      </c>
      <c r="DX489">
        <v>9</v>
      </c>
      <c r="DY489">
        <v>10</v>
      </c>
      <c r="DZ489">
        <v>11</v>
      </c>
      <c r="EA489">
        <v>12</v>
      </c>
      <c r="EB489">
        <v>13</v>
      </c>
      <c r="EC489">
        <v>14</v>
      </c>
      <c r="ED489">
        <v>1</v>
      </c>
      <c r="EE489">
        <v>3</v>
      </c>
      <c r="EF489">
        <v>4</v>
      </c>
      <c r="EG489">
        <v>7</v>
      </c>
      <c r="EH489">
        <v>8</v>
      </c>
      <c r="EI489">
        <v>9</v>
      </c>
      <c r="EJ489">
        <v>10</v>
      </c>
      <c r="EK489">
        <v>13</v>
      </c>
      <c r="EL489">
        <v>14</v>
      </c>
      <c r="EM489">
        <v>15</v>
      </c>
      <c r="EN489">
        <v>16</v>
      </c>
      <c r="EO489">
        <v>22</v>
      </c>
      <c r="EP489">
        <v>23</v>
      </c>
      <c r="EQ489" s="16">
        <v>24</v>
      </c>
      <c r="MA489" t="str">
        <f t="shared" si="593"/>
        <v>DI9-B7</v>
      </c>
    </row>
    <row r="490" spans="1:339" ht="15.75" thickBot="1" x14ac:dyDescent="0.3">
      <c r="A490" s="83" t="s">
        <v>2636</v>
      </c>
      <c r="B490" s="83" t="s">
        <v>2635</v>
      </c>
      <c r="C490" s="3"/>
      <c r="O490" s="2"/>
      <c r="P490" t="s">
        <v>129</v>
      </c>
      <c r="Q490" s="1"/>
      <c r="S490" s="1" t="s">
        <v>130</v>
      </c>
      <c r="T490" s="14" t="s">
        <v>2182</v>
      </c>
      <c r="U490" s="59">
        <v>48</v>
      </c>
      <c r="V490" s="15" t="s">
        <v>2629</v>
      </c>
      <c r="W490" s="15"/>
      <c r="AC490" t="str">
        <f t="shared" si="596"/>
        <v>A5.9</v>
      </c>
      <c r="AD490" s="43">
        <f t="array" ref="AD490">IF(COUNTIFS(AC$377:AC490,AC490)=1,"1",VALUE(SUBSTITUTE(INDEX(AD:AD,_xlfn.XMATCH(AC490,AC$1:AC489,0,-1)),"A",""))+INDEX(AE:AE,_xlfn.XMATCH(AC490,AC$1:AC489,0,-1))+1)</f>
        <v>13</v>
      </c>
      <c r="AE490" s="43">
        <f t="array" ref="AE490">SUM(IF(ISNUMBER(FIND("TmDi",$BE$1:$AAQ$1)),IF(IFERROR(ISNUMBER(VALUE(SUBSTITUTE($BE490:$AAQ490,"B",""))),FALSE),IF(ISNUMBER(VALUE(SUBSTITUTE($BE490:$AAQ490,"B",""))),1,0),0)))</f>
        <v>5</v>
      </c>
      <c r="AF490" t="str">
        <f t="shared" si="440"/>
        <v>C13</v>
      </c>
      <c r="AG490" t="str">
        <f t="shared" si="441"/>
        <v>B13</v>
      </c>
      <c r="AH490" t="str">
        <f t="shared" si="597"/>
        <v>A6.5</v>
      </c>
      <c r="AI490" s="69">
        <f t="array" ref="AI490">IF(COUNTIFS(AH$377:AH490,AH490)=1,"1",VALUE(SUBSTITUTE(INDEX(AI:AI,_xlfn.XMATCH(AH490,AH$1:AH489,0,-1)),"A",""))+INDEX(AJ:AJ,_xlfn.XMATCH(AH490,AH$1:AH489,0,-1))+1)</f>
        <v>19</v>
      </c>
      <c r="AJ490" s="62">
        <f t="array" ref="AJ490">SUM(IF(ISNUMBER(FIND("TmDo",$BE$1:$AAQ$1)),IF(IFERROR(ISNUMBER(VALUE(SUBSTITUTE($BE490:$AAQ490,"B",""))),FALSE),IF(ISNUMBER(VALUE(SUBSTITUTE($BE490:$AAQ490,"B",""))),1,0),0)))</f>
        <v>2</v>
      </c>
      <c r="AK490" t="str">
        <f t="shared" si="594"/>
        <v>19A</v>
      </c>
      <c r="AL490" t="str">
        <f t="shared" si="595"/>
        <v>19B</v>
      </c>
      <c r="AM490" t="s">
        <v>453</v>
      </c>
      <c r="AP490" t="s">
        <v>2184</v>
      </c>
      <c r="AQ490" t="s">
        <v>2508</v>
      </c>
      <c r="AT490" t="s">
        <v>139</v>
      </c>
      <c r="AU490" t="s">
        <v>140</v>
      </c>
      <c r="BD490" s="16"/>
      <c r="BE490" s="28" t="str">
        <f>CONCATENATE("XT",U490)</f>
        <v>XT48</v>
      </c>
      <c r="BF490" s="19" t="str">
        <f>CONCATENATE("C",REPLACE(AF490,1,1,"")+1)</f>
        <v>C14</v>
      </c>
      <c r="BG490" s="19" t="str">
        <f>CONCATENATE("B",REPLACE(AG490,1,1,"")+1)</f>
        <v>B14</v>
      </c>
      <c r="BH490" s="19" t="str">
        <f>CONCATENATE("C",REPLACE(BF490,1,1,"")+1)</f>
        <v>C15</v>
      </c>
      <c r="BI490" s="19" t="str">
        <f>CONCATENATE("B",REPLACE(BG490,1,1,"")+1)</f>
        <v>B15</v>
      </c>
      <c r="BJ490" s="19" t="str">
        <f>CONCATENATE("C",REPLACE(BH490,1,1,"")+1)</f>
        <v>C16</v>
      </c>
      <c r="BK490" s="19" t="str">
        <f>CONCATENATE("B",REPLACE(BI490,1,1,"")+1)</f>
        <v>B16</v>
      </c>
      <c r="BL490" s="19" t="str">
        <f>CONCATENATE("C",REPLACE(BJ490,1,1,"")+1)</f>
        <v>C17</v>
      </c>
      <c r="BM490" s="19" t="str">
        <f>CONCATENATE("B",REPLACE(BK490,1,1,"")+1)</f>
        <v>B17</v>
      </c>
      <c r="BN490" s="19" t="str">
        <f>CONCATENATE("C",REPLACE(BL490,1,1,"")+1)</f>
        <v>C18</v>
      </c>
      <c r="BO490" s="19" t="str">
        <f>CONCATENATE("B",REPLACE(BM490,1,1,"")+1)</f>
        <v>B18</v>
      </c>
      <c r="BP490" s="19" t="str">
        <f t="shared" si="455"/>
        <v>20A</v>
      </c>
      <c r="BQ490" s="19" t="str">
        <f t="shared" si="456"/>
        <v>20B</v>
      </c>
      <c r="BR490" s="19" t="str">
        <f t="shared" si="457"/>
        <v>21A</v>
      </c>
      <c r="BS490" s="19" t="str">
        <f t="shared" si="458"/>
        <v>21B</v>
      </c>
      <c r="BT490" s="19" t="str">
        <f t="shared" si="598"/>
        <v>DI9-C13</v>
      </c>
      <c r="BU490" s="19" t="str">
        <f t="shared" si="598"/>
        <v>DI9-B13</v>
      </c>
      <c r="BV490" s="19" t="str">
        <f t="shared" si="599"/>
        <v>DI9-C14</v>
      </c>
      <c r="BW490" s="19" t="str">
        <f t="shared" si="599"/>
        <v>DI9-B14</v>
      </c>
      <c r="BX490" s="19" t="str">
        <f t="shared" si="599"/>
        <v>DI9-C15</v>
      </c>
      <c r="BY490" s="19" t="str">
        <f t="shared" si="599"/>
        <v>DI9-B15</v>
      </c>
      <c r="BZ490" s="19" t="str">
        <f t="shared" si="599"/>
        <v>DI9-C16</v>
      </c>
      <c r="CA490" s="19" t="str">
        <f t="shared" si="599"/>
        <v>DI9-B16</v>
      </c>
      <c r="CB490" s="19" t="str">
        <f t="shared" si="599"/>
        <v>DI9-C17</v>
      </c>
      <c r="CC490" s="19" t="str">
        <f t="shared" si="599"/>
        <v>DI9-B17</v>
      </c>
      <c r="CD490" s="19" t="str">
        <f t="shared" si="599"/>
        <v>DI9-C18</v>
      </c>
      <c r="CE490" s="19" t="str">
        <f t="shared" si="599"/>
        <v>DI9-B18</v>
      </c>
      <c r="CF490" s="19" t="str">
        <f t="shared" si="600"/>
        <v>DO5-19A</v>
      </c>
      <c r="CG490" s="19" t="str">
        <f t="shared" si="600"/>
        <v>DO5-19B</v>
      </c>
      <c r="CH490" s="19" t="str">
        <f t="shared" si="601"/>
        <v>DO5-20A</v>
      </c>
      <c r="CI490" s="19" t="str">
        <f t="shared" si="601"/>
        <v>DO5-20B</v>
      </c>
      <c r="CJ490" s="19" t="str">
        <f t="shared" si="601"/>
        <v>DO5-21A</v>
      </c>
      <c r="CK490" s="19" t="str">
        <f t="shared" si="601"/>
        <v>DO5-21B</v>
      </c>
      <c r="CL490" s="19" t="str">
        <f t="shared" si="477"/>
        <v>K48-10</v>
      </c>
      <c r="CM490" s="19" t="str">
        <f t="shared" si="478"/>
        <v>K48-03</v>
      </c>
      <c r="CN490" s="19" t="str">
        <f t="shared" si="479"/>
        <v>K48-04</v>
      </c>
      <c r="CO490" s="19" t="str">
        <f t="shared" si="480"/>
        <v>K48-01</v>
      </c>
      <c r="CP490" s="19" t="str">
        <f t="shared" si="481"/>
        <v>K48-08</v>
      </c>
      <c r="CQ490" s="19" t="str">
        <f t="shared" si="482"/>
        <v>K48-02</v>
      </c>
      <c r="CR490" s="19" t="str">
        <f t="shared" si="483"/>
        <v>K48-09</v>
      </c>
      <c r="CS490" s="19" t="str">
        <f t="shared" si="484"/>
        <v>K48-05</v>
      </c>
      <c r="CT490" s="19" t="str">
        <f t="shared" si="485"/>
        <v>K48-11</v>
      </c>
      <c r="CU490" s="19" t="str">
        <f t="shared" si="486"/>
        <v>N1-M48-A9</v>
      </c>
      <c r="CV490" s="19" t="str">
        <f t="shared" si="487"/>
        <v>N1-M48-A7</v>
      </c>
      <c r="CW490" s="19" t="str">
        <f t="shared" si="488"/>
        <v>N1-M48-A8</v>
      </c>
      <c r="CX490" s="19" t="str">
        <f t="shared" si="489"/>
        <v>N1-M48-A6</v>
      </c>
      <c r="CY490" s="19" t="str">
        <f t="shared" si="490"/>
        <v>N1-M48-A30</v>
      </c>
      <c r="CZ490" s="19" t="str">
        <f t="shared" si="491"/>
        <v>N1-M48-N</v>
      </c>
      <c r="DA490" s="19" t="str">
        <f>CONCATENATE($T490,"-A220-M",U490)</f>
        <v>N1-A220-M48</v>
      </c>
      <c r="DB490" s="19" t="str">
        <f t="shared" si="493"/>
        <v>N1-M48-XM01</v>
      </c>
      <c r="DC490" s="19" t="str">
        <f t="shared" si="494"/>
        <v>N1-M48-A1</v>
      </c>
      <c r="DD490" s="19" t="str">
        <f t="shared" si="495"/>
        <v>N1-M48-A5</v>
      </c>
      <c r="DE490" s="19" t="str">
        <f t="shared" si="496"/>
        <v>N1-M48-A11</v>
      </c>
      <c r="DF490" s="19" t="str">
        <f t="shared" si="497"/>
        <v>N1-M48-A12</v>
      </c>
      <c r="DG490" s="19" t="str">
        <f t="shared" si="498"/>
        <v>N1-M48-A19</v>
      </c>
      <c r="DH490" s="19" t="str">
        <f t="shared" si="499"/>
        <v>N1-M48-A20</v>
      </c>
      <c r="DI490" s="19" t="s">
        <v>142</v>
      </c>
      <c r="DJ490" s="19" t="s">
        <v>143</v>
      </c>
      <c r="DK490" s="19">
        <v>11</v>
      </c>
      <c r="DL490" s="19">
        <v>14</v>
      </c>
      <c r="DM490" s="19">
        <v>12</v>
      </c>
      <c r="DN490" s="19" t="s">
        <v>144</v>
      </c>
      <c r="DO490" s="19" t="s">
        <v>145</v>
      </c>
      <c r="DP490" s="19">
        <v>1</v>
      </c>
      <c r="DQ490" s="19">
        <v>2</v>
      </c>
      <c r="DR490" s="19">
        <v>3</v>
      </c>
      <c r="DS490" s="19">
        <v>4</v>
      </c>
      <c r="DT490" s="19">
        <v>5</v>
      </c>
      <c r="DU490" s="19">
        <v>6</v>
      </c>
      <c r="DV490" s="19">
        <v>7</v>
      </c>
      <c r="DW490" s="19">
        <v>8</v>
      </c>
      <c r="DX490" s="19">
        <v>9</v>
      </c>
      <c r="DY490" s="19">
        <v>10</v>
      </c>
      <c r="DZ490" s="19">
        <v>11</v>
      </c>
      <c r="EA490" s="19">
        <v>12</v>
      </c>
      <c r="EB490" s="19">
        <v>13</v>
      </c>
      <c r="EC490" s="19">
        <v>14</v>
      </c>
      <c r="ED490" s="19">
        <v>1</v>
      </c>
      <c r="EE490" s="19">
        <v>3</v>
      </c>
      <c r="EF490" s="19">
        <v>4</v>
      </c>
      <c r="EG490" s="19">
        <v>7</v>
      </c>
      <c r="EH490" s="19">
        <v>8</v>
      </c>
      <c r="EI490" s="19">
        <v>9</v>
      </c>
      <c r="EJ490" s="19">
        <v>10</v>
      </c>
      <c r="EK490" s="19">
        <v>13</v>
      </c>
      <c r="EL490" s="19">
        <v>14</v>
      </c>
      <c r="EM490" s="19">
        <v>15</v>
      </c>
      <c r="EN490" s="19">
        <v>16</v>
      </c>
      <c r="EO490" s="19">
        <v>22</v>
      </c>
      <c r="EP490" s="19">
        <v>23</v>
      </c>
      <c r="EQ490" s="20">
        <v>24</v>
      </c>
      <c r="MA490" t="str">
        <f t="shared" si="593"/>
        <v>DI9-B13</v>
      </c>
    </row>
    <row r="491" spans="1:339" x14ac:dyDescent="0.25">
      <c r="A491" s="83" t="s">
        <v>2638</v>
      </c>
      <c r="B491" s="83" t="s">
        <v>2637</v>
      </c>
      <c r="P491" t="s">
        <v>391</v>
      </c>
      <c r="T491" s="14" t="s">
        <v>2182</v>
      </c>
      <c r="U491" s="59">
        <f t="shared" ref="U491:U499" si="602">U490+1</f>
        <v>49</v>
      </c>
      <c r="V491" s="15" t="s">
        <v>2639</v>
      </c>
      <c r="W491" s="15" t="s">
        <v>2640</v>
      </c>
      <c r="X491" t="s">
        <v>917</v>
      </c>
      <c r="Y491" s="43">
        <f t="array" ref="Y491">IF(COUNTIFS($X$377:$X491,$X491)=1,"1",VALUE(SUBSTITUTE(INDEX(Y:Y,_xlfn.XMATCH($X491,$X$1:$X490,0,-1)),"A",""))+INDEX(Z:Z,_xlfn.XMATCH($X491,$X$1:$X490,0,-1))+1)</f>
        <v>3</v>
      </c>
      <c r="Z491" s="43">
        <f t="array" ref="Z491">SUM(IF(ISNUMBER(FIND("TmAi",$BE$1:$AAQ$1)),IF(IFERROR(ISODD(SUBSTITUTE($BE491:$AAQ491,"A","")),FALSE),IF(ISODD(SUBSTITUTE($BE491:$AAQ491,"A","")),1,0),0)))</f>
        <v>0</v>
      </c>
      <c r="AA491" t="str">
        <f>CONCATENATE($Y491*2-1,"A")</f>
        <v>5A</v>
      </c>
      <c r="AB491" t="str">
        <f>CONCATENATE($Y491*2-1,"B")</f>
        <v>5B</v>
      </c>
      <c r="AC491" t="str">
        <f t="shared" si="596"/>
        <v>A5.9</v>
      </c>
      <c r="AD491" s="43">
        <f t="array" ref="AD491">IF(COUNTIFS(AC$377:AC491,AC491)=1,"1",VALUE(SUBSTITUTE(INDEX(AD:AD,_xlfn.XMATCH(AC491,AC$1:AC490,0,-1)),"A",""))+INDEX(AE:AE,_xlfn.XMATCH(AC491,AC$1:AC490,0,-1))+1)</f>
        <v>19</v>
      </c>
      <c r="AE491" s="43">
        <f t="array" ref="AE491">SUM(IF(ISNUMBER(FIND("TmDi",$BE$1:$AAQ$1)),IF(IFERROR(ISNUMBER(VALUE(SUBSTITUTE($BE491:$AAQ491,"B",""))),FALSE),IF(ISNUMBER(VALUE(SUBSTITUTE($BE491:$AAQ491,"B",""))),1,0),0)))</f>
        <v>5</v>
      </c>
      <c r="AF491" t="str">
        <f t="shared" si="440"/>
        <v>C19</v>
      </c>
      <c r="AG491" t="str">
        <f t="shared" si="441"/>
        <v>B19</v>
      </c>
      <c r="AH491" t="str">
        <f t="shared" si="597"/>
        <v>A6.5</v>
      </c>
      <c r="AI491" s="69">
        <f t="array" ref="AI491">IF(COUNTIFS(AH$377:AH491,AH491)=1,"1",VALUE(SUBSTITUTE(INDEX(AI:AI,_xlfn.XMATCH(AH491,AH$1:AH490,0,-1)),"A",""))+INDEX(AJ:AJ,_xlfn.XMATCH(AH491,AH$1:AH490,0,-1))+1)</f>
        <v>22</v>
      </c>
      <c r="AJ491" s="62">
        <f t="array" ref="AJ491">SUM(IF(ISNUMBER(FIND("TmDo",$BE$1:$AAQ$1)),IF(IFERROR(ISNUMBER(VALUE(SUBSTITUTE($BE491:$AAQ491,"B",""))),FALSE),IF(ISNUMBER(VALUE(SUBSTITUTE($BE491:$AAQ491,"B",""))),1,0),0)))</f>
        <v>1</v>
      </c>
      <c r="AK491" t="str">
        <f t="shared" si="594"/>
        <v>22A</v>
      </c>
      <c r="AL491" t="str">
        <f t="shared" si="595"/>
        <v>22B</v>
      </c>
      <c r="AM491" t="s">
        <v>2641</v>
      </c>
      <c r="AP491" t="s">
        <v>2184</v>
      </c>
      <c r="AQ491" t="s">
        <v>2508</v>
      </c>
      <c r="AS491" t="s">
        <v>396</v>
      </c>
      <c r="AT491" t="s">
        <v>139</v>
      </c>
      <c r="AU491" t="s">
        <v>140</v>
      </c>
      <c r="BD491" s="16"/>
      <c r="GT491" s="27" t="str">
        <f>CONCATENATE("XT",U491)</f>
        <v>XT49</v>
      </c>
      <c r="GU491" t="str">
        <f>CONCATENATE("C",REPLACE(AF491,1,1,"")+1)</f>
        <v>C20</v>
      </c>
      <c r="GV491" t="str">
        <f>CONCATENATE("B",REPLACE(AG491,1,1,"")+1)</f>
        <v>B20</v>
      </c>
      <c r="GW491" t="str">
        <f>CONCATENATE("C",REPLACE(GU491,1,1,"")+1)</f>
        <v>C21</v>
      </c>
      <c r="GX491" t="str">
        <f>CONCATENATE("B",REPLACE(GV491,1,1,"")+1)</f>
        <v>B21</v>
      </c>
      <c r="GY491" t="str">
        <f>CONCATENATE("C",REPLACE(GW491,1,1,"")+1)</f>
        <v>C22</v>
      </c>
      <c r="GZ491" t="str">
        <f>CONCATENATE("B",REPLACE(GX491,1,1,"")+1)</f>
        <v>B22</v>
      </c>
      <c r="HA491" t="str">
        <f>CONCATENATE("C",REPLACE(GY491,1,1,"")+1)</f>
        <v>C23</v>
      </c>
      <c r="HB491" t="str">
        <f>CONCATENATE("B",REPLACE(GZ491,1,1,"")+1)</f>
        <v>B23</v>
      </c>
      <c r="HC491" t="str">
        <f>CONCATENATE("C",REPLACE(HA491,1,1,"")+1)</f>
        <v>C24</v>
      </c>
      <c r="HD491" t="str">
        <f>CONCATENATE("B",REPLACE(HB491,1,1,"")+1)</f>
        <v>B24</v>
      </c>
      <c r="HE491" t="str">
        <f>CONCATENATE(REPLACE(AK491,LEN(AK491),1,"")+1,"A")</f>
        <v>23A</v>
      </c>
      <c r="HF491" t="str">
        <f>CONCATENATE(REPLACE(AL491,LEN(AL491),1,"")+1,"B")</f>
        <v>23B</v>
      </c>
      <c r="HG491" t="str">
        <f t="shared" ref="HG491:HH494" si="603">CONCATENATE("AI",REPLACE($X491,1,3,""),"-",AA491)</f>
        <v>AI17-5A</v>
      </c>
      <c r="HH491" t="str">
        <f t="shared" si="603"/>
        <v>AI17-5B</v>
      </c>
      <c r="HI491" t="str">
        <f t="shared" ref="HI491:HJ494" si="604">CONCATENATE("DI",REPLACE($AC491,1,3,""),"-",AF491)</f>
        <v>DI9-C19</v>
      </c>
      <c r="HJ491" t="str">
        <f t="shared" si="604"/>
        <v>DI9-B19</v>
      </c>
      <c r="HK491" t="str">
        <f t="shared" ref="HK491:HT494" si="605">CONCATENATE("DI",REPLACE($AC491,1,3,""),"-",GU491)</f>
        <v>DI9-C20</v>
      </c>
      <c r="HL491" t="str">
        <f t="shared" si="605"/>
        <v>DI9-B20</v>
      </c>
      <c r="HM491" t="str">
        <f t="shared" si="605"/>
        <v>DI9-C21</v>
      </c>
      <c r="HN491" t="str">
        <f t="shared" si="605"/>
        <v>DI9-B21</v>
      </c>
      <c r="HO491" t="str">
        <f t="shared" si="605"/>
        <v>DI9-C22</v>
      </c>
      <c r="HP491" t="str">
        <f t="shared" si="605"/>
        <v>DI9-B22</v>
      </c>
      <c r="HQ491" t="str">
        <f t="shared" si="605"/>
        <v>DI9-C23</v>
      </c>
      <c r="HR491" t="str">
        <f t="shared" si="605"/>
        <v>DI9-B23</v>
      </c>
      <c r="HS491" t="str">
        <f t="shared" si="605"/>
        <v>DI9-C24</v>
      </c>
      <c r="HT491" t="str">
        <f t="shared" si="605"/>
        <v>DI9-B24</v>
      </c>
      <c r="HU491" t="str">
        <f t="shared" ref="HU491:HV494" si="606">CONCATENATE("DO",REPLACE($AH491,1,3,""),"-",AK491)</f>
        <v>DO5-22A</v>
      </c>
      <c r="HV491" t="str">
        <f t="shared" si="606"/>
        <v>DO5-22B</v>
      </c>
      <c r="HW491" t="str">
        <f t="shared" ref="HW491:HX494" si="607">CONCATENATE("DO",REPLACE($AH491,1,3,""),"-",HE491)</f>
        <v>DO5-23A</v>
      </c>
      <c r="HX491" t="str">
        <f t="shared" si="607"/>
        <v>DO5-23B</v>
      </c>
      <c r="HY491" t="str">
        <f>CONCATENATE("K",$U491,"-01")</f>
        <v>K49-01</v>
      </c>
      <c r="HZ491" t="str">
        <f>CONCATENATE("K",$U491,"-02")</f>
        <v>K49-02</v>
      </c>
      <c r="IA491" t="str">
        <f>CONCATENATE("K",$U491,"-03")</f>
        <v>K49-03</v>
      </c>
      <c r="IB491" t="str">
        <f>CONCATENATE("K",$U491,"-04")</f>
        <v>K49-04</v>
      </c>
      <c r="IC491" t="str">
        <f>CONCATENATE("K",$U491,"-05")</f>
        <v>K49-05</v>
      </c>
      <c r="ID491" t="str">
        <f>CONCATENATE("K",$U491,"-06")</f>
        <v>K49-06</v>
      </c>
      <c r="IE491" t="str">
        <f>CONCATENATE("K",$U491,"-07")</f>
        <v>K49-07</v>
      </c>
      <c r="IF491" t="str">
        <f>CONCATENATE("K",$U491,"-08")</f>
        <v>K49-08</v>
      </c>
      <c r="IG491" t="str">
        <f>CONCATENATE($T491,"-M",$U491,"-AMS-12")</f>
        <v>N1-M49-AMS-12</v>
      </c>
      <c r="IH491" t="str">
        <f>CONCATENATE($T491,"-M",$U491,"-AMS-10")</f>
        <v>N1-M49-AMS-10</v>
      </c>
      <c r="II491" t="str">
        <f>CONCATENATE($T491,"-M",$U491,"-AMS-11")</f>
        <v>N1-M49-AMS-11</v>
      </c>
      <c r="IJ491" t="str">
        <f>CONCATENATE($T491,"-M",$U491,"-AMS-13")</f>
        <v>N1-M49-AMS-13</v>
      </c>
      <c r="IK491" t="str">
        <f>CONCATENATE($T491,"-M",$U491,"-AMS-9")</f>
        <v>N1-M49-AMS-9</v>
      </c>
      <c r="IL491" t="str">
        <f>CONCATENATE($T491,"-M",$U491,"-AMS-7")</f>
        <v>N1-M49-AMS-7</v>
      </c>
      <c r="IM491" t="str">
        <f>CONCATENATE($T491,"-M",$U491,"-AMS-18")</f>
        <v>N1-M49-AMS-18</v>
      </c>
      <c r="IN491" t="str">
        <f>CONCATENATE($T491,"-M",$U491,"-AMS-20")</f>
        <v>N1-M49-AMS-20</v>
      </c>
      <c r="IO491" t="str">
        <f>CONCATENATE($T491,"-M",$U491,"-AMS-17")</f>
        <v>N1-M49-AMS-17</v>
      </c>
      <c r="IP491" t="str">
        <f>CONCATENATE($T491,"-+24-M",$U491,)</f>
        <v>N1-+24-M49</v>
      </c>
      <c r="IQ491" t="str">
        <f>CONCATENATE($T491,"-M",$U491,"-XM01")</f>
        <v>N1-M49-XM01</v>
      </c>
      <c r="IR491" t="s">
        <v>142</v>
      </c>
      <c r="IS491" t="s">
        <v>143</v>
      </c>
      <c r="IT491">
        <v>11</v>
      </c>
      <c r="IU491">
        <v>14</v>
      </c>
      <c r="IV491" t="s">
        <v>413</v>
      </c>
      <c r="IW491" t="s">
        <v>414</v>
      </c>
      <c r="IX491">
        <v>1</v>
      </c>
      <c r="IY491">
        <v>2</v>
      </c>
      <c r="IZ491">
        <v>3</v>
      </c>
      <c r="JA491">
        <v>4</v>
      </c>
      <c r="JB491">
        <v>5</v>
      </c>
      <c r="JC491">
        <v>6</v>
      </c>
      <c r="JD491">
        <v>7</v>
      </c>
      <c r="JE491">
        <v>8</v>
      </c>
      <c r="JF491">
        <v>9</v>
      </c>
      <c r="JG491">
        <v>10</v>
      </c>
      <c r="JH491">
        <v>11</v>
      </c>
      <c r="JI491">
        <v>12</v>
      </c>
      <c r="JJ491">
        <v>13</v>
      </c>
      <c r="JK491">
        <v>14</v>
      </c>
      <c r="JL491">
        <v>17</v>
      </c>
      <c r="JM491">
        <v>15</v>
      </c>
      <c r="JN491">
        <v>18</v>
      </c>
      <c r="JO491">
        <v>11</v>
      </c>
      <c r="JP491">
        <v>9</v>
      </c>
      <c r="JQ491">
        <v>6</v>
      </c>
      <c r="JR491">
        <v>20</v>
      </c>
      <c r="JS491">
        <v>7</v>
      </c>
      <c r="JT491">
        <v>10</v>
      </c>
      <c r="JU491">
        <v>22</v>
      </c>
      <c r="JV491">
        <v>23</v>
      </c>
      <c r="JW491">
        <v>26</v>
      </c>
      <c r="JX491">
        <v>27</v>
      </c>
      <c r="JY491" s="16">
        <v>30</v>
      </c>
      <c r="MA491" t="str">
        <f t="shared" si="593"/>
        <v>DI9-B19</v>
      </c>
    </row>
    <row r="492" spans="1:339" x14ac:dyDescent="0.25">
      <c r="A492" s="83" t="s">
        <v>2643</v>
      </c>
      <c r="B492" s="83" t="s">
        <v>2642</v>
      </c>
      <c r="P492" t="s">
        <v>391</v>
      </c>
      <c r="T492" s="14" t="s">
        <v>2182</v>
      </c>
      <c r="U492" s="59">
        <f t="shared" si="602"/>
        <v>50</v>
      </c>
      <c r="V492" s="15" t="s">
        <v>2644</v>
      </c>
      <c r="W492" s="15" t="s">
        <v>2645</v>
      </c>
      <c r="X492" t="str">
        <f>IF(COUNTIF(X$377:X491,X491)&gt;7,REPLACE(X491,LEN(X491),1,VALUE(RIGHT(X491,1))+1),X491)</f>
        <v>A3.17</v>
      </c>
      <c r="Y492" s="43">
        <f t="array" ref="Y492">IF(COUNTIFS($X$377:$X492,$X492)=1,"1",VALUE(SUBSTITUTE(INDEX(Y:Y,_xlfn.XMATCH($X492,$X$1:$X491,0,-1)),"A",""))+INDEX(Z:Z,_xlfn.XMATCH($X492,$X$1:$X491,0,-1))+1)</f>
        <v>4</v>
      </c>
      <c r="Z492" s="43">
        <f t="array" ref="Z492">SUM(IF(ISNUMBER(FIND("TmAi",$BE$1:$AAQ$1)),IF(IFERROR(ISODD(SUBSTITUTE($BE492:$AAQ492,"A","")),FALSE),IF(ISODD(SUBSTITUTE($BE492:$AAQ492,"A","")),1,0),0)))</f>
        <v>0</v>
      </c>
      <c r="AA492" t="str">
        <f>CONCATENATE($Y492*2-1,"A")</f>
        <v>7A</v>
      </c>
      <c r="AB492" t="str">
        <f>CONCATENATE($Y492*2-1,"B")</f>
        <v>7B</v>
      </c>
      <c r="AC492" t="str">
        <f t="shared" si="596"/>
        <v>A5.9</v>
      </c>
      <c r="AD492" s="43">
        <f t="array" ref="AD492">IF(COUNTIFS(AC$377:AC492,AC492)=1,"1",VALUE(SUBSTITUTE(INDEX(AD:AD,_xlfn.XMATCH(AC492,AC$1:AC491,0,-1)),"A",""))+INDEX(AE:AE,_xlfn.XMATCH(AC492,AC$1:AC491,0,-1))+1)</f>
        <v>25</v>
      </c>
      <c r="AE492" s="43">
        <f t="array" ref="AE492">SUM(IF(ISNUMBER(FIND("TmDi",$BE$1:$AAQ$1)),IF(IFERROR(ISNUMBER(VALUE(SUBSTITUTE($BE492:$AAQ492,"B",""))),FALSE),IF(ISNUMBER(VALUE(SUBSTITUTE($BE492:$AAQ492,"B",""))),1,0),0)))</f>
        <v>5</v>
      </c>
      <c r="AF492" t="str">
        <f t="shared" si="440"/>
        <v>C25</v>
      </c>
      <c r="AG492" t="str">
        <f t="shared" si="441"/>
        <v>B25</v>
      </c>
      <c r="AH492" t="str">
        <f t="shared" si="597"/>
        <v>A6.5</v>
      </c>
      <c r="AI492" s="69">
        <f t="array" ref="AI492">IF(COUNTIFS(AH$377:AH492,AH492)=1,"1",VALUE(SUBSTITUTE(INDEX(AI:AI,_xlfn.XMATCH(AH492,AH$1:AH491,0,-1)),"A",""))+INDEX(AJ:AJ,_xlfn.XMATCH(AH492,AH$1:AH491,0,-1))+1)</f>
        <v>24</v>
      </c>
      <c r="AJ492" s="62">
        <f t="array" ref="AJ492">SUM(IF(ISNUMBER(FIND("TmDo",$BE$1:$AAQ$1)),IF(IFERROR(ISNUMBER(VALUE(SUBSTITUTE($BE492:$AAQ492,"B",""))),FALSE),IF(ISNUMBER(VALUE(SUBSTITUTE($BE492:$AAQ492,"B",""))),1,0),0)))</f>
        <v>1</v>
      </c>
      <c r="AK492" t="str">
        <f t="shared" si="594"/>
        <v>24A</v>
      </c>
      <c r="AL492" t="str">
        <f t="shared" si="595"/>
        <v>24B</v>
      </c>
      <c r="AM492" t="s">
        <v>2646</v>
      </c>
      <c r="AP492" t="s">
        <v>2184</v>
      </c>
      <c r="AQ492" t="s">
        <v>2508</v>
      </c>
      <c r="AS492" t="s">
        <v>396</v>
      </c>
      <c r="AT492" t="s">
        <v>139</v>
      </c>
      <c r="AU492" t="s">
        <v>140</v>
      </c>
      <c r="BD492" s="16"/>
      <c r="GT492" s="27" t="str">
        <f>CONCATENATE("XT",U492)</f>
        <v>XT50</v>
      </c>
      <c r="GU492" t="str">
        <f>CONCATENATE("C",REPLACE(AF492,1,1,"")+1)</f>
        <v>C26</v>
      </c>
      <c r="GV492" t="str">
        <f>CONCATENATE("B",REPLACE(AG492,1,1,"")+1)</f>
        <v>B26</v>
      </c>
      <c r="GW492" t="str">
        <f>CONCATENATE("C",REPLACE(GU492,1,1,"")+1)</f>
        <v>C27</v>
      </c>
      <c r="GX492" t="str">
        <f>CONCATENATE("B",REPLACE(GV492,1,1,"")+1)</f>
        <v>B27</v>
      </c>
      <c r="GY492" t="str">
        <f>CONCATENATE("C",REPLACE(GW492,1,1,"")+1)</f>
        <v>C28</v>
      </c>
      <c r="GZ492" t="str">
        <f>CONCATENATE("B",REPLACE(GX492,1,1,"")+1)</f>
        <v>B28</v>
      </c>
      <c r="HA492" t="str">
        <f>CONCATENATE("C",REPLACE(GY492,1,1,"")+1)</f>
        <v>C29</v>
      </c>
      <c r="HB492" t="str">
        <f>CONCATENATE("B",REPLACE(GZ492,1,1,"")+1)</f>
        <v>B29</v>
      </c>
      <c r="HC492" t="str">
        <f>CONCATENATE("C",REPLACE(HA492,1,1,"")+1)</f>
        <v>C30</v>
      </c>
      <c r="HD492" t="str">
        <f>CONCATENATE("B",REPLACE(HB492,1,1,"")+1)</f>
        <v>B30</v>
      </c>
      <c r="HE492" t="str">
        <f>CONCATENATE(REPLACE(AK492,LEN(AK492),1,"")+1,"A")</f>
        <v>25A</v>
      </c>
      <c r="HF492" t="str">
        <f>CONCATENATE(REPLACE(AL492,LEN(AL492),1,"")+1,"B")</f>
        <v>25B</v>
      </c>
      <c r="HG492" t="str">
        <f t="shared" si="603"/>
        <v>AI17-7A</v>
      </c>
      <c r="HH492" t="str">
        <f t="shared" si="603"/>
        <v>AI17-7B</v>
      </c>
      <c r="HI492" t="str">
        <f t="shared" si="604"/>
        <v>DI9-C25</v>
      </c>
      <c r="HJ492" t="str">
        <f t="shared" si="604"/>
        <v>DI9-B25</v>
      </c>
      <c r="HK492" t="str">
        <f t="shared" si="605"/>
        <v>DI9-C26</v>
      </c>
      <c r="HL492" t="str">
        <f t="shared" si="605"/>
        <v>DI9-B26</v>
      </c>
      <c r="HM492" t="str">
        <f t="shared" si="605"/>
        <v>DI9-C27</v>
      </c>
      <c r="HN492" t="str">
        <f t="shared" si="605"/>
        <v>DI9-B27</v>
      </c>
      <c r="HO492" t="str">
        <f t="shared" si="605"/>
        <v>DI9-C28</v>
      </c>
      <c r="HP492" t="str">
        <f t="shared" si="605"/>
        <v>DI9-B28</v>
      </c>
      <c r="HQ492" t="str">
        <f t="shared" si="605"/>
        <v>DI9-C29</v>
      </c>
      <c r="HR492" t="str">
        <f t="shared" si="605"/>
        <v>DI9-B29</v>
      </c>
      <c r="HS492" t="str">
        <f t="shared" si="605"/>
        <v>DI9-C30</v>
      </c>
      <c r="HT492" t="str">
        <f t="shared" si="605"/>
        <v>DI9-B30</v>
      </c>
      <c r="HU492" t="str">
        <f t="shared" si="606"/>
        <v>DO5-24A</v>
      </c>
      <c r="HV492" t="str">
        <f t="shared" si="606"/>
        <v>DO5-24B</v>
      </c>
      <c r="HW492" t="str">
        <f t="shared" si="607"/>
        <v>DO5-25A</v>
      </c>
      <c r="HX492" t="str">
        <f t="shared" si="607"/>
        <v>DO5-25B</v>
      </c>
      <c r="HY492" t="str">
        <f>CONCATENATE("K",$U492,"-01")</f>
        <v>K50-01</v>
      </c>
      <c r="HZ492" t="str">
        <f>CONCATENATE("K",$U492,"-02")</f>
        <v>K50-02</v>
      </c>
      <c r="IA492" t="str">
        <f>CONCATENATE("K",$U492,"-03")</f>
        <v>K50-03</v>
      </c>
      <c r="IB492" t="str">
        <f>CONCATENATE("K",$U492,"-04")</f>
        <v>K50-04</v>
      </c>
      <c r="IC492" t="str">
        <f>CONCATENATE("K",$U492,"-05")</f>
        <v>K50-05</v>
      </c>
      <c r="ID492" t="str">
        <f>CONCATENATE("K",$U492,"-06")</f>
        <v>K50-06</v>
      </c>
      <c r="IE492" t="str">
        <f>CONCATENATE("K",$U492,"-07")</f>
        <v>K50-07</v>
      </c>
      <c r="IF492" t="str">
        <f>CONCATENATE("K",$U492,"-08")</f>
        <v>K50-08</v>
      </c>
      <c r="IG492" t="str">
        <f>CONCATENATE($T492,"-M",$U492,"-AMS-12")</f>
        <v>N1-M50-AMS-12</v>
      </c>
      <c r="IH492" t="str">
        <f>CONCATENATE($T492,"-M",$U492,"-AMS-10")</f>
        <v>N1-M50-AMS-10</v>
      </c>
      <c r="II492" t="str">
        <f>CONCATENATE($T492,"-M",$U492,"-AMS-11")</f>
        <v>N1-M50-AMS-11</v>
      </c>
      <c r="IJ492" t="str">
        <f>CONCATENATE($T492,"-M",$U492,"-AMS-13")</f>
        <v>N1-M50-AMS-13</v>
      </c>
      <c r="IK492" t="str">
        <f>CONCATENATE($T492,"-M",$U492,"-AMS-9")</f>
        <v>N1-M50-AMS-9</v>
      </c>
      <c r="IL492" t="str">
        <f>CONCATENATE($T492,"-M",$U492,"-AMS-7")</f>
        <v>N1-M50-AMS-7</v>
      </c>
      <c r="IM492" t="str">
        <f>CONCATENATE($T492,"-M",$U492,"-AMS-18")</f>
        <v>N1-M50-AMS-18</v>
      </c>
      <c r="IN492" t="str">
        <f>CONCATENATE($T492,"-M",$U492,"-AMS-20")</f>
        <v>N1-M50-AMS-20</v>
      </c>
      <c r="IO492" t="str">
        <f>CONCATENATE($T492,"-M",$U492,"-AMS-17")</f>
        <v>N1-M50-AMS-17</v>
      </c>
      <c r="IP492" t="str">
        <f>CONCATENATE($T492,"-+24-M",$U492,)</f>
        <v>N1-+24-M50</v>
      </c>
      <c r="IQ492" t="str">
        <f>CONCATENATE($T492,"-M",$U492,"-XM01")</f>
        <v>N1-M50-XM01</v>
      </c>
      <c r="IR492" t="s">
        <v>142</v>
      </c>
      <c r="IS492" t="s">
        <v>143</v>
      </c>
      <c r="IT492">
        <v>11</v>
      </c>
      <c r="IU492">
        <v>14</v>
      </c>
      <c r="IV492" t="s">
        <v>413</v>
      </c>
      <c r="IW492" t="s">
        <v>414</v>
      </c>
      <c r="IX492">
        <v>1</v>
      </c>
      <c r="IY492">
        <v>2</v>
      </c>
      <c r="IZ492">
        <v>3</v>
      </c>
      <c r="JA492">
        <v>4</v>
      </c>
      <c r="JB492">
        <v>5</v>
      </c>
      <c r="JC492">
        <v>6</v>
      </c>
      <c r="JD492">
        <v>7</v>
      </c>
      <c r="JE492">
        <v>8</v>
      </c>
      <c r="JF492">
        <v>9</v>
      </c>
      <c r="JG492">
        <v>10</v>
      </c>
      <c r="JH492">
        <v>11</v>
      </c>
      <c r="JI492">
        <v>12</v>
      </c>
      <c r="JJ492">
        <v>13</v>
      </c>
      <c r="JK492">
        <v>14</v>
      </c>
      <c r="JL492">
        <v>17</v>
      </c>
      <c r="JM492">
        <v>15</v>
      </c>
      <c r="JN492">
        <v>18</v>
      </c>
      <c r="JO492">
        <v>11</v>
      </c>
      <c r="JP492">
        <v>9</v>
      </c>
      <c r="JQ492">
        <v>6</v>
      </c>
      <c r="JR492">
        <v>20</v>
      </c>
      <c r="JS492">
        <v>7</v>
      </c>
      <c r="JT492">
        <v>10</v>
      </c>
      <c r="JU492">
        <v>22</v>
      </c>
      <c r="JV492">
        <v>23</v>
      </c>
      <c r="JW492">
        <v>26</v>
      </c>
      <c r="JX492">
        <v>27</v>
      </c>
      <c r="JY492" s="16">
        <v>30</v>
      </c>
      <c r="MA492" t="str">
        <f t="shared" si="593"/>
        <v>DI9-B25</v>
      </c>
    </row>
    <row r="493" spans="1:339" x14ac:dyDescent="0.25">
      <c r="A493" s="83" t="s">
        <v>2648</v>
      </c>
      <c r="B493" s="83" t="s">
        <v>2647</v>
      </c>
      <c r="P493" t="s">
        <v>391</v>
      </c>
      <c r="T493" s="14" t="s">
        <v>2182</v>
      </c>
      <c r="U493" s="59">
        <f t="shared" si="602"/>
        <v>51</v>
      </c>
      <c r="V493" s="15" t="s">
        <v>2649</v>
      </c>
      <c r="W493" s="15" t="s">
        <v>2650</v>
      </c>
      <c r="X493" t="str">
        <f>IF(COUNTIF(X$377:X492,X492)&gt;7,REPLACE(X492,LEN(X492),1,VALUE(RIGHT(X492,1))+1),X492)</f>
        <v>A3.17</v>
      </c>
      <c r="Y493" s="43">
        <f t="array" ref="Y493">IF(COUNTIFS($X$377:$X493,$X493)=1,"1",VALUE(SUBSTITUTE(INDEX(Y:Y,_xlfn.XMATCH($X493,$X$1:$X492,0,-1)),"A",""))+INDEX(Z:Z,_xlfn.XMATCH($X493,$X$1:$X492,0,-1))+1)</f>
        <v>5</v>
      </c>
      <c r="Z493" s="43">
        <f t="array" ref="Z493">SUM(IF(ISNUMBER(FIND("TmAi",$BE$1:$AAQ$1)),IF(IFERROR(ISODD(SUBSTITUTE($BE493:$AAQ493,"A","")),FALSE),IF(ISODD(SUBSTITUTE($BE493:$AAQ493,"A","")),1,0),0)))</f>
        <v>0</v>
      </c>
      <c r="AA493" t="str">
        <f>CONCATENATE($Y493*2-1,"A")</f>
        <v>9A</v>
      </c>
      <c r="AB493" t="str">
        <f>CONCATENATE($Y493*2-1,"B")</f>
        <v>9B</v>
      </c>
      <c r="AC493" t="str">
        <f t="shared" si="596"/>
        <v>A5.10</v>
      </c>
      <c r="AD493" s="43" t="str">
        <f t="array" ref="AD493">IF(COUNTIFS(AC$377:AC493,AC493)=1,"1",VALUE(SUBSTITUTE(INDEX(AD:AD,_xlfn.XMATCH(AC493,AC$1:AC492,0,-1)),"A",""))+INDEX(AE:AE,_xlfn.XMATCH(AC493,AC$1:AC492,0,-1))+1)</f>
        <v>1</v>
      </c>
      <c r="AE493" s="43">
        <f t="array" ref="AE493">SUM(IF(ISNUMBER(FIND("TmDi",$BE$1:$AAQ$1)),IF(IFERROR(ISNUMBER(VALUE(SUBSTITUTE($BE493:$AAQ493,"B",""))),FALSE),IF(ISNUMBER(VALUE(SUBSTITUTE($BE493:$AAQ493,"B",""))),1,0),0)))</f>
        <v>5</v>
      </c>
      <c r="AF493" t="str">
        <f t="shared" si="440"/>
        <v>C1</v>
      </c>
      <c r="AG493" t="str">
        <f t="shared" si="441"/>
        <v>B1</v>
      </c>
      <c r="AH493" t="str">
        <f t="shared" si="597"/>
        <v>A6.5</v>
      </c>
      <c r="AI493" s="69">
        <f t="array" ref="AI493">IF(COUNTIFS(AH$377:AH493,AH493)=1,"1",VALUE(SUBSTITUTE(INDEX(AI:AI,_xlfn.XMATCH(AH493,AH$1:AH492,0,-1)),"A",""))+INDEX(AJ:AJ,_xlfn.XMATCH(AH493,AH$1:AH492,0,-1))+1)</f>
        <v>26</v>
      </c>
      <c r="AJ493" s="62">
        <f t="array" ref="AJ493">SUM(IF(ISNUMBER(FIND("TmDo",$BE$1:$AAQ$1)),IF(IFERROR(ISNUMBER(VALUE(SUBSTITUTE($BE493:$AAQ493,"B",""))),FALSE),IF(ISNUMBER(VALUE(SUBSTITUTE($BE493:$AAQ493,"B",""))),1,0),0)))</f>
        <v>1</v>
      </c>
      <c r="AK493" t="str">
        <f t="shared" si="594"/>
        <v>26A</v>
      </c>
      <c r="AL493" t="str">
        <f t="shared" si="595"/>
        <v>26B</v>
      </c>
      <c r="AM493" t="s">
        <v>2651</v>
      </c>
      <c r="AP493" t="s">
        <v>2184</v>
      </c>
      <c r="AQ493" t="s">
        <v>2508</v>
      </c>
      <c r="AS493" t="s">
        <v>396</v>
      </c>
      <c r="AT493" t="s">
        <v>139</v>
      </c>
      <c r="AU493" t="s">
        <v>140</v>
      </c>
      <c r="BD493" s="16"/>
      <c r="GT493" s="27" t="str">
        <f>CONCATENATE("XT",U493)</f>
        <v>XT51</v>
      </c>
      <c r="GU493" t="str">
        <f>CONCATENATE("C",REPLACE(AF493,1,1,"")+1)</f>
        <v>C2</v>
      </c>
      <c r="GV493" t="str">
        <f>CONCATENATE("B",REPLACE(AG493,1,1,"")+1)</f>
        <v>B2</v>
      </c>
      <c r="GW493" t="str">
        <f>CONCATENATE("C",REPLACE(GU493,1,1,"")+1)</f>
        <v>C3</v>
      </c>
      <c r="GX493" t="str">
        <f>CONCATENATE("B",REPLACE(GV493,1,1,"")+1)</f>
        <v>B3</v>
      </c>
      <c r="GY493" t="str">
        <f>CONCATENATE("C",REPLACE(GW493,1,1,"")+1)</f>
        <v>C4</v>
      </c>
      <c r="GZ493" t="str">
        <f>CONCATENATE("B",REPLACE(GX493,1,1,"")+1)</f>
        <v>B4</v>
      </c>
      <c r="HA493" t="str">
        <f>CONCATENATE("C",REPLACE(GY493,1,1,"")+1)</f>
        <v>C5</v>
      </c>
      <c r="HB493" t="str">
        <f>CONCATENATE("B",REPLACE(GZ493,1,1,"")+1)</f>
        <v>B5</v>
      </c>
      <c r="HC493" t="str">
        <f>CONCATENATE("C",REPLACE(HA493,1,1,"")+1)</f>
        <v>C6</v>
      </c>
      <c r="HD493" t="str">
        <f>CONCATENATE("B",REPLACE(HB493,1,1,"")+1)</f>
        <v>B6</v>
      </c>
      <c r="HE493" t="str">
        <f>CONCATENATE(REPLACE(AK493,LEN(AK493),1,"")+1,"A")</f>
        <v>27A</v>
      </c>
      <c r="HF493" t="str">
        <f>CONCATENATE(REPLACE(AL493,LEN(AL493),1,"")+1,"B")</f>
        <v>27B</v>
      </c>
      <c r="HG493" t="str">
        <f t="shared" si="603"/>
        <v>AI17-9A</v>
      </c>
      <c r="HH493" t="str">
        <f t="shared" si="603"/>
        <v>AI17-9B</v>
      </c>
      <c r="HI493" t="str">
        <f t="shared" si="604"/>
        <v>DI10-C1</v>
      </c>
      <c r="HJ493" t="str">
        <f t="shared" si="604"/>
        <v>DI10-B1</v>
      </c>
      <c r="HK493" t="str">
        <f t="shared" si="605"/>
        <v>DI10-C2</v>
      </c>
      <c r="HL493" t="str">
        <f t="shared" si="605"/>
        <v>DI10-B2</v>
      </c>
      <c r="HM493" t="str">
        <f t="shared" si="605"/>
        <v>DI10-C3</v>
      </c>
      <c r="HN493" t="str">
        <f t="shared" si="605"/>
        <v>DI10-B3</v>
      </c>
      <c r="HO493" t="str">
        <f t="shared" si="605"/>
        <v>DI10-C4</v>
      </c>
      <c r="HP493" t="str">
        <f t="shared" si="605"/>
        <v>DI10-B4</v>
      </c>
      <c r="HQ493" t="str">
        <f t="shared" si="605"/>
        <v>DI10-C5</v>
      </c>
      <c r="HR493" t="str">
        <f t="shared" si="605"/>
        <v>DI10-B5</v>
      </c>
      <c r="HS493" t="str">
        <f t="shared" si="605"/>
        <v>DI10-C6</v>
      </c>
      <c r="HT493" t="str">
        <f t="shared" si="605"/>
        <v>DI10-B6</v>
      </c>
      <c r="HU493" t="str">
        <f t="shared" si="606"/>
        <v>DO5-26A</v>
      </c>
      <c r="HV493" t="str">
        <f t="shared" si="606"/>
        <v>DO5-26B</v>
      </c>
      <c r="HW493" t="str">
        <f t="shared" si="607"/>
        <v>DO5-27A</v>
      </c>
      <c r="HX493" t="str">
        <f t="shared" si="607"/>
        <v>DO5-27B</v>
      </c>
      <c r="HY493" t="str">
        <f>CONCATENATE("K",$U493,"-01")</f>
        <v>K51-01</v>
      </c>
      <c r="HZ493" t="str">
        <f>CONCATENATE("K",$U493,"-02")</f>
        <v>K51-02</v>
      </c>
      <c r="IA493" t="str">
        <f>CONCATENATE("K",$U493,"-03")</f>
        <v>K51-03</v>
      </c>
      <c r="IB493" t="str">
        <f>CONCATENATE("K",$U493,"-04")</f>
        <v>K51-04</v>
      </c>
      <c r="IC493" t="str">
        <f>CONCATENATE("K",$U493,"-05")</f>
        <v>K51-05</v>
      </c>
      <c r="ID493" t="str">
        <f>CONCATENATE("K",$U493,"-06")</f>
        <v>K51-06</v>
      </c>
      <c r="IE493" t="str">
        <f>CONCATENATE("K",$U493,"-07")</f>
        <v>K51-07</v>
      </c>
      <c r="IF493" t="str">
        <f>CONCATENATE("K",$U493,"-08")</f>
        <v>K51-08</v>
      </c>
      <c r="IG493" t="str">
        <f>CONCATENATE($T493,"-M",$U493,"-AMS-12")</f>
        <v>N1-M51-AMS-12</v>
      </c>
      <c r="IH493" t="str">
        <f>CONCATENATE($T493,"-M",$U493,"-AMS-10")</f>
        <v>N1-M51-AMS-10</v>
      </c>
      <c r="II493" t="str">
        <f>CONCATENATE($T493,"-M",$U493,"-AMS-11")</f>
        <v>N1-M51-AMS-11</v>
      </c>
      <c r="IJ493" t="str">
        <f>CONCATENATE($T493,"-M",$U493,"-AMS-13")</f>
        <v>N1-M51-AMS-13</v>
      </c>
      <c r="IK493" t="str">
        <f>CONCATENATE($T493,"-M",$U493,"-AMS-9")</f>
        <v>N1-M51-AMS-9</v>
      </c>
      <c r="IL493" t="str">
        <f>CONCATENATE($T493,"-M",$U493,"-AMS-7")</f>
        <v>N1-M51-AMS-7</v>
      </c>
      <c r="IM493" t="str">
        <f>CONCATENATE($T493,"-M",$U493,"-AMS-18")</f>
        <v>N1-M51-AMS-18</v>
      </c>
      <c r="IN493" t="str">
        <f>CONCATENATE($T493,"-M",$U493,"-AMS-20")</f>
        <v>N1-M51-AMS-20</v>
      </c>
      <c r="IO493" t="str">
        <f>CONCATENATE($T493,"-M",$U493,"-AMS-17")</f>
        <v>N1-M51-AMS-17</v>
      </c>
      <c r="IP493" t="str">
        <f>CONCATENATE($T493,"-+24-M",$U493,)</f>
        <v>N1-+24-M51</v>
      </c>
      <c r="IQ493" t="str">
        <f>CONCATENATE($T493,"-M",$U493,"-XM01")</f>
        <v>N1-M51-XM01</v>
      </c>
      <c r="IR493" t="s">
        <v>142</v>
      </c>
      <c r="IS493" t="s">
        <v>143</v>
      </c>
      <c r="IT493">
        <v>11</v>
      </c>
      <c r="IU493">
        <v>14</v>
      </c>
      <c r="IV493" t="s">
        <v>413</v>
      </c>
      <c r="IW493" t="s">
        <v>414</v>
      </c>
      <c r="IX493">
        <v>1</v>
      </c>
      <c r="IY493">
        <v>2</v>
      </c>
      <c r="IZ493">
        <v>3</v>
      </c>
      <c r="JA493">
        <v>4</v>
      </c>
      <c r="JB493">
        <v>5</v>
      </c>
      <c r="JC493">
        <v>6</v>
      </c>
      <c r="JD493">
        <v>7</v>
      </c>
      <c r="JE493">
        <v>8</v>
      </c>
      <c r="JF493">
        <v>9</v>
      </c>
      <c r="JG493">
        <v>10</v>
      </c>
      <c r="JH493">
        <v>11</v>
      </c>
      <c r="JI493">
        <v>12</v>
      </c>
      <c r="JJ493">
        <v>13</v>
      </c>
      <c r="JK493">
        <v>14</v>
      </c>
      <c r="JL493">
        <v>17</v>
      </c>
      <c r="JM493">
        <v>15</v>
      </c>
      <c r="JN493">
        <v>18</v>
      </c>
      <c r="JO493">
        <v>11</v>
      </c>
      <c r="JP493">
        <v>9</v>
      </c>
      <c r="JQ493">
        <v>6</v>
      </c>
      <c r="JR493">
        <v>20</v>
      </c>
      <c r="JS493">
        <v>7</v>
      </c>
      <c r="JT493">
        <v>10</v>
      </c>
      <c r="JU493">
        <v>22</v>
      </c>
      <c r="JV493">
        <v>23</v>
      </c>
      <c r="JW493">
        <v>26</v>
      </c>
      <c r="JX493">
        <v>27</v>
      </c>
      <c r="JY493" s="16">
        <v>30</v>
      </c>
      <c r="MA493" t="str">
        <f t="shared" si="593"/>
        <v>DI10-B1</v>
      </c>
    </row>
    <row r="494" spans="1:339" x14ac:dyDescent="0.25">
      <c r="A494" s="83" t="s">
        <v>2653</v>
      </c>
      <c r="B494" s="83" t="s">
        <v>2652</v>
      </c>
      <c r="P494" t="s">
        <v>391</v>
      </c>
      <c r="T494" s="14" t="s">
        <v>2182</v>
      </c>
      <c r="U494" s="59">
        <f t="shared" si="602"/>
        <v>52</v>
      </c>
      <c r="V494" s="15" t="s">
        <v>2654</v>
      </c>
      <c r="W494" s="15" t="s">
        <v>2655</v>
      </c>
      <c r="X494" t="str">
        <f>IF(COUNTIF(X$377:X493,X493)&gt;7,REPLACE(X493,LEN(X493),1,VALUE(RIGHT(X493,1))+1),X493)</f>
        <v>A3.17</v>
      </c>
      <c r="Y494" s="43">
        <f t="array" ref="Y494">IF(COUNTIFS($X$377:$X494,$X494)=1,"1",VALUE(SUBSTITUTE(INDEX(Y:Y,_xlfn.XMATCH($X494,$X$1:$X493,0,-1)),"A",""))+INDEX(Z:Z,_xlfn.XMATCH($X494,$X$1:$X493,0,-1))+1)</f>
        <v>6</v>
      </c>
      <c r="Z494" s="43">
        <f t="array" ref="Z494">SUM(IF(ISNUMBER(FIND("TmAi",$BE$1:$AAQ$1)),IF(IFERROR(ISODD(SUBSTITUTE($BE494:$AAQ494,"A","")),FALSE),IF(ISODD(SUBSTITUTE($BE494:$AAQ494,"A","")),1,0),0)))</f>
        <v>0</v>
      </c>
      <c r="AA494" t="str">
        <f>CONCATENATE($Y494*2-1,"A")</f>
        <v>11A</v>
      </c>
      <c r="AB494" t="str">
        <f>CONCATENATE($Y494*2-1,"B")</f>
        <v>11B</v>
      </c>
      <c r="AC494" t="str">
        <f t="shared" si="596"/>
        <v>A5.10</v>
      </c>
      <c r="AD494" s="43">
        <f t="array" ref="AD494">IF(COUNTIFS(AC$377:AC494,AC494)=1,"1",VALUE(SUBSTITUTE(INDEX(AD:AD,_xlfn.XMATCH(AC494,AC$1:AC493,0,-1)),"A",""))+INDEX(AE:AE,_xlfn.XMATCH(AC494,AC$1:AC493,0,-1))+1)</f>
        <v>7</v>
      </c>
      <c r="AE494" s="43">
        <f t="array" ref="AE494">SUM(IF(ISNUMBER(FIND("TmDi",$BE$1:$AAQ$1)),IF(IFERROR(ISNUMBER(VALUE(SUBSTITUTE($BE494:$AAQ494,"B",""))),FALSE),IF(ISNUMBER(VALUE(SUBSTITUTE($BE494:$AAQ494,"B",""))),1,0),0)))</f>
        <v>5</v>
      </c>
      <c r="AF494" t="str">
        <f t="shared" si="440"/>
        <v>C7</v>
      </c>
      <c r="AG494" t="str">
        <f t="shared" si="441"/>
        <v>B7</v>
      </c>
      <c r="AH494" t="str">
        <f t="shared" si="597"/>
        <v>A6.6</v>
      </c>
      <c r="AI494" s="69" t="str">
        <f t="array" ref="AI494">IF(COUNTIFS(AH$377:AH494,AH494)=1,"1",VALUE(SUBSTITUTE(INDEX(AI:AI,_xlfn.XMATCH(AH494,AH$1:AH493,0,-1)),"A",""))+INDEX(AJ:AJ,_xlfn.XMATCH(AH494,AH$1:AH493,0,-1))+1)</f>
        <v>1</v>
      </c>
      <c r="AJ494" s="62">
        <f t="array" ref="AJ494">SUM(IF(ISNUMBER(FIND("TmDo",$BE$1:$AAQ$1)),IF(IFERROR(ISNUMBER(VALUE(SUBSTITUTE($BE494:$AAQ494,"B",""))),FALSE),IF(ISNUMBER(VALUE(SUBSTITUTE($BE494:$AAQ494,"B",""))),1,0),0)))</f>
        <v>1</v>
      </c>
      <c r="AK494" t="str">
        <f t="shared" si="594"/>
        <v>1A</v>
      </c>
      <c r="AL494" t="str">
        <f t="shared" si="595"/>
        <v>1B</v>
      </c>
      <c r="AM494" t="s">
        <v>474</v>
      </c>
      <c r="AP494" t="s">
        <v>2184</v>
      </c>
      <c r="AQ494" t="s">
        <v>2508</v>
      </c>
      <c r="AS494" t="s">
        <v>396</v>
      </c>
      <c r="AT494" t="s">
        <v>139</v>
      </c>
      <c r="AU494" t="s">
        <v>140</v>
      </c>
      <c r="BD494" s="16"/>
      <c r="GT494" s="27" t="str">
        <f>CONCATENATE("XT",U494)</f>
        <v>XT52</v>
      </c>
      <c r="GU494" t="str">
        <f>CONCATENATE("C",REPLACE(AF494,1,1,"")+1)</f>
        <v>C8</v>
      </c>
      <c r="GV494" t="str">
        <f>CONCATENATE("B",REPLACE(AG494,1,1,"")+1)</f>
        <v>B8</v>
      </c>
      <c r="GW494" t="str">
        <f>CONCATENATE("C",REPLACE(GU494,1,1,"")+1)</f>
        <v>C9</v>
      </c>
      <c r="GX494" t="str">
        <f>CONCATENATE("B",REPLACE(GV494,1,1,"")+1)</f>
        <v>B9</v>
      </c>
      <c r="GY494" t="str">
        <f>CONCATENATE("C",REPLACE(GW494,1,1,"")+1)</f>
        <v>C10</v>
      </c>
      <c r="GZ494" t="str">
        <f>CONCATENATE("B",REPLACE(GX494,1,1,"")+1)</f>
        <v>B10</v>
      </c>
      <c r="HA494" t="str">
        <f>CONCATENATE("C",REPLACE(GY494,1,1,"")+1)</f>
        <v>C11</v>
      </c>
      <c r="HB494" t="str">
        <f>CONCATENATE("B",REPLACE(GZ494,1,1,"")+1)</f>
        <v>B11</v>
      </c>
      <c r="HC494" t="str">
        <f>CONCATENATE("C",REPLACE(HA494,1,1,"")+1)</f>
        <v>C12</v>
      </c>
      <c r="HD494" t="str">
        <f>CONCATENATE("B",REPLACE(HB494,1,1,"")+1)</f>
        <v>B12</v>
      </c>
      <c r="HE494" t="str">
        <f>CONCATENATE(REPLACE(AK494,LEN(AK494),1,"")+1,"A")</f>
        <v>2A</v>
      </c>
      <c r="HF494" t="str">
        <f>CONCATENATE(REPLACE(AL494,LEN(AL494),1,"")+1,"B")</f>
        <v>2B</v>
      </c>
      <c r="HG494" t="str">
        <f t="shared" si="603"/>
        <v>AI17-11A</v>
      </c>
      <c r="HH494" t="str">
        <f t="shared" si="603"/>
        <v>AI17-11B</v>
      </c>
      <c r="HI494" t="str">
        <f t="shared" si="604"/>
        <v>DI10-C7</v>
      </c>
      <c r="HJ494" t="str">
        <f t="shared" si="604"/>
        <v>DI10-B7</v>
      </c>
      <c r="HK494" t="str">
        <f t="shared" si="605"/>
        <v>DI10-C8</v>
      </c>
      <c r="HL494" t="str">
        <f t="shared" si="605"/>
        <v>DI10-B8</v>
      </c>
      <c r="HM494" t="str">
        <f t="shared" si="605"/>
        <v>DI10-C9</v>
      </c>
      <c r="HN494" t="str">
        <f t="shared" si="605"/>
        <v>DI10-B9</v>
      </c>
      <c r="HO494" t="str">
        <f t="shared" si="605"/>
        <v>DI10-C10</v>
      </c>
      <c r="HP494" t="str">
        <f t="shared" si="605"/>
        <v>DI10-B10</v>
      </c>
      <c r="HQ494" t="str">
        <f t="shared" si="605"/>
        <v>DI10-C11</v>
      </c>
      <c r="HR494" t="str">
        <f t="shared" si="605"/>
        <v>DI10-B11</v>
      </c>
      <c r="HS494" t="str">
        <f t="shared" si="605"/>
        <v>DI10-C12</v>
      </c>
      <c r="HT494" t="str">
        <f t="shared" si="605"/>
        <v>DI10-B12</v>
      </c>
      <c r="HU494" t="str">
        <f t="shared" si="606"/>
        <v>DO6-1A</v>
      </c>
      <c r="HV494" t="str">
        <f t="shared" si="606"/>
        <v>DO6-1B</v>
      </c>
      <c r="HW494" t="str">
        <f t="shared" si="607"/>
        <v>DO6-2A</v>
      </c>
      <c r="HX494" t="str">
        <f t="shared" si="607"/>
        <v>DO6-2B</v>
      </c>
      <c r="HY494" t="str">
        <f>CONCATENATE("K",$U494,"-01")</f>
        <v>K52-01</v>
      </c>
      <c r="HZ494" t="str">
        <f>CONCATENATE("K",$U494,"-02")</f>
        <v>K52-02</v>
      </c>
      <c r="IA494" t="str">
        <f>CONCATENATE("K",$U494,"-03")</f>
        <v>K52-03</v>
      </c>
      <c r="IB494" t="str">
        <f>CONCATENATE("K",$U494,"-04")</f>
        <v>K52-04</v>
      </c>
      <c r="IC494" t="str">
        <f>CONCATENATE("K",$U494,"-05")</f>
        <v>K52-05</v>
      </c>
      <c r="ID494" t="str">
        <f>CONCATENATE("K",$U494,"-06")</f>
        <v>K52-06</v>
      </c>
      <c r="IE494" t="str">
        <f>CONCATENATE("K",$U494,"-07")</f>
        <v>K52-07</v>
      </c>
      <c r="IF494" t="str">
        <f>CONCATENATE("K",$U494,"-08")</f>
        <v>K52-08</v>
      </c>
      <c r="IG494" t="str">
        <f>CONCATENATE($T494,"-M",$U494,"-AMS-12")</f>
        <v>N1-M52-AMS-12</v>
      </c>
      <c r="IH494" t="str">
        <f>CONCATENATE($T494,"-M",$U494,"-AMS-10")</f>
        <v>N1-M52-AMS-10</v>
      </c>
      <c r="II494" t="str">
        <f>CONCATENATE($T494,"-M",$U494,"-AMS-11")</f>
        <v>N1-M52-AMS-11</v>
      </c>
      <c r="IJ494" t="str">
        <f>CONCATENATE($T494,"-M",$U494,"-AMS-13")</f>
        <v>N1-M52-AMS-13</v>
      </c>
      <c r="IK494" t="str">
        <f>CONCATENATE($T494,"-M",$U494,"-AMS-9")</f>
        <v>N1-M52-AMS-9</v>
      </c>
      <c r="IL494" t="str">
        <f>CONCATENATE($T494,"-M",$U494,"-AMS-7")</f>
        <v>N1-M52-AMS-7</v>
      </c>
      <c r="IM494" t="str">
        <f>CONCATENATE($T494,"-M",$U494,"-AMS-18")</f>
        <v>N1-M52-AMS-18</v>
      </c>
      <c r="IN494" t="str">
        <f>CONCATENATE($T494,"-M",$U494,"-AMS-20")</f>
        <v>N1-M52-AMS-20</v>
      </c>
      <c r="IO494" t="str">
        <f>CONCATENATE($T494,"-M",$U494,"-AMS-17")</f>
        <v>N1-M52-AMS-17</v>
      </c>
      <c r="IP494" t="str">
        <f>CONCATENATE($T494,"-+24-M",$U494,)</f>
        <v>N1-+24-M52</v>
      </c>
      <c r="IQ494" t="str">
        <f>CONCATENATE($T494,"-M",$U494,"-XM01")</f>
        <v>N1-M52-XM01</v>
      </c>
      <c r="IR494" t="s">
        <v>142</v>
      </c>
      <c r="IS494" t="s">
        <v>143</v>
      </c>
      <c r="IT494">
        <v>11</v>
      </c>
      <c r="IU494">
        <v>14</v>
      </c>
      <c r="IV494" t="s">
        <v>413</v>
      </c>
      <c r="IW494" t="s">
        <v>414</v>
      </c>
      <c r="IX494">
        <v>1</v>
      </c>
      <c r="IY494">
        <v>2</v>
      </c>
      <c r="IZ494">
        <v>3</v>
      </c>
      <c r="JA494">
        <v>4</v>
      </c>
      <c r="JB494">
        <v>5</v>
      </c>
      <c r="JC494">
        <v>6</v>
      </c>
      <c r="JD494">
        <v>7</v>
      </c>
      <c r="JE494">
        <v>8</v>
      </c>
      <c r="JF494">
        <v>9</v>
      </c>
      <c r="JG494">
        <v>10</v>
      </c>
      <c r="JH494">
        <v>11</v>
      </c>
      <c r="JI494">
        <v>12</v>
      </c>
      <c r="JJ494">
        <v>13</v>
      </c>
      <c r="JK494">
        <v>14</v>
      </c>
      <c r="JL494">
        <v>17</v>
      </c>
      <c r="JM494">
        <v>15</v>
      </c>
      <c r="JN494">
        <v>18</v>
      </c>
      <c r="JO494">
        <v>11</v>
      </c>
      <c r="JP494">
        <v>9</v>
      </c>
      <c r="JQ494">
        <v>6</v>
      </c>
      <c r="JR494">
        <v>20</v>
      </c>
      <c r="JS494">
        <v>7</v>
      </c>
      <c r="JT494">
        <v>10</v>
      </c>
      <c r="JU494">
        <v>22</v>
      </c>
      <c r="JV494">
        <v>23</v>
      </c>
      <c r="JW494">
        <v>26</v>
      </c>
      <c r="JX494">
        <v>27</v>
      </c>
      <c r="JY494" s="16">
        <v>30</v>
      </c>
      <c r="MA494" t="str">
        <f t="shared" si="593"/>
        <v>DI10-B7</v>
      </c>
    </row>
    <row r="495" spans="1:339" ht="15.75" thickBot="1" x14ac:dyDescent="0.3">
      <c r="A495" s="83" t="s">
        <v>2657</v>
      </c>
      <c r="B495" s="83" t="s">
        <v>2658</v>
      </c>
      <c r="C495" s="3"/>
      <c r="O495" s="2"/>
      <c r="P495" t="s">
        <v>129</v>
      </c>
      <c r="Q495" s="1"/>
      <c r="S495" s="1" t="s">
        <v>130</v>
      </c>
      <c r="T495" s="14" t="s">
        <v>2182</v>
      </c>
      <c r="U495" s="59">
        <f t="shared" si="602"/>
        <v>53</v>
      </c>
      <c r="V495" s="15" t="s">
        <v>2656</v>
      </c>
      <c r="W495" s="15"/>
      <c r="AC495" t="str">
        <f t="shared" si="596"/>
        <v>A5.10</v>
      </c>
      <c r="AD495" s="43">
        <f t="array" ref="AD495">IF(COUNTIFS(AC$377:AC495,AC495)=1,"1",VALUE(SUBSTITUTE(INDEX(AD:AD,_xlfn.XMATCH(AC495,AC$1:AC494,0,-1)),"A",""))+INDEX(AE:AE,_xlfn.XMATCH(AC495,AC$1:AC494,0,-1))+1)</f>
        <v>13</v>
      </c>
      <c r="AE495" s="43">
        <f t="array" ref="AE495">SUM(IF(ISNUMBER(FIND("TmDi",$BE$1:$AAQ$1)),IF(IFERROR(ISNUMBER(VALUE(SUBSTITUTE($BE495:$AAQ495,"B",""))),FALSE),IF(ISNUMBER(VALUE(SUBSTITUTE($BE495:$AAQ495,"B",""))),1,0),0)))</f>
        <v>5</v>
      </c>
      <c r="AF495" t="str">
        <f t="shared" si="440"/>
        <v>C13</v>
      </c>
      <c r="AG495" t="str">
        <f t="shared" si="441"/>
        <v>B13</v>
      </c>
      <c r="AH495" t="str">
        <f t="shared" si="597"/>
        <v>A6.6</v>
      </c>
      <c r="AI495" s="69">
        <f t="array" ref="AI495">IF(COUNTIFS(AH$377:AH495,AH495)=1,"1",VALUE(SUBSTITUTE(INDEX(AI:AI,_xlfn.XMATCH(AH495,AH$1:AH494,0,-1)),"A",""))+INDEX(AJ:AJ,_xlfn.XMATCH(AH495,AH$1:AH494,0,-1))+1)</f>
        <v>3</v>
      </c>
      <c r="AJ495" s="62">
        <f t="array" ref="AJ495">SUM(IF(ISNUMBER(FIND("TmDo",$BE$1:$AAQ$1)),IF(IFERROR(ISNUMBER(VALUE(SUBSTITUTE($BE495:$AAQ495,"B",""))),FALSE),IF(ISNUMBER(VALUE(SUBSTITUTE($BE495:$AAQ495,"B",""))),1,0),0)))</f>
        <v>2</v>
      </c>
      <c r="AK495" t="str">
        <f t="shared" si="594"/>
        <v>3A</v>
      </c>
      <c r="AL495" t="str">
        <f t="shared" si="595"/>
        <v>3B</v>
      </c>
      <c r="AM495" t="s">
        <v>475</v>
      </c>
      <c r="AP495" t="s">
        <v>2184</v>
      </c>
      <c r="AQ495" t="s">
        <v>2508</v>
      </c>
      <c r="AT495" t="s">
        <v>139</v>
      </c>
      <c r="AU495" t="s">
        <v>140</v>
      </c>
      <c r="BD495" s="16"/>
      <c r="BE495" s="28" t="str">
        <f>CONCATENATE("XT",U495)</f>
        <v>XT53</v>
      </c>
      <c r="BF495" s="19" t="str">
        <f>CONCATENATE("C",REPLACE(AF495,1,1,"")+1)</f>
        <v>C14</v>
      </c>
      <c r="BG495" s="19" t="str">
        <f>CONCATENATE("B",REPLACE(AG495,1,1,"")+1)</f>
        <v>B14</v>
      </c>
      <c r="BH495" s="19" t="str">
        <f>CONCATENATE("C",REPLACE(BF495,1,1,"")+1)</f>
        <v>C15</v>
      </c>
      <c r="BI495" s="19" t="str">
        <f>CONCATENATE("B",REPLACE(BG495,1,1,"")+1)</f>
        <v>B15</v>
      </c>
      <c r="BJ495" s="19" t="str">
        <f>CONCATENATE("C",REPLACE(BH495,1,1,"")+1)</f>
        <v>C16</v>
      </c>
      <c r="BK495" s="19" t="str">
        <f>CONCATENATE("B",REPLACE(BI495,1,1,"")+1)</f>
        <v>B16</v>
      </c>
      <c r="BL495" s="19" t="str">
        <f>CONCATENATE("C",REPLACE(BJ495,1,1,"")+1)</f>
        <v>C17</v>
      </c>
      <c r="BM495" s="19" t="str">
        <f>CONCATENATE("B",REPLACE(BK495,1,1,"")+1)</f>
        <v>B17</v>
      </c>
      <c r="BN495" s="19" t="str">
        <f>CONCATENATE("C",REPLACE(BL495,1,1,"")+1)</f>
        <v>C18</v>
      </c>
      <c r="BO495" s="19" t="str">
        <f>CONCATENATE("B",REPLACE(BM495,1,1,"")+1)</f>
        <v>B18</v>
      </c>
      <c r="BP495" s="19" t="str">
        <f>CONCATENATE(REPLACE(AK495,LEN(AK495),1,"")+1,"A")</f>
        <v>4A</v>
      </c>
      <c r="BQ495" s="19" t="str">
        <f>CONCATENATE(REPLACE(AL495,LEN(AL495),1,"")+1,"B")</f>
        <v>4B</v>
      </c>
      <c r="BR495" s="19" t="str">
        <f>CONCATENATE(REPLACE(BP495,LEN(BP495),1,"")+1,"A")</f>
        <v>5A</v>
      </c>
      <c r="BS495" s="19" t="str">
        <f>CONCATENATE(REPLACE(BQ495,LEN(BQ495),1,"")+1,"B")</f>
        <v>5B</v>
      </c>
      <c r="BT495" s="19" t="str">
        <f>CONCATENATE("DI",REPLACE($AC495,1,3,""),"-",AF495)</f>
        <v>DI10-C13</v>
      </c>
      <c r="BU495" s="19" t="str">
        <f>CONCATENATE("DI",REPLACE($AC495,1,3,""),"-",AG495)</f>
        <v>DI10-B13</v>
      </c>
      <c r="BV495" s="19" t="str">
        <f t="shared" ref="BV495:CE496" si="608">CONCATENATE("DI",REPLACE($AC495,1,3,""),"-",BF495)</f>
        <v>DI10-C14</v>
      </c>
      <c r="BW495" s="19" t="str">
        <f t="shared" si="608"/>
        <v>DI10-B14</v>
      </c>
      <c r="BX495" s="19" t="str">
        <f t="shared" si="608"/>
        <v>DI10-C15</v>
      </c>
      <c r="BY495" s="19" t="str">
        <f t="shared" si="608"/>
        <v>DI10-B15</v>
      </c>
      <c r="BZ495" s="19" t="str">
        <f t="shared" si="608"/>
        <v>DI10-C16</v>
      </c>
      <c r="CA495" s="19" t="str">
        <f t="shared" si="608"/>
        <v>DI10-B16</v>
      </c>
      <c r="CB495" s="19" t="str">
        <f t="shared" si="608"/>
        <v>DI10-C17</v>
      </c>
      <c r="CC495" s="19" t="str">
        <f t="shared" si="608"/>
        <v>DI10-B17</v>
      </c>
      <c r="CD495" s="19" t="str">
        <f t="shared" si="608"/>
        <v>DI10-C18</v>
      </c>
      <c r="CE495" s="19" t="str">
        <f t="shared" si="608"/>
        <v>DI10-B18</v>
      </c>
      <c r="CF495" s="19" t="str">
        <f>CONCATENATE("DO",REPLACE($AH495,1,3,""),"-",AK495)</f>
        <v>DO6-3A</v>
      </c>
      <c r="CG495" s="19" t="str">
        <f>CONCATENATE("DO",REPLACE($AH495,1,3,""),"-",AL495)</f>
        <v>DO6-3B</v>
      </c>
      <c r="CH495" s="19" t="str">
        <f t="shared" ref="CH495:CK496" si="609">CONCATENATE("DO",REPLACE($AH495,1,3,""),"-",BP495)</f>
        <v>DO6-4A</v>
      </c>
      <c r="CI495" s="19" t="str">
        <f t="shared" si="609"/>
        <v>DO6-4B</v>
      </c>
      <c r="CJ495" s="19" t="str">
        <f t="shared" si="609"/>
        <v>DO6-5A</v>
      </c>
      <c r="CK495" s="19" t="str">
        <f t="shared" si="609"/>
        <v>DO6-5B</v>
      </c>
      <c r="CL495" s="19" t="str">
        <f>CONCATENATE("K",$U495,"-10")</f>
        <v>K53-10</v>
      </c>
      <c r="CM495" s="19" t="str">
        <f>CONCATENATE("K",$U495,"-03")</f>
        <v>K53-03</v>
      </c>
      <c r="CN495" s="19" t="str">
        <f>CONCATENATE("K",$U495,"-04")</f>
        <v>K53-04</v>
      </c>
      <c r="CO495" s="19" t="str">
        <f>CONCATENATE("K",$U495,"-01")</f>
        <v>K53-01</v>
      </c>
      <c r="CP495" s="19" t="str">
        <f>CONCATENATE("K",$U495,"-08")</f>
        <v>K53-08</v>
      </c>
      <c r="CQ495" s="19" t="str">
        <f>CONCATENATE("K",$U495,"-02")</f>
        <v>K53-02</v>
      </c>
      <c r="CR495" s="19" t="str">
        <f>CONCATENATE("K",$U495,"-09")</f>
        <v>K53-09</v>
      </c>
      <c r="CS495" s="19" t="str">
        <f>CONCATENATE("K",$U495,"-05")</f>
        <v>K53-05</v>
      </c>
      <c r="CT495" s="19" t="str">
        <f>CONCATENATE("K",$U495,"-11")</f>
        <v>K53-11</v>
      </c>
      <c r="CU495" s="19" t="str">
        <f>CONCATENATE($T495,"-M",$U495,"-A9")</f>
        <v>N1-M53-A9</v>
      </c>
      <c r="CV495" s="19" t="str">
        <f>CONCATENATE($T495,"-M",$U495,"-A7")</f>
        <v>N1-M53-A7</v>
      </c>
      <c r="CW495" s="19" t="str">
        <f>CONCATENATE($T495,"-M",$U495,"-A8")</f>
        <v>N1-M53-A8</v>
      </c>
      <c r="CX495" s="19" t="str">
        <f>CONCATENATE($T495,"-M",$U495,"-A6")</f>
        <v>N1-M53-A6</v>
      </c>
      <c r="CY495" s="19" t="str">
        <f>CONCATENATE($T495,"-M",$U495,"-A30")</f>
        <v>N1-M53-A30</v>
      </c>
      <c r="CZ495" s="19" t="str">
        <f>CONCATENATE($T495,"-M",$U495,"-N")</f>
        <v>N1-M53-N</v>
      </c>
      <c r="DA495" s="19" t="str">
        <f>CONCATENATE($T495,"-A220-M",U495)</f>
        <v>N1-A220-M53</v>
      </c>
      <c r="DB495" s="19" t="str">
        <f>CONCATENATE($T495,"-M",$U495,"-XM01")</f>
        <v>N1-M53-XM01</v>
      </c>
      <c r="DC495" s="19" t="str">
        <f>CONCATENATE($T495,"-M",$U495,"-A1")</f>
        <v>N1-M53-A1</v>
      </c>
      <c r="DD495" s="19" t="str">
        <f>CONCATENATE($T495,"-M",$U495,"-A5")</f>
        <v>N1-M53-A5</v>
      </c>
      <c r="DE495" s="19" t="str">
        <f>CONCATENATE($T495,"-M",$U495,"-A11")</f>
        <v>N1-M53-A11</v>
      </c>
      <c r="DF495" s="19" t="str">
        <f>CONCATENATE($T495,"-M",$U495,"-A12")</f>
        <v>N1-M53-A12</v>
      </c>
      <c r="DG495" s="19" t="str">
        <f>CONCATENATE($T495,"-M",$U495,"-A19")</f>
        <v>N1-M53-A19</v>
      </c>
      <c r="DH495" s="19" t="str">
        <f>CONCATENATE($T495,"-M",$U495,"-A20")</f>
        <v>N1-M53-A20</v>
      </c>
      <c r="DI495" s="19" t="s">
        <v>142</v>
      </c>
      <c r="DJ495" s="19" t="s">
        <v>143</v>
      </c>
      <c r="DK495" s="19">
        <v>11</v>
      </c>
      <c r="DL495" s="19">
        <v>14</v>
      </c>
      <c r="DM495" s="19">
        <v>12</v>
      </c>
      <c r="DN495" s="19" t="s">
        <v>144</v>
      </c>
      <c r="DO495" s="19" t="s">
        <v>145</v>
      </c>
      <c r="DP495" s="19">
        <v>1</v>
      </c>
      <c r="DQ495" s="19">
        <v>2</v>
      </c>
      <c r="DR495" s="19">
        <v>3</v>
      </c>
      <c r="DS495" s="19">
        <v>4</v>
      </c>
      <c r="DT495" s="19">
        <v>5</v>
      </c>
      <c r="DU495" s="19">
        <v>6</v>
      </c>
      <c r="DV495" s="19">
        <v>7</v>
      </c>
      <c r="DW495" s="19">
        <v>8</v>
      </c>
      <c r="DX495" s="19">
        <v>9</v>
      </c>
      <c r="DY495" s="19">
        <v>10</v>
      </c>
      <c r="DZ495" s="19">
        <v>11</v>
      </c>
      <c r="EA495" s="19">
        <v>12</v>
      </c>
      <c r="EB495" s="19">
        <v>13</v>
      </c>
      <c r="EC495" s="19">
        <v>14</v>
      </c>
      <c r="ED495" s="19">
        <v>1</v>
      </c>
      <c r="EE495" s="19">
        <v>3</v>
      </c>
      <c r="EF495" s="19">
        <v>4</v>
      </c>
      <c r="EG495" s="19">
        <v>7</v>
      </c>
      <c r="EH495" s="19">
        <v>8</v>
      </c>
      <c r="EI495" s="19">
        <v>9</v>
      </c>
      <c r="EJ495" s="19">
        <v>10</v>
      </c>
      <c r="EK495" s="19">
        <v>13</v>
      </c>
      <c r="EL495" s="19">
        <v>14</v>
      </c>
      <c r="EM495" s="19">
        <v>15</v>
      </c>
      <c r="EN495" s="19">
        <v>16</v>
      </c>
      <c r="EO495" s="19">
        <v>22</v>
      </c>
      <c r="EP495" s="19">
        <v>23</v>
      </c>
      <c r="EQ495" s="20">
        <v>24</v>
      </c>
      <c r="MA495" t="str">
        <f t="shared" si="593"/>
        <v>DI10-B13</v>
      </c>
    </row>
    <row r="496" spans="1:339" ht="15.75" thickBot="1" x14ac:dyDescent="0.3">
      <c r="A496" s="83" t="s">
        <v>2660</v>
      </c>
      <c r="B496" s="83" t="s">
        <v>2659</v>
      </c>
      <c r="C496" s="3"/>
      <c r="O496" s="2"/>
      <c r="P496" t="s">
        <v>129</v>
      </c>
      <c r="Q496" s="1"/>
      <c r="S496" s="1" t="s">
        <v>130</v>
      </c>
      <c r="T496" s="14" t="s">
        <v>2182</v>
      </c>
      <c r="U496" s="59">
        <f t="shared" si="602"/>
        <v>54</v>
      </c>
      <c r="V496" s="15" t="s">
        <v>2661</v>
      </c>
      <c r="W496" s="15"/>
      <c r="AC496" t="str">
        <f t="shared" si="596"/>
        <v>A5.10</v>
      </c>
      <c r="AD496" s="43">
        <f t="array" ref="AD496">IF(COUNTIFS(AC$377:AC496,AC496)=1,"1",VALUE(SUBSTITUTE(INDEX(AD:AD,_xlfn.XMATCH(AC496,AC$1:AC495,0,-1)),"A",""))+INDEX(AE:AE,_xlfn.XMATCH(AC496,AC$1:AC495,0,-1))+1)</f>
        <v>19</v>
      </c>
      <c r="AE496" s="43">
        <f t="array" ref="AE496">SUM(IF(ISNUMBER(FIND("TmDi",$BE$1:$AAQ$1)),IF(IFERROR(ISNUMBER(VALUE(SUBSTITUTE($BE496:$AAQ496,"B",""))),FALSE),IF(ISNUMBER(VALUE(SUBSTITUTE($BE496:$AAQ496,"B",""))),1,0),0)))</f>
        <v>5</v>
      </c>
      <c r="AF496" t="str">
        <f t="shared" si="440"/>
        <v>C19</v>
      </c>
      <c r="AG496" t="str">
        <f t="shared" si="441"/>
        <v>B19</v>
      </c>
      <c r="AH496" t="str">
        <f t="shared" si="597"/>
        <v>A6.6</v>
      </c>
      <c r="AI496" s="69">
        <f t="array" ref="AI496">IF(COUNTIFS(AH$377:AH496,AH496)=1,"1",VALUE(SUBSTITUTE(INDEX(AI:AI,_xlfn.XMATCH(AH496,AH$1:AH495,0,-1)),"A",""))+INDEX(AJ:AJ,_xlfn.XMATCH(AH496,AH$1:AH495,0,-1))+1)</f>
        <v>6</v>
      </c>
      <c r="AJ496" s="62">
        <f t="array" ref="AJ496">SUM(IF(ISNUMBER(FIND("TmDo",$BE$1:$AAQ$1)),IF(IFERROR(ISNUMBER(VALUE(SUBSTITUTE($BE496:$AAQ496,"B",""))),FALSE),IF(ISNUMBER(VALUE(SUBSTITUTE($BE496:$AAQ496,"B",""))),1,0),0)))</f>
        <v>2</v>
      </c>
      <c r="AK496" t="str">
        <f t="shared" si="594"/>
        <v>6A</v>
      </c>
      <c r="AL496" t="str">
        <f t="shared" si="595"/>
        <v>6B</v>
      </c>
      <c r="AM496" t="s">
        <v>2662</v>
      </c>
      <c r="AP496" t="s">
        <v>2184</v>
      </c>
      <c r="AQ496" t="s">
        <v>2508</v>
      </c>
      <c r="AT496" t="s">
        <v>139</v>
      </c>
      <c r="AU496" t="s">
        <v>140</v>
      </c>
      <c r="BD496" s="16"/>
      <c r="BE496" s="28" t="str">
        <f>CONCATENATE("XT",U496)</f>
        <v>XT54</v>
      </c>
      <c r="BF496" s="19" t="str">
        <f>CONCATENATE("C",REPLACE(AF496,1,1,"")+1)</f>
        <v>C20</v>
      </c>
      <c r="BG496" s="19" t="str">
        <f>CONCATENATE("B",REPLACE(AG496,1,1,"")+1)</f>
        <v>B20</v>
      </c>
      <c r="BH496" s="19" t="str">
        <f>CONCATENATE("C",REPLACE(BF496,1,1,"")+1)</f>
        <v>C21</v>
      </c>
      <c r="BI496" s="19" t="str">
        <f>CONCATENATE("B",REPLACE(BG496,1,1,"")+1)</f>
        <v>B21</v>
      </c>
      <c r="BJ496" s="19" t="str">
        <f>CONCATENATE("C",REPLACE(BH496,1,1,"")+1)</f>
        <v>C22</v>
      </c>
      <c r="BK496" s="19" t="str">
        <f>CONCATENATE("B",REPLACE(BI496,1,1,"")+1)</f>
        <v>B22</v>
      </c>
      <c r="BL496" s="19" t="str">
        <f>CONCATENATE("C",REPLACE(BJ496,1,1,"")+1)</f>
        <v>C23</v>
      </c>
      <c r="BM496" s="19" t="str">
        <f>CONCATENATE("B",REPLACE(BK496,1,1,"")+1)</f>
        <v>B23</v>
      </c>
      <c r="BN496" s="19" t="str">
        <f>CONCATENATE("C",REPLACE(BL496,1,1,"")+1)</f>
        <v>C24</v>
      </c>
      <c r="BO496" s="19" t="str">
        <f>CONCATENATE("B",REPLACE(BM496,1,1,"")+1)</f>
        <v>B24</v>
      </c>
      <c r="BP496" s="19" t="str">
        <f>CONCATENATE(REPLACE(AK496,LEN(AK496),1,"")+1,"A")</f>
        <v>7A</v>
      </c>
      <c r="BQ496" s="19" t="str">
        <f>CONCATENATE(REPLACE(AL496,LEN(AL496),1,"")+1,"B")</f>
        <v>7B</v>
      </c>
      <c r="BR496" s="19" t="str">
        <f>CONCATENATE(REPLACE(BP496,LEN(BP496),1,"")+1,"A")</f>
        <v>8A</v>
      </c>
      <c r="BS496" s="19" t="str">
        <f>CONCATENATE(REPLACE(BQ496,LEN(BQ496),1,"")+1,"B")</f>
        <v>8B</v>
      </c>
      <c r="BT496" s="19" t="str">
        <f>CONCATENATE("DI",REPLACE($AC496,1,3,""),"-",AF496)</f>
        <v>DI10-C19</v>
      </c>
      <c r="BU496" s="19" t="str">
        <f>CONCATENATE("DI",REPLACE($AC496,1,3,""),"-",AG496)</f>
        <v>DI10-B19</v>
      </c>
      <c r="BV496" s="19" t="str">
        <f t="shared" si="608"/>
        <v>DI10-C20</v>
      </c>
      <c r="BW496" s="19" t="str">
        <f t="shared" si="608"/>
        <v>DI10-B20</v>
      </c>
      <c r="BX496" s="19" t="str">
        <f t="shared" si="608"/>
        <v>DI10-C21</v>
      </c>
      <c r="BY496" s="19" t="str">
        <f t="shared" si="608"/>
        <v>DI10-B21</v>
      </c>
      <c r="BZ496" s="19" t="str">
        <f t="shared" si="608"/>
        <v>DI10-C22</v>
      </c>
      <c r="CA496" s="19" t="str">
        <f t="shared" si="608"/>
        <v>DI10-B22</v>
      </c>
      <c r="CB496" s="19" t="str">
        <f t="shared" si="608"/>
        <v>DI10-C23</v>
      </c>
      <c r="CC496" s="19" t="str">
        <f t="shared" si="608"/>
        <v>DI10-B23</v>
      </c>
      <c r="CD496" s="19" t="str">
        <f t="shared" si="608"/>
        <v>DI10-C24</v>
      </c>
      <c r="CE496" s="19" t="str">
        <f t="shared" si="608"/>
        <v>DI10-B24</v>
      </c>
      <c r="CF496" s="19" t="str">
        <f>CONCATENATE("DO",REPLACE($AH496,1,3,""),"-",AK496)</f>
        <v>DO6-6A</v>
      </c>
      <c r="CG496" s="19" t="str">
        <f>CONCATENATE("DO",REPLACE($AH496,1,3,""),"-",AL496)</f>
        <v>DO6-6B</v>
      </c>
      <c r="CH496" s="19" t="str">
        <f t="shared" si="609"/>
        <v>DO6-7A</v>
      </c>
      <c r="CI496" s="19" t="str">
        <f t="shared" si="609"/>
        <v>DO6-7B</v>
      </c>
      <c r="CJ496" s="19" t="str">
        <f t="shared" si="609"/>
        <v>DO6-8A</v>
      </c>
      <c r="CK496" s="19" t="str">
        <f t="shared" si="609"/>
        <v>DO6-8B</v>
      </c>
      <c r="CL496" s="19" t="str">
        <f>CONCATENATE("K",$U496,"-10")</f>
        <v>K54-10</v>
      </c>
      <c r="CM496" s="19" t="str">
        <f>CONCATENATE("K",$U496,"-03")</f>
        <v>K54-03</v>
      </c>
      <c r="CN496" s="19" t="str">
        <f>CONCATENATE("K",$U496,"-04")</f>
        <v>K54-04</v>
      </c>
      <c r="CO496" s="19" t="str">
        <f>CONCATENATE("K",$U496,"-01")</f>
        <v>K54-01</v>
      </c>
      <c r="CP496" s="19" t="str">
        <f>CONCATENATE("K",$U496,"-08")</f>
        <v>K54-08</v>
      </c>
      <c r="CQ496" s="19" t="str">
        <f>CONCATENATE("K",$U496,"-02")</f>
        <v>K54-02</v>
      </c>
      <c r="CR496" s="19" t="str">
        <f>CONCATENATE("K",$U496,"-09")</f>
        <v>K54-09</v>
      </c>
      <c r="CS496" s="19" t="str">
        <f>CONCATENATE("K",$U496,"-05")</f>
        <v>K54-05</v>
      </c>
      <c r="CT496" s="19" t="str">
        <f>CONCATENATE("K",$U496,"-11")</f>
        <v>K54-11</v>
      </c>
      <c r="CU496" s="19" t="str">
        <f>CONCATENATE($T496,"-M",$U496,"-A9")</f>
        <v>N1-M54-A9</v>
      </c>
      <c r="CV496" s="19" t="str">
        <f>CONCATENATE($T496,"-M",$U496,"-A7")</f>
        <v>N1-M54-A7</v>
      </c>
      <c r="CW496" s="19" t="str">
        <f>CONCATENATE($T496,"-M",$U496,"-A8")</f>
        <v>N1-M54-A8</v>
      </c>
      <c r="CX496" s="19" t="str">
        <f>CONCATENATE($T496,"-M",$U496,"-A6")</f>
        <v>N1-M54-A6</v>
      </c>
      <c r="CY496" s="19" t="str">
        <f>CONCATENATE($T496,"-M",$U496,"-A30")</f>
        <v>N1-M54-A30</v>
      </c>
      <c r="CZ496" s="19" t="str">
        <f>CONCATENATE($T496,"-M",$U496,"-N")</f>
        <v>N1-M54-N</v>
      </c>
      <c r="DA496" s="19" t="str">
        <f>CONCATENATE($T496,"-A220-M",U496)</f>
        <v>N1-A220-M54</v>
      </c>
      <c r="DB496" s="19" t="str">
        <f>CONCATENATE($T496,"-M",$U496,"-XM01")</f>
        <v>N1-M54-XM01</v>
      </c>
      <c r="DC496" s="19" t="str">
        <f>CONCATENATE($T496,"-M",$U496,"-A1")</f>
        <v>N1-M54-A1</v>
      </c>
      <c r="DD496" s="19" t="str">
        <f>CONCATENATE($T496,"-M",$U496,"-A5")</f>
        <v>N1-M54-A5</v>
      </c>
      <c r="DE496" s="19" t="str">
        <f>CONCATENATE($T496,"-M",$U496,"-A11")</f>
        <v>N1-M54-A11</v>
      </c>
      <c r="DF496" s="19" t="str">
        <f>CONCATENATE($T496,"-M",$U496,"-A12")</f>
        <v>N1-M54-A12</v>
      </c>
      <c r="DG496" s="19" t="str">
        <f>CONCATENATE($T496,"-M",$U496,"-A19")</f>
        <v>N1-M54-A19</v>
      </c>
      <c r="DH496" s="19" t="str">
        <f>CONCATENATE($T496,"-M",$U496,"-A20")</f>
        <v>N1-M54-A20</v>
      </c>
      <c r="DI496" s="19" t="s">
        <v>142</v>
      </c>
      <c r="DJ496" s="19" t="s">
        <v>143</v>
      </c>
      <c r="DK496" s="19">
        <v>11</v>
      </c>
      <c r="DL496" s="19">
        <v>14</v>
      </c>
      <c r="DM496" s="19">
        <v>12</v>
      </c>
      <c r="DN496" s="19" t="s">
        <v>144</v>
      </c>
      <c r="DO496" s="19" t="s">
        <v>145</v>
      </c>
      <c r="DP496" s="19">
        <v>1</v>
      </c>
      <c r="DQ496" s="19">
        <v>2</v>
      </c>
      <c r="DR496" s="19">
        <v>3</v>
      </c>
      <c r="DS496" s="19">
        <v>4</v>
      </c>
      <c r="DT496" s="19">
        <v>5</v>
      </c>
      <c r="DU496" s="19">
        <v>6</v>
      </c>
      <c r="DV496" s="19">
        <v>7</v>
      </c>
      <c r="DW496" s="19">
        <v>8</v>
      </c>
      <c r="DX496" s="19">
        <v>9</v>
      </c>
      <c r="DY496" s="19">
        <v>10</v>
      </c>
      <c r="DZ496" s="19">
        <v>11</v>
      </c>
      <c r="EA496" s="19">
        <v>12</v>
      </c>
      <c r="EB496" s="19">
        <v>13</v>
      </c>
      <c r="EC496" s="19">
        <v>14</v>
      </c>
      <c r="ED496" s="19">
        <v>1</v>
      </c>
      <c r="EE496" s="19">
        <v>3</v>
      </c>
      <c r="EF496" s="19">
        <v>4</v>
      </c>
      <c r="EG496" s="19">
        <v>7</v>
      </c>
      <c r="EH496" s="19">
        <v>8</v>
      </c>
      <c r="EI496" s="19">
        <v>9</v>
      </c>
      <c r="EJ496" s="19">
        <v>10</v>
      </c>
      <c r="EK496" s="19">
        <v>13</v>
      </c>
      <c r="EL496" s="19">
        <v>14</v>
      </c>
      <c r="EM496" s="19">
        <v>15</v>
      </c>
      <c r="EN496" s="19">
        <v>16</v>
      </c>
      <c r="EO496" s="19">
        <v>22</v>
      </c>
      <c r="EP496" s="19">
        <v>23</v>
      </c>
      <c r="EQ496" s="20">
        <v>24</v>
      </c>
      <c r="MA496" t="str">
        <f t="shared" si="593"/>
        <v>DI10-B19</v>
      </c>
    </row>
    <row r="497" spans="1:812" x14ac:dyDescent="0.25">
      <c r="A497" s="83" t="s">
        <v>2664</v>
      </c>
      <c r="B497" s="83" t="s">
        <v>2663</v>
      </c>
      <c r="P497" t="s">
        <v>391</v>
      </c>
      <c r="T497" s="14" t="s">
        <v>2182</v>
      </c>
      <c r="U497" s="59">
        <f t="shared" si="602"/>
        <v>55</v>
      </c>
      <c r="V497" s="15" t="s">
        <v>2665</v>
      </c>
      <c r="W497" s="15" t="s">
        <v>2666</v>
      </c>
      <c r="X497" t="s">
        <v>917</v>
      </c>
      <c r="Y497" s="43">
        <f t="array" ref="Y497">IF(COUNTIFS($X$377:$X497,$X497)=1,"1",VALUE(SUBSTITUTE(INDEX(Y:Y,_xlfn.XMATCH($X497,$X$1:$X496,0,-1)),"A",""))+INDEX(Z:Z,_xlfn.XMATCH($X497,$X$1:$X496,0,-1))+1)</f>
        <v>7</v>
      </c>
      <c r="Z497" s="43">
        <f t="array" ref="Z497">SUM(IF(ISNUMBER(FIND("TmAi",$BE$1:$AAQ$1)),IF(IFERROR(ISODD(SUBSTITUTE($BE497:$AAQ497,"A","")),FALSE),IF(ISODD(SUBSTITUTE($BE497:$AAQ497,"A","")),1,0),0)))</f>
        <v>0</v>
      </c>
      <c r="AA497" t="str">
        <f>CONCATENATE($Y497*2-1,"A")</f>
        <v>13A</v>
      </c>
      <c r="AB497" t="str">
        <f>CONCATENATE($Y497*2-1,"B")</f>
        <v>13B</v>
      </c>
      <c r="AC497" t="str">
        <f t="shared" si="596"/>
        <v>A5.10</v>
      </c>
      <c r="AD497" s="43">
        <f t="array" ref="AD497">IF(COUNTIFS(AC$377:AC497,AC497)=1,"1",VALUE(SUBSTITUTE(INDEX(AD:AD,_xlfn.XMATCH(AC497,AC$1:AC496,0,-1)),"A",""))+INDEX(AE:AE,_xlfn.XMATCH(AC497,AC$1:AC496,0,-1))+1)</f>
        <v>25</v>
      </c>
      <c r="AE497" s="43">
        <f t="array" ref="AE497">SUM(IF(ISNUMBER(FIND("TmDi",$BE$1:$AAQ$1)),IF(IFERROR(ISNUMBER(VALUE(SUBSTITUTE($BE497:$AAQ497,"B",""))),FALSE),IF(ISNUMBER(VALUE(SUBSTITUTE($BE497:$AAQ497,"B",""))),1,0),0)))</f>
        <v>5</v>
      </c>
      <c r="AF497" t="str">
        <f t="shared" si="440"/>
        <v>C25</v>
      </c>
      <c r="AG497" t="str">
        <f t="shared" si="441"/>
        <v>B25</v>
      </c>
      <c r="AH497" t="str">
        <f t="shared" si="597"/>
        <v>A6.6</v>
      </c>
      <c r="AI497" s="69">
        <f t="array" ref="AI497">IF(COUNTIFS(AH$377:AH497,AH497)=1,"1",VALUE(SUBSTITUTE(INDEX(AI:AI,_xlfn.XMATCH(AH497,AH$1:AH496,0,-1)),"A",""))+INDEX(AJ:AJ,_xlfn.XMATCH(AH497,AH$1:AH496,0,-1))+1)</f>
        <v>9</v>
      </c>
      <c r="AJ497" s="62">
        <f t="array" ref="AJ497">SUM(IF(ISNUMBER(FIND("TmDo",$BE$1:$AAQ$1)),IF(IFERROR(ISNUMBER(VALUE(SUBSTITUTE($BE497:$AAQ497,"B",""))),FALSE),IF(ISNUMBER(VALUE(SUBSTITUTE($BE497:$AAQ497,"B",""))),1,0),0)))</f>
        <v>1</v>
      </c>
      <c r="AK497" t="str">
        <f t="shared" si="594"/>
        <v>9A</v>
      </c>
      <c r="AL497" t="str">
        <f t="shared" si="595"/>
        <v>9B</v>
      </c>
      <c r="AM497" t="s">
        <v>2667</v>
      </c>
      <c r="AP497" t="s">
        <v>2184</v>
      </c>
      <c r="AQ497" t="s">
        <v>2508</v>
      </c>
      <c r="AS497" t="s">
        <v>396</v>
      </c>
      <c r="AT497" t="s">
        <v>139</v>
      </c>
      <c r="AU497" t="s">
        <v>140</v>
      </c>
      <c r="BD497" s="16"/>
      <c r="GT497" s="27" t="str">
        <f>CONCATENATE("XT",U497)</f>
        <v>XT55</v>
      </c>
      <c r="GU497" t="str">
        <f>CONCATENATE("C",REPLACE(AF497,1,1,"")+1)</f>
        <v>C26</v>
      </c>
      <c r="GV497" t="str">
        <f>CONCATENATE("B",REPLACE(AG497,1,1,"")+1)</f>
        <v>B26</v>
      </c>
      <c r="GW497" t="str">
        <f>CONCATENATE("C",REPLACE(GU497,1,1,"")+1)</f>
        <v>C27</v>
      </c>
      <c r="GX497" t="str">
        <f>CONCATENATE("B",REPLACE(GV497,1,1,"")+1)</f>
        <v>B27</v>
      </c>
      <c r="GY497" t="str">
        <f>CONCATENATE("C",REPLACE(GW497,1,1,"")+1)</f>
        <v>C28</v>
      </c>
      <c r="GZ497" t="str">
        <f>CONCATENATE("B",REPLACE(GX497,1,1,"")+1)</f>
        <v>B28</v>
      </c>
      <c r="HA497" t="str">
        <f>CONCATENATE("C",REPLACE(GY497,1,1,"")+1)</f>
        <v>C29</v>
      </c>
      <c r="HB497" t="str">
        <f>CONCATENATE("B",REPLACE(GZ497,1,1,"")+1)</f>
        <v>B29</v>
      </c>
      <c r="HC497" t="str">
        <f>CONCATENATE("C",REPLACE(HA497,1,1,"")+1)</f>
        <v>C30</v>
      </c>
      <c r="HD497" t="str">
        <f>CONCATENATE("B",REPLACE(HB497,1,1,"")+1)</f>
        <v>B30</v>
      </c>
      <c r="HE497" t="str">
        <f>CONCATENATE(REPLACE(AK497,LEN(AK497),1,"")+1,"A")</f>
        <v>10A</v>
      </c>
      <c r="HF497" t="str">
        <f>CONCATENATE(REPLACE(AL497,LEN(AL497),1,"")+1,"B")</f>
        <v>10B</v>
      </c>
      <c r="HG497" t="str">
        <f>CONCATENATE("AI",REPLACE($X497,1,3,""),"-",AA497)</f>
        <v>AI17-13A</v>
      </c>
      <c r="HH497" t="str">
        <f>CONCATENATE("AI",REPLACE($X497,1,3,""),"-",AB497)</f>
        <v>AI17-13B</v>
      </c>
      <c r="HI497" t="str">
        <f>CONCATENATE("DI",REPLACE($AC497,1,3,""),"-",AF497)</f>
        <v>DI10-C25</v>
      </c>
      <c r="HJ497" t="str">
        <f>CONCATENATE("DI",REPLACE($AC497,1,3,""),"-",AG497)</f>
        <v>DI10-B25</v>
      </c>
      <c r="HK497" t="str">
        <f t="shared" ref="HK497:HT497" si="610">CONCATENATE("DI",REPLACE($AC497,1,3,""),"-",GU497)</f>
        <v>DI10-C26</v>
      </c>
      <c r="HL497" t="str">
        <f t="shared" si="610"/>
        <v>DI10-B26</v>
      </c>
      <c r="HM497" t="str">
        <f t="shared" si="610"/>
        <v>DI10-C27</v>
      </c>
      <c r="HN497" t="str">
        <f t="shared" si="610"/>
        <v>DI10-B27</v>
      </c>
      <c r="HO497" t="str">
        <f t="shared" si="610"/>
        <v>DI10-C28</v>
      </c>
      <c r="HP497" t="str">
        <f t="shared" si="610"/>
        <v>DI10-B28</v>
      </c>
      <c r="HQ497" t="str">
        <f t="shared" si="610"/>
        <v>DI10-C29</v>
      </c>
      <c r="HR497" t="str">
        <f t="shared" si="610"/>
        <v>DI10-B29</v>
      </c>
      <c r="HS497" t="str">
        <f t="shared" si="610"/>
        <v>DI10-C30</v>
      </c>
      <c r="HT497" t="str">
        <f t="shared" si="610"/>
        <v>DI10-B30</v>
      </c>
      <c r="HU497" t="str">
        <f>CONCATENATE("DO",REPLACE($AH497,1,3,""),"-",AK497)</f>
        <v>DO6-9A</v>
      </c>
      <c r="HV497" t="str">
        <f>CONCATENATE("DO",REPLACE($AH497,1,3,""),"-",AL497)</f>
        <v>DO6-9B</v>
      </c>
      <c r="HW497" t="str">
        <f>CONCATENATE("DO",REPLACE($AH497,1,3,""),"-",HE497)</f>
        <v>DO6-10A</v>
      </c>
      <c r="HX497" t="str">
        <f>CONCATENATE("DO",REPLACE($AH497,1,3,""),"-",HF497)</f>
        <v>DO6-10B</v>
      </c>
      <c r="HY497" t="str">
        <f>CONCATENATE("K",$U497,"-01")</f>
        <v>K55-01</v>
      </c>
      <c r="HZ497" t="str">
        <f>CONCATENATE("K",$U497,"-02")</f>
        <v>K55-02</v>
      </c>
      <c r="IA497" t="str">
        <f>CONCATENATE("K",$U497,"-03")</f>
        <v>K55-03</v>
      </c>
      <c r="IB497" t="str">
        <f>CONCATENATE("K",$U497,"-04")</f>
        <v>K55-04</v>
      </c>
      <c r="IC497" t="str">
        <f>CONCATENATE("K",$U497,"-05")</f>
        <v>K55-05</v>
      </c>
      <c r="ID497" t="str">
        <f>CONCATENATE("K",$U497,"-06")</f>
        <v>K55-06</v>
      </c>
      <c r="IE497" t="str">
        <f>CONCATENATE("K",$U497,"-07")</f>
        <v>K55-07</v>
      </c>
      <c r="IF497" t="str">
        <f>CONCATENATE("K",$U497,"-08")</f>
        <v>K55-08</v>
      </c>
      <c r="IG497" t="str">
        <f>CONCATENATE($T497,"-M",$U497,"-AMS-12")</f>
        <v>N1-M55-AMS-12</v>
      </c>
      <c r="IH497" t="str">
        <f>CONCATENATE($T497,"-M",$U497,"-AMS-10")</f>
        <v>N1-M55-AMS-10</v>
      </c>
      <c r="II497" t="str">
        <f>CONCATENATE($T497,"-M",$U497,"-AMS-11")</f>
        <v>N1-M55-AMS-11</v>
      </c>
      <c r="IJ497" t="str">
        <f>CONCATENATE($T497,"-M",$U497,"-AMS-13")</f>
        <v>N1-M55-AMS-13</v>
      </c>
      <c r="IK497" t="str">
        <f>CONCATENATE($T497,"-M",$U497,"-AMS-9")</f>
        <v>N1-M55-AMS-9</v>
      </c>
      <c r="IL497" t="str">
        <f>CONCATENATE($T497,"-M",$U497,"-AMS-7")</f>
        <v>N1-M55-AMS-7</v>
      </c>
      <c r="IM497" t="str">
        <f>CONCATENATE($T497,"-M",$U497,"-AMS-18")</f>
        <v>N1-M55-AMS-18</v>
      </c>
      <c r="IN497" t="str">
        <f>CONCATENATE($T497,"-M",$U497,"-AMS-20")</f>
        <v>N1-M55-AMS-20</v>
      </c>
      <c r="IO497" t="str">
        <f>CONCATENATE($T497,"-M",$U497,"-AMS-17")</f>
        <v>N1-M55-AMS-17</v>
      </c>
      <c r="IP497" t="str">
        <f>CONCATENATE($T497,"-+24-M",$U497,)</f>
        <v>N1-+24-M55</v>
      </c>
      <c r="IQ497" t="str">
        <f>CONCATENATE($T497,"-M",$U497,"-XM01")</f>
        <v>N1-M55-XM01</v>
      </c>
      <c r="IR497" t="s">
        <v>142</v>
      </c>
      <c r="IS497" t="s">
        <v>143</v>
      </c>
      <c r="IT497">
        <v>11</v>
      </c>
      <c r="IU497">
        <v>14</v>
      </c>
      <c r="IV497" t="s">
        <v>413</v>
      </c>
      <c r="IW497" t="s">
        <v>414</v>
      </c>
      <c r="IX497">
        <v>1</v>
      </c>
      <c r="IY497">
        <v>2</v>
      </c>
      <c r="IZ497">
        <v>3</v>
      </c>
      <c r="JA497">
        <v>4</v>
      </c>
      <c r="JB497">
        <v>5</v>
      </c>
      <c r="JC497">
        <v>6</v>
      </c>
      <c r="JD497">
        <v>7</v>
      </c>
      <c r="JE497">
        <v>8</v>
      </c>
      <c r="JF497">
        <v>9</v>
      </c>
      <c r="JG497">
        <v>10</v>
      </c>
      <c r="JH497">
        <v>11</v>
      </c>
      <c r="JI497">
        <v>12</v>
      </c>
      <c r="JJ497">
        <v>13</v>
      </c>
      <c r="JK497">
        <v>14</v>
      </c>
      <c r="JL497">
        <v>17</v>
      </c>
      <c r="JM497">
        <v>15</v>
      </c>
      <c r="JN497">
        <v>18</v>
      </c>
      <c r="JO497">
        <v>11</v>
      </c>
      <c r="JP497">
        <v>9</v>
      </c>
      <c r="JQ497">
        <v>6</v>
      </c>
      <c r="JR497">
        <v>20</v>
      </c>
      <c r="JS497">
        <v>7</v>
      </c>
      <c r="JT497">
        <v>10</v>
      </c>
      <c r="JU497">
        <v>22</v>
      </c>
      <c r="JV497">
        <v>23</v>
      </c>
      <c r="JW497">
        <v>26</v>
      </c>
      <c r="JX497">
        <v>27</v>
      </c>
      <c r="JY497" s="16">
        <v>30</v>
      </c>
      <c r="MA497" t="str">
        <f t="shared" si="593"/>
        <v>DI10-B25</v>
      </c>
    </row>
    <row r="498" spans="1:812" ht="15.75" thickBot="1" x14ac:dyDescent="0.3">
      <c r="A498" s="83" t="s">
        <v>2671</v>
      </c>
      <c r="B498" s="83" t="s">
        <v>2670</v>
      </c>
      <c r="C498" s="3"/>
      <c r="O498" s="2"/>
      <c r="P498" t="s">
        <v>129</v>
      </c>
      <c r="Q498" s="1"/>
      <c r="S498" s="1" t="s">
        <v>130</v>
      </c>
      <c r="T498" s="14" t="s">
        <v>2182</v>
      </c>
      <c r="U498" s="59">
        <f t="shared" si="602"/>
        <v>56</v>
      </c>
      <c r="V498" s="15" t="s">
        <v>2668</v>
      </c>
      <c r="W498" s="15"/>
      <c r="AC498" t="str">
        <f t="shared" si="596"/>
        <v>A5.11</v>
      </c>
      <c r="AD498" s="43" t="str">
        <f t="array" ref="AD498">IF(COUNTIFS(AC$377:AC498,AC498)=1,"1",VALUE(SUBSTITUTE(INDEX(AD:AD,_xlfn.XMATCH(AC498,AC$1:AC497,0,-1)),"A",""))+INDEX(AE:AE,_xlfn.XMATCH(AC498,AC$1:AC497,0,-1))+1)</f>
        <v>1</v>
      </c>
      <c r="AE498" s="43">
        <f t="array" ref="AE498">SUM(IF(ISNUMBER(FIND("TmDi",$BE$1:$AAQ$1)),IF(IFERROR(ISNUMBER(VALUE(SUBSTITUTE($BE498:$AAQ498,"B",""))),FALSE),IF(ISNUMBER(VALUE(SUBSTITUTE($BE498:$AAQ498,"B",""))),1,0),0)))</f>
        <v>5</v>
      </c>
      <c r="AF498" t="str">
        <f t="shared" si="440"/>
        <v>C1</v>
      </c>
      <c r="AG498" t="str">
        <f t="shared" si="441"/>
        <v>B1</v>
      </c>
      <c r="AH498" t="str">
        <f t="shared" si="597"/>
        <v>A6.6</v>
      </c>
      <c r="AI498" s="69">
        <f t="array" ref="AI498">IF(COUNTIFS(AH$377:AH498,AH498)=1,"1",VALUE(SUBSTITUTE(INDEX(AI:AI,_xlfn.XMATCH(AH498,AH$1:AH497,0,-1)),"A",""))+INDEX(AJ:AJ,_xlfn.XMATCH(AH498,AH$1:AH497,0,-1))+1)</f>
        <v>11</v>
      </c>
      <c r="AJ498" s="62">
        <f t="array" ref="AJ498">SUM(IF(ISNUMBER(FIND("TmDo",$BE$1:$AAQ$1)),IF(IFERROR(ISNUMBER(VALUE(SUBSTITUTE($BE498:$AAQ498,"B",""))),FALSE),IF(ISNUMBER(VALUE(SUBSTITUTE($BE498:$AAQ498,"B",""))),1,0),0)))</f>
        <v>2</v>
      </c>
      <c r="AK498" t="str">
        <f t="shared" si="594"/>
        <v>11A</v>
      </c>
      <c r="AL498" t="str">
        <f t="shared" si="595"/>
        <v>11B</v>
      </c>
      <c r="AM498" t="s">
        <v>2669</v>
      </c>
      <c r="AP498" t="s">
        <v>2184</v>
      </c>
      <c r="AQ498" t="s">
        <v>2508</v>
      </c>
      <c r="AT498" t="s">
        <v>139</v>
      </c>
      <c r="AU498" t="s">
        <v>140</v>
      </c>
      <c r="BD498" s="16"/>
      <c r="BE498" s="28" t="str">
        <f>CONCATENATE("XT",U498)</f>
        <v>XT56</v>
      </c>
      <c r="BF498" s="19" t="str">
        <f>CONCATENATE("C",REPLACE(AF498,1,1,"")+1)</f>
        <v>C2</v>
      </c>
      <c r="BG498" s="19" t="str">
        <f>CONCATENATE("B",REPLACE(AG498,1,1,"")+1)</f>
        <v>B2</v>
      </c>
      <c r="BH498" s="19" t="str">
        <f>CONCATENATE("C",REPLACE(BF498,1,1,"")+1)</f>
        <v>C3</v>
      </c>
      <c r="BI498" s="19" t="str">
        <f>CONCATENATE("B",REPLACE(BG498,1,1,"")+1)</f>
        <v>B3</v>
      </c>
      <c r="BJ498" s="19" t="str">
        <f>CONCATENATE("C",REPLACE(BH498,1,1,"")+1)</f>
        <v>C4</v>
      </c>
      <c r="BK498" s="19" t="str">
        <f>CONCATENATE("B",REPLACE(BI498,1,1,"")+1)</f>
        <v>B4</v>
      </c>
      <c r="BL498" s="19" t="str">
        <f>CONCATENATE("C",REPLACE(BJ498,1,1,"")+1)</f>
        <v>C5</v>
      </c>
      <c r="BM498" s="19" t="str">
        <f>CONCATENATE("B",REPLACE(BK498,1,1,"")+1)</f>
        <v>B5</v>
      </c>
      <c r="BN498" s="19" t="str">
        <f>CONCATENATE("C",REPLACE(BL498,1,1,"")+1)</f>
        <v>C6</v>
      </c>
      <c r="BO498" s="19" t="str">
        <f>CONCATENATE("B",REPLACE(BM498,1,1,"")+1)</f>
        <v>B6</v>
      </c>
      <c r="BP498" s="19" t="str">
        <f>CONCATENATE(REPLACE(AK498,LEN(AK498),1,"")+1,"A")</f>
        <v>12A</v>
      </c>
      <c r="BQ498" s="19" t="str">
        <f>CONCATENATE(REPLACE(AL498,LEN(AL498),1,"")+1,"B")</f>
        <v>12B</v>
      </c>
      <c r="BR498" s="19" t="str">
        <f>CONCATENATE(REPLACE(BP498,LEN(BP498),1,"")+1,"A")</f>
        <v>13A</v>
      </c>
      <c r="BS498" s="19" t="str">
        <f>CONCATENATE(REPLACE(BQ498,LEN(BQ498),1,"")+1,"B")</f>
        <v>13B</v>
      </c>
      <c r="BT498" s="19" t="str">
        <f>CONCATENATE("DI",REPLACE($AC498,1,3,""),"-",AF498)</f>
        <v>DI11-C1</v>
      </c>
      <c r="BU498" s="19" t="str">
        <f>CONCATENATE("DI",REPLACE($AC498,1,3,""),"-",AG498)</f>
        <v>DI11-B1</v>
      </c>
      <c r="BV498" s="19" t="str">
        <f t="shared" ref="BV498:CE499" si="611">CONCATENATE("DI",REPLACE($AC498,1,3,""),"-",BF498)</f>
        <v>DI11-C2</v>
      </c>
      <c r="BW498" s="19" t="str">
        <f t="shared" si="611"/>
        <v>DI11-B2</v>
      </c>
      <c r="BX498" s="19" t="str">
        <f t="shared" si="611"/>
        <v>DI11-C3</v>
      </c>
      <c r="BY498" s="19" t="str">
        <f t="shared" si="611"/>
        <v>DI11-B3</v>
      </c>
      <c r="BZ498" s="19" t="str">
        <f t="shared" si="611"/>
        <v>DI11-C4</v>
      </c>
      <c r="CA498" s="19" t="str">
        <f t="shared" si="611"/>
        <v>DI11-B4</v>
      </c>
      <c r="CB498" s="19" t="str">
        <f t="shared" si="611"/>
        <v>DI11-C5</v>
      </c>
      <c r="CC498" s="19" t="str">
        <f t="shared" si="611"/>
        <v>DI11-B5</v>
      </c>
      <c r="CD498" s="19" t="str">
        <f t="shared" si="611"/>
        <v>DI11-C6</v>
      </c>
      <c r="CE498" s="19" t="str">
        <f t="shared" si="611"/>
        <v>DI11-B6</v>
      </c>
      <c r="CF498" s="19" t="str">
        <f>CONCATENATE("DO",REPLACE($AH498,1,3,""),"-",AK498)</f>
        <v>DO6-11A</v>
      </c>
      <c r="CG498" s="19" t="str">
        <f>CONCATENATE("DO",REPLACE($AH498,1,3,""),"-",AL498)</f>
        <v>DO6-11B</v>
      </c>
      <c r="CH498" s="19" t="str">
        <f t="shared" ref="CH498:CK499" si="612">CONCATENATE("DO",REPLACE($AH498,1,3,""),"-",BP498)</f>
        <v>DO6-12A</v>
      </c>
      <c r="CI498" s="19" t="str">
        <f t="shared" si="612"/>
        <v>DO6-12B</v>
      </c>
      <c r="CJ498" s="19" t="str">
        <f t="shared" si="612"/>
        <v>DO6-13A</v>
      </c>
      <c r="CK498" s="19" t="str">
        <f t="shared" si="612"/>
        <v>DO6-13B</v>
      </c>
      <c r="CL498" s="19" t="str">
        <f>CONCATENATE("K",$U498,"-10")</f>
        <v>K56-10</v>
      </c>
      <c r="CM498" s="19" t="str">
        <f>CONCATENATE("K",$U498,"-03")</f>
        <v>K56-03</v>
      </c>
      <c r="CN498" s="19" t="str">
        <f>CONCATENATE("K",$U498,"-04")</f>
        <v>K56-04</v>
      </c>
      <c r="CO498" s="19" t="str">
        <f>CONCATENATE("K",$U498,"-01")</f>
        <v>K56-01</v>
      </c>
      <c r="CP498" s="19" t="str">
        <f>CONCATENATE("K",$U498,"-08")</f>
        <v>K56-08</v>
      </c>
      <c r="CQ498" s="19" t="str">
        <f>CONCATENATE("K",$U498,"-02")</f>
        <v>K56-02</v>
      </c>
      <c r="CR498" s="19" t="str">
        <f>CONCATENATE("K",$U498,"-09")</f>
        <v>K56-09</v>
      </c>
      <c r="CS498" s="19" t="str">
        <f>CONCATENATE("K",$U498,"-05")</f>
        <v>K56-05</v>
      </c>
      <c r="CT498" s="19" t="str">
        <f>CONCATENATE("K",$U498,"-11")</f>
        <v>K56-11</v>
      </c>
      <c r="CU498" s="19" t="str">
        <f>CONCATENATE($T498,"-M",$U498,"-A9")</f>
        <v>N1-M56-A9</v>
      </c>
      <c r="CV498" s="19" t="str">
        <f>CONCATENATE($T498,"-M",$U498,"-A7")</f>
        <v>N1-M56-A7</v>
      </c>
      <c r="CW498" s="19" t="str">
        <f>CONCATENATE($T498,"-M",$U498,"-A8")</f>
        <v>N1-M56-A8</v>
      </c>
      <c r="CX498" s="19" t="str">
        <f>CONCATENATE($T498,"-M",$U498,"-A6")</f>
        <v>N1-M56-A6</v>
      </c>
      <c r="CY498" s="19" t="str">
        <f>CONCATENATE($T498,"-M",$U498,"-A30")</f>
        <v>N1-M56-A30</v>
      </c>
      <c r="CZ498" s="19" t="str">
        <f>CONCATENATE($T498,"-M",$U498,"-N")</f>
        <v>N1-M56-N</v>
      </c>
      <c r="DA498" s="19" t="str">
        <f>CONCATENATE($T498,"-A220-M",U498)</f>
        <v>N1-A220-M56</v>
      </c>
      <c r="DB498" s="19" t="str">
        <f>CONCATENATE($T498,"-M",$U498,"-XM01")</f>
        <v>N1-M56-XM01</v>
      </c>
      <c r="DC498" s="19" t="str">
        <f>CONCATENATE($T498,"-M",$U498,"-A1")</f>
        <v>N1-M56-A1</v>
      </c>
      <c r="DD498" s="19" t="str">
        <f>CONCATENATE($T498,"-M",$U498,"-A5")</f>
        <v>N1-M56-A5</v>
      </c>
      <c r="DE498" s="19" t="str">
        <f>CONCATENATE($T498,"-M",$U498,"-A11")</f>
        <v>N1-M56-A11</v>
      </c>
      <c r="DF498" s="19" t="str">
        <f>CONCATENATE($T498,"-M",$U498,"-A12")</f>
        <v>N1-M56-A12</v>
      </c>
      <c r="DG498" s="19" t="str">
        <f>CONCATENATE($T498,"-M",$U498,"-A19")</f>
        <v>N1-M56-A19</v>
      </c>
      <c r="DH498" s="19" t="str">
        <f>CONCATENATE($T498,"-M",$U498,"-A20")</f>
        <v>N1-M56-A20</v>
      </c>
      <c r="DI498" s="19" t="s">
        <v>142</v>
      </c>
      <c r="DJ498" s="19" t="s">
        <v>143</v>
      </c>
      <c r="DK498" s="19">
        <v>11</v>
      </c>
      <c r="DL498" s="19">
        <v>14</v>
      </c>
      <c r="DM498" s="19">
        <v>12</v>
      </c>
      <c r="DN498" s="19" t="s">
        <v>144</v>
      </c>
      <c r="DO498" s="19" t="s">
        <v>145</v>
      </c>
      <c r="DP498" s="19">
        <v>1</v>
      </c>
      <c r="DQ498" s="19">
        <v>2</v>
      </c>
      <c r="DR498" s="19">
        <v>3</v>
      </c>
      <c r="DS498" s="19">
        <v>4</v>
      </c>
      <c r="DT498" s="19">
        <v>5</v>
      </c>
      <c r="DU498" s="19">
        <v>6</v>
      </c>
      <c r="DV498" s="19">
        <v>7</v>
      </c>
      <c r="DW498" s="19">
        <v>8</v>
      </c>
      <c r="DX498" s="19">
        <v>9</v>
      </c>
      <c r="DY498" s="19">
        <v>10</v>
      </c>
      <c r="DZ498" s="19">
        <v>11</v>
      </c>
      <c r="EA498" s="19">
        <v>12</v>
      </c>
      <c r="EB498" s="19">
        <v>13</v>
      </c>
      <c r="EC498" s="19">
        <v>14</v>
      </c>
      <c r="ED498" s="19">
        <v>1</v>
      </c>
      <c r="EE498" s="19">
        <v>3</v>
      </c>
      <c r="EF498" s="19">
        <v>4</v>
      </c>
      <c r="EG498" s="19">
        <v>7</v>
      </c>
      <c r="EH498" s="19">
        <v>8</v>
      </c>
      <c r="EI498" s="19">
        <v>9</v>
      </c>
      <c r="EJ498" s="19">
        <v>10</v>
      </c>
      <c r="EK498" s="19">
        <v>13</v>
      </c>
      <c r="EL498" s="19">
        <v>14</v>
      </c>
      <c r="EM498" s="19">
        <v>15</v>
      </c>
      <c r="EN498" s="19">
        <v>16</v>
      </c>
      <c r="EO498" s="19">
        <v>22</v>
      </c>
      <c r="EP498" s="19">
        <v>23</v>
      </c>
      <c r="EQ498" s="20">
        <v>24</v>
      </c>
      <c r="MA498" t="str">
        <f t="shared" si="593"/>
        <v>DI11-B1</v>
      </c>
    </row>
    <row r="499" spans="1:812" ht="15.75" thickBot="1" x14ac:dyDescent="0.3">
      <c r="A499" s="83" t="s">
        <v>2674</v>
      </c>
      <c r="B499" s="83" t="s">
        <v>2675</v>
      </c>
      <c r="C499" s="3"/>
      <c r="O499" s="2"/>
      <c r="P499" t="s">
        <v>129</v>
      </c>
      <c r="Q499" s="1"/>
      <c r="S499" s="1" t="s">
        <v>130</v>
      </c>
      <c r="T499" s="14" t="s">
        <v>2182</v>
      </c>
      <c r="U499" s="59">
        <f t="shared" si="602"/>
        <v>57</v>
      </c>
      <c r="V499" s="15" t="s">
        <v>2672</v>
      </c>
      <c r="W499" s="15"/>
      <c r="AC499" t="str">
        <f t="shared" si="596"/>
        <v>A5.11</v>
      </c>
      <c r="AD499" s="43">
        <f t="array" ref="AD499">IF(COUNTIFS(AC$377:AC499,AC499)=1,"1",VALUE(SUBSTITUTE(INDEX(AD:AD,_xlfn.XMATCH(AC499,AC$1:AC498,0,-1)),"A",""))+INDEX(AE:AE,_xlfn.XMATCH(AC499,AC$1:AC498,0,-1))+1)</f>
        <v>7</v>
      </c>
      <c r="AE499" s="43">
        <f t="array" ref="AE499">SUM(IF(ISNUMBER(FIND("TmDi",$BE$1:$AAQ$1)),IF(IFERROR(ISNUMBER(VALUE(SUBSTITUTE($BE499:$AAQ499,"B",""))),FALSE),IF(ISNUMBER(VALUE(SUBSTITUTE($BE499:$AAQ499,"B",""))),1,0),0)))</f>
        <v>5</v>
      </c>
      <c r="AF499" t="str">
        <f t="shared" si="440"/>
        <v>C7</v>
      </c>
      <c r="AG499" t="str">
        <f t="shared" si="441"/>
        <v>B7</v>
      </c>
      <c r="AH499" t="str">
        <f t="shared" si="597"/>
        <v>A6.6</v>
      </c>
      <c r="AI499" s="69">
        <f t="array" ref="AI499">IF(COUNTIFS(AH$377:AH499,AH499)=1,"1",VALUE(SUBSTITUTE(INDEX(AI:AI,_xlfn.XMATCH(AH499,AH$1:AH498,0,-1)),"A",""))+INDEX(AJ:AJ,_xlfn.XMATCH(AH499,AH$1:AH498,0,-1))+1)</f>
        <v>14</v>
      </c>
      <c r="AJ499" s="62">
        <f t="array" ref="AJ499">SUM(IF(ISNUMBER(FIND("TmDo",$BE$1:$AAQ$1)),IF(IFERROR(ISNUMBER(VALUE(SUBSTITUTE($BE499:$AAQ499,"B",""))),FALSE),IF(ISNUMBER(VALUE(SUBSTITUTE($BE499:$AAQ499,"B",""))),1,0),0)))</f>
        <v>2</v>
      </c>
      <c r="AK499" t="str">
        <f t="shared" si="594"/>
        <v>14A</v>
      </c>
      <c r="AL499" t="str">
        <f t="shared" si="595"/>
        <v>14B</v>
      </c>
      <c r="AM499" t="s">
        <v>2673</v>
      </c>
      <c r="AP499" t="s">
        <v>2184</v>
      </c>
      <c r="AQ499" t="s">
        <v>2508</v>
      </c>
      <c r="AT499" t="s">
        <v>139</v>
      </c>
      <c r="AU499" t="s">
        <v>140</v>
      </c>
      <c r="BD499" s="16"/>
      <c r="BE499" s="28" t="str">
        <f>CONCATENATE("XT",U499)</f>
        <v>XT57</v>
      </c>
      <c r="BF499" s="19" t="str">
        <f>CONCATENATE("C",REPLACE(AF499,1,1,"")+1)</f>
        <v>C8</v>
      </c>
      <c r="BG499" s="19" t="str">
        <f>CONCATENATE("B",REPLACE(AG499,1,1,"")+1)</f>
        <v>B8</v>
      </c>
      <c r="BH499" s="19" t="str">
        <f>CONCATENATE("C",REPLACE(BF499,1,1,"")+1)</f>
        <v>C9</v>
      </c>
      <c r="BI499" s="19" t="str">
        <f>CONCATENATE("B",REPLACE(BG499,1,1,"")+1)</f>
        <v>B9</v>
      </c>
      <c r="BJ499" s="19" t="str">
        <f>CONCATENATE("C",REPLACE(BH499,1,1,"")+1)</f>
        <v>C10</v>
      </c>
      <c r="BK499" s="19" t="str">
        <f>CONCATENATE("B",REPLACE(BI499,1,1,"")+1)</f>
        <v>B10</v>
      </c>
      <c r="BL499" s="19" t="str">
        <f>CONCATENATE("C",REPLACE(BJ499,1,1,"")+1)</f>
        <v>C11</v>
      </c>
      <c r="BM499" s="19" t="str">
        <f>CONCATENATE("B",REPLACE(BK499,1,1,"")+1)</f>
        <v>B11</v>
      </c>
      <c r="BN499" s="19" t="str">
        <f>CONCATENATE("C",REPLACE(BL499,1,1,"")+1)</f>
        <v>C12</v>
      </c>
      <c r="BO499" s="19" t="str">
        <f>CONCATENATE("B",REPLACE(BM499,1,1,"")+1)</f>
        <v>B12</v>
      </c>
      <c r="BP499" s="19" t="str">
        <f>CONCATENATE(REPLACE(AK499,LEN(AK499),1,"")+1,"A")</f>
        <v>15A</v>
      </c>
      <c r="BQ499" s="19" t="str">
        <f>CONCATENATE(REPLACE(AL499,LEN(AL499),1,"")+1,"B")</f>
        <v>15B</v>
      </c>
      <c r="BR499" s="19" t="str">
        <f>CONCATENATE(REPLACE(BP499,LEN(BP499),1,"")+1,"A")</f>
        <v>16A</v>
      </c>
      <c r="BS499" s="19" t="str">
        <f>CONCATENATE(REPLACE(BQ499,LEN(BQ499),1,"")+1,"B")</f>
        <v>16B</v>
      </c>
      <c r="BT499" s="19" t="str">
        <f>CONCATENATE("DI",REPLACE($AC499,1,3,""),"-",AF499)</f>
        <v>DI11-C7</v>
      </c>
      <c r="BU499" s="19" t="str">
        <f>CONCATENATE("DI",REPLACE($AC499,1,3,""),"-",AG499)</f>
        <v>DI11-B7</v>
      </c>
      <c r="BV499" s="19" t="str">
        <f t="shared" si="611"/>
        <v>DI11-C8</v>
      </c>
      <c r="BW499" s="19" t="str">
        <f t="shared" si="611"/>
        <v>DI11-B8</v>
      </c>
      <c r="BX499" s="19" t="str">
        <f t="shared" si="611"/>
        <v>DI11-C9</v>
      </c>
      <c r="BY499" s="19" t="str">
        <f t="shared" si="611"/>
        <v>DI11-B9</v>
      </c>
      <c r="BZ499" s="19" t="str">
        <f t="shared" si="611"/>
        <v>DI11-C10</v>
      </c>
      <c r="CA499" s="19" t="str">
        <f t="shared" si="611"/>
        <v>DI11-B10</v>
      </c>
      <c r="CB499" s="19" t="str">
        <f t="shared" si="611"/>
        <v>DI11-C11</v>
      </c>
      <c r="CC499" s="19" t="str">
        <f t="shared" si="611"/>
        <v>DI11-B11</v>
      </c>
      <c r="CD499" s="19" t="str">
        <f t="shared" si="611"/>
        <v>DI11-C12</v>
      </c>
      <c r="CE499" s="19" t="str">
        <f t="shared" si="611"/>
        <v>DI11-B12</v>
      </c>
      <c r="CF499" s="19" t="str">
        <f>CONCATENATE("DO",REPLACE($AH499,1,3,""),"-",AK499)</f>
        <v>DO6-14A</v>
      </c>
      <c r="CG499" s="19" t="str">
        <f>CONCATENATE("DO",REPLACE($AH499,1,3,""),"-",AL499)</f>
        <v>DO6-14B</v>
      </c>
      <c r="CH499" s="19" t="str">
        <f t="shared" si="612"/>
        <v>DO6-15A</v>
      </c>
      <c r="CI499" s="19" t="str">
        <f t="shared" si="612"/>
        <v>DO6-15B</v>
      </c>
      <c r="CJ499" s="19" t="str">
        <f t="shared" si="612"/>
        <v>DO6-16A</v>
      </c>
      <c r="CK499" s="19" t="str">
        <f t="shared" si="612"/>
        <v>DO6-16B</v>
      </c>
      <c r="CL499" s="19" t="str">
        <f>CONCATENATE("K",$U499,"-10")</f>
        <v>K57-10</v>
      </c>
      <c r="CM499" s="19" t="str">
        <f>CONCATENATE("K",$U499,"-03")</f>
        <v>K57-03</v>
      </c>
      <c r="CN499" s="19" t="str">
        <f>CONCATENATE("K",$U499,"-04")</f>
        <v>K57-04</v>
      </c>
      <c r="CO499" s="19" t="str">
        <f>CONCATENATE("K",$U499,"-01")</f>
        <v>K57-01</v>
      </c>
      <c r="CP499" s="19" t="str">
        <f>CONCATENATE("K",$U499,"-08")</f>
        <v>K57-08</v>
      </c>
      <c r="CQ499" s="19" t="str">
        <f>CONCATENATE("K",$U499,"-02")</f>
        <v>K57-02</v>
      </c>
      <c r="CR499" s="19" t="str">
        <f>CONCATENATE("K",$U499,"-09")</f>
        <v>K57-09</v>
      </c>
      <c r="CS499" s="19" t="str">
        <f>CONCATENATE("K",$U499,"-05")</f>
        <v>K57-05</v>
      </c>
      <c r="CT499" s="19" t="str">
        <f>CONCATENATE("K",$U499,"-11")</f>
        <v>K57-11</v>
      </c>
      <c r="CU499" s="19" t="str">
        <f>CONCATENATE($T499,"-M",$U499,"-A9")</f>
        <v>N1-M57-A9</v>
      </c>
      <c r="CV499" s="19" t="str">
        <f>CONCATENATE($T499,"-M",$U499,"-A7")</f>
        <v>N1-M57-A7</v>
      </c>
      <c r="CW499" s="19" t="str">
        <f>CONCATENATE($T499,"-M",$U499,"-A8")</f>
        <v>N1-M57-A8</v>
      </c>
      <c r="CX499" s="19" t="str">
        <f>CONCATENATE($T499,"-M",$U499,"-A6")</f>
        <v>N1-M57-A6</v>
      </c>
      <c r="CY499" s="19" t="str">
        <f>CONCATENATE($T499,"-M",$U499,"-A30")</f>
        <v>N1-M57-A30</v>
      </c>
      <c r="CZ499" s="19" t="str">
        <f>CONCATENATE($T499,"-M",$U499,"-N")</f>
        <v>N1-M57-N</v>
      </c>
      <c r="DA499" s="19" t="str">
        <f>CONCATENATE($T499,"-A220-M",U499)</f>
        <v>N1-A220-M57</v>
      </c>
      <c r="DB499" s="19" t="str">
        <f>CONCATENATE($T499,"-M",$U499,"-XM01")</f>
        <v>N1-M57-XM01</v>
      </c>
      <c r="DC499" s="19" t="str">
        <f>CONCATENATE($T499,"-M",$U499,"-A1")</f>
        <v>N1-M57-A1</v>
      </c>
      <c r="DD499" s="19" t="str">
        <f>CONCATENATE($T499,"-M",$U499,"-A5")</f>
        <v>N1-M57-A5</v>
      </c>
      <c r="DE499" s="19" t="str">
        <f>CONCATENATE($T499,"-M",$U499,"-A11")</f>
        <v>N1-M57-A11</v>
      </c>
      <c r="DF499" s="19" t="str">
        <f>CONCATENATE($T499,"-M",$U499,"-A12")</f>
        <v>N1-M57-A12</v>
      </c>
      <c r="DG499" s="19" t="str">
        <f>CONCATENATE($T499,"-M",$U499,"-A19")</f>
        <v>N1-M57-A19</v>
      </c>
      <c r="DH499" s="19" t="str">
        <f>CONCATENATE($T499,"-M",$U499,"-A20")</f>
        <v>N1-M57-A20</v>
      </c>
      <c r="DI499" s="19" t="s">
        <v>142</v>
      </c>
      <c r="DJ499" s="19" t="s">
        <v>143</v>
      </c>
      <c r="DK499" s="19">
        <v>11</v>
      </c>
      <c r="DL499" s="19">
        <v>14</v>
      </c>
      <c r="DM499" s="19">
        <v>12</v>
      </c>
      <c r="DN499" s="19" t="s">
        <v>144</v>
      </c>
      <c r="DO499" s="19" t="s">
        <v>145</v>
      </c>
      <c r="DP499" s="19">
        <v>1</v>
      </c>
      <c r="DQ499" s="19">
        <v>2</v>
      </c>
      <c r="DR499" s="19">
        <v>3</v>
      </c>
      <c r="DS499" s="19">
        <v>4</v>
      </c>
      <c r="DT499" s="19">
        <v>5</v>
      </c>
      <c r="DU499" s="19">
        <v>6</v>
      </c>
      <c r="DV499" s="19">
        <v>7</v>
      </c>
      <c r="DW499" s="19">
        <v>8</v>
      </c>
      <c r="DX499" s="19">
        <v>9</v>
      </c>
      <c r="DY499" s="19">
        <v>10</v>
      </c>
      <c r="DZ499" s="19">
        <v>11</v>
      </c>
      <c r="EA499" s="19">
        <v>12</v>
      </c>
      <c r="EB499" s="19">
        <v>13</v>
      </c>
      <c r="EC499" s="19">
        <v>14</v>
      </c>
      <c r="ED499" s="19">
        <v>1</v>
      </c>
      <c r="EE499" s="19">
        <v>3</v>
      </c>
      <c r="EF499" s="19">
        <v>4</v>
      </c>
      <c r="EG499" s="19">
        <v>7</v>
      </c>
      <c r="EH499" s="19">
        <v>8</v>
      </c>
      <c r="EI499" s="19">
        <v>9</v>
      </c>
      <c r="EJ499" s="19">
        <v>10</v>
      </c>
      <c r="EK499" s="19">
        <v>13</v>
      </c>
      <c r="EL499" s="19">
        <v>14</v>
      </c>
      <c r="EM499" s="19">
        <v>15</v>
      </c>
      <c r="EN499" s="19">
        <v>16</v>
      </c>
      <c r="EO499" s="19">
        <v>22</v>
      </c>
      <c r="EP499" s="19">
        <v>23</v>
      </c>
      <c r="EQ499" s="20">
        <v>24</v>
      </c>
      <c r="MA499" t="str">
        <f t="shared" si="593"/>
        <v>DI11-B7</v>
      </c>
    </row>
    <row r="500" spans="1:812" ht="15.75" thickBot="1" x14ac:dyDescent="0.3">
      <c r="A500" s="83" t="s">
        <v>2679</v>
      </c>
      <c r="B500" s="90" t="s">
        <v>2047</v>
      </c>
      <c r="P500" t="s">
        <v>1378</v>
      </c>
      <c r="T500" s="14" t="s">
        <v>2182</v>
      </c>
      <c r="U500">
        <v>58</v>
      </c>
      <c r="V500" s="15" t="s">
        <v>2676</v>
      </c>
      <c r="AC500" t="str">
        <f t="shared" ref="AC500:AC522" si="613">IF(AD499+AE499&gt;31,REPLACE(AC499,LEN(AC499),1,VALUE(RIGHT(AC499,1))+1),AC499)</f>
        <v>A5.11</v>
      </c>
      <c r="AD500" s="46">
        <f t="array" ref="AD500">IF(COUNTIFS(AC$340:AC500,AC500)=1,"1",VALUE(SUBSTITUTE(INDEX(AD:AD,_xlfn.XMATCH(AC500,AC$1:AC499,0,-1)),"A",""))+INDEX(AE:AE,_xlfn.XMATCH(AC500,AC$1:AC499,0,-1))+1)</f>
        <v>13</v>
      </c>
      <c r="AE500" s="46">
        <f t="array" ref="AE500">SUM(IF(ISNUMBER(FIND("TmDi",$BE$1:$AAQ$1)),IF(IFERROR(ISNUMBER(VALUE(SUBSTITUTE($BE500:$AAQ500,"B",""))),FALSE),IF(ISNUMBER(VALUE(SUBSTITUTE($BE500:$AAQ500,"B",""))),1,0),0)))</f>
        <v>0</v>
      </c>
      <c r="AF500" t="str">
        <f t="shared" si="440"/>
        <v>C13</v>
      </c>
      <c r="AG500" t="str">
        <f t="shared" si="441"/>
        <v>B13</v>
      </c>
      <c r="AP500" t="s">
        <v>2184</v>
      </c>
      <c r="AQ500" t="s">
        <v>2508</v>
      </c>
      <c r="AT500" t="s">
        <v>854</v>
      </c>
      <c r="AU500" t="s">
        <v>140</v>
      </c>
      <c r="MA500" t="str">
        <f t="shared" si="593"/>
        <v>DI11-B13</v>
      </c>
    </row>
    <row r="501" spans="1:812" ht="15.75" thickBot="1" x14ac:dyDescent="0.3">
      <c r="A501" s="83" t="s">
        <v>3211</v>
      </c>
      <c r="B501" s="83" t="s">
        <v>3226</v>
      </c>
      <c r="P501" t="s">
        <v>3130</v>
      </c>
      <c r="T501" s="14" t="s">
        <v>3128</v>
      </c>
      <c r="U501">
        <v>59</v>
      </c>
      <c r="V501" s="15"/>
      <c r="W501" t="s">
        <v>3229</v>
      </c>
      <c r="X501" t="s">
        <v>1214</v>
      </c>
      <c r="Y501" s="43" t="str">
        <f t="array" ref="Y501">IF(COUNTIFS($X$377:$X501,$X501)=1,"1",VALUE(SUBSTITUTE(INDEX(Y:Y,_xlfn.XMATCH($X501,$X$1:$X500,0,-1)),"A",""))+INDEX(Z:Z,_xlfn.XMATCH($X501,$X$1:$X500,0,-1))+1)</f>
        <v>1</v>
      </c>
      <c r="Z501" s="43">
        <f t="array" ref="Z501">SUM(IF(ISNUMBER(FIND("TmAi",$BE$1:$AAQ$1)),IF(IFERROR(ISODD(SUBSTITUTE($BE501:$AAQ501,"A","")),FALSE),IF(ISODD(SUBSTITUTE($BE501:$AAQ501,"A","")),1,0),0)))</f>
        <v>10</v>
      </c>
      <c r="AA501" t="str">
        <f>CONCATENATE($Y501*2-1,"A")</f>
        <v>1A</v>
      </c>
      <c r="AB501" t="str">
        <f>CONCATENATE($Y501*2-1,"B")</f>
        <v>1B</v>
      </c>
      <c r="AP501" t="s">
        <v>3387</v>
      </c>
      <c r="AS501" t="s">
        <v>396</v>
      </c>
      <c r="JZ501" s="27"/>
      <c r="KS501" s="16"/>
      <c r="MA501" t="str">
        <f t="shared" si="593"/>
        <v>DI-</v>
      </c>
      <c r="QE501" s="25" t="str">
        <f>REPLACE(X501,FIND(".",X501)+1,3,MID(X501,FIND(".",X501)+1,3)+1)</f>
        <v>A3.23</v>
      </c>
      <c r="QF501" s="12" t="str">
        <f>CONCATENATE(VALUE(SUBSTITUTE($AB501,"B",""))+2,"B")</f>
        <v>3B</v>
      </c>
      <c r="QG501" s="12" t="str">
        <f>CONCATENATE(VALUE(SUBSTITUTE($AA501,"A",""))+2,"A")</f>
        <v>3A</v>
      </c>
      <c r="QH501" s="12" t="str">
        <f>CONCATENATE(VALUE(SUBSTITUTE(QF501,"B",""))+2,"B")</f>
        <v>5B</v>
      </c>
      <c r="QI501" s="12" t="str">
        <f>CONCATENATE(VALUE(SUBSTITUTE(QG501,"A",""))+2,"A")</f>
        <v>5A</v>
      </c>
      <c r="QJ501" s="12" t="str">
        <f>CONCATENATE(VALUE(SUBSTITUTE(QH501,"B",""))+2,"B")</f>
        <v>7B</v>
      </c>
      <c r="QK501" s="12" t="str">
        <f>CONCATENATE(VALUE(SUBSTITUTE(QI501,"A",""))+2,"A")</f>
        <v>7A</v>
      </c>
      <c r="QL501" s="12" t="str">
        <f>CONCATENATE(VALUE(SUBSTITUTE(QJ501,"B",""))+2,"B")</f>
        <v>9B</v>
      </c>
      <c r="QM501" s="12" t="str">
        <f>CONCATENATE(VALUE(SUBSTITUTE(QK501,"A",""))+2,"A")</f>
        <v>9A</v>
      </c>
      <c r="QN501" s="12" t="str">
        <f>CONCATENATE(VALUE(SUBSTITUTE(QL501,"B",""))+2,"B")</f>
        <v>11B</v>
      </c>
      <c r="QO501" s="12" t="str">
        <f>CONCATENATE(VALUE(SUBSTITUTE(QM501,"A",""))+2,"A")</f>
        <v>11A</v>
      </c>
      <c r="QP501" s="12" t="s">
        <v>135</v>
      </c>
      <c r="QQ501" s="12" t="s">
        <v>136</v>
      </c>
      <c r="QR501" s="12" t="str">
        <f>CONCATENATE(VALUE(SUBSTITUTE(QP501,"B",""))+2,"B")</f>
        <v>3B</v>
      </c>
      <c r="QS501" s="12" t="str">
        <f>CONCATENATE(VALUE(SUBSTITUTE(QQ501,"A",""))+2,"A")</f>
        <v>3A</v>
      </c>
      <c r="QT501" s="12" t="str">
        <f>CONCATENATE(VALUE(SUBSTITUTE(QR501,"B",""))+2,"B")</f>
        <v>5B</v>
      </c>
      <c r="QU501" s="12" t="str">
        <f>CONCATENATE(VALUE(SUBSTITUTE(QS501,"A",""))+2,"A")</f>
        <v>5A</v>
      </c>
      <c r="QV501" s="12" t="str">
        <f>CONCATENATE(VALUE(SUBSTITUTE(QT501,"B",""))+2,"B")</f>
        <v>7B</v>
      </c>
      <c r="QW501" s="12" t="str">
        <f>CONCATENATE(VALUE(SUBSTITUTE(QU501,"A",""))+2,"A")</f>
        <v>7A</v>
      </c>
      <c r="QX501" s="12" t="str">
        <f>CONCATENATE(VALUE(SUBSTITUTE(QV501,"B",""))+2,"B")</f>
        <v>9B</v>
      </c>
      <c r="QY501" s="12" t="str">
        <f>CONCATENATE(VALUE(SUBSTITUTE(QW501,"A",""))+2,"A")</f>
        <v>9A</v>
      </c>
      <c r="QZ501" s="12"/>
      <c r="RA501" s="12"/>
      <c r="RB501" s="12" t="str">
        <f>CONCATENATE($T501,"-AI",REPLACE($X501,1,3,""),"-",AB501)</f>
        <v>E3-AI22-1B</v>
      </c>
      <c r="RC501" s="12" t="str">
        <f>CONCATENATE($T501,"-AI",REPLACE($X501,1,3,""),"-",AA501)</f>
        <v>E3-AI22-1A</v>
      </c>
      <c r="RD501" s="12" t="str">
        <f t="shared" ref="RD501:RM502" si="614">CONCATENATE($T501,"-AI",REPLACE($X501,1,3,""),"-",QF501)</f>
        <v>E3-AI22-3B</v>
      </c>
      <c r="RE501" s="12" t="str">
        <f t="shared" si="614"/>
        <v>E3-AI22-3A</v>
      </c>
      <c r="RF501" s="12" t="str">
        <f t="shared" si="614"/>
        <v>E3-AI22-5B</v>
      </c>
      <c r="RG501" s="12" t="str">
        <f t="shared" si="614"/>
        <v>E3-AI22-5A</v>
      </c>
      <c r="RH501" s="12" t="str">
        <f t="shared" si="614"/>
        <v>E3-AI22-7B</v>
      </c>
      <c r="RI501" s="12" t="str">
        <f t="shared" si="614"/>
        <v>E3-AI22-7A</v>
      </c>
      <c r="RJ501" s="12" t="str">
        <f t="shared" si="614"/>
        <v>E3-AI22-9B</v>
      </c>
      <c r="RK501" s="12" t="str">
        <f t="shared" si="614"/>
        <v>E3-AI22-9A</v>
      </c>
      <c r="RL501" s="12" t="str">
        <f t="shared" si="614"/>
        <v>E3-AI22-11B</v>
      </c>
      <c r="RM501" s="12" t="str">
        <f t="shared" si="614"/>
        <v>E3-AI22-11A</v>
      </c>
      <c r="RN501" s="12" t="str">
        <f t="shared" ref="RN501:RW502" si="615">CONCATENATE($T501,"-AI",REPLACE($QE501,1,3,""),"-",QP501)</f>
        <v>E3-AI23-1B</v>
      </c>
      <c r="RO501" s="12" t="str">
        <f t="shared" si="615"/>
        <v>E3-AI23-1A</v>
      </c>
      <c r="RP501" s="12" t="str">
        <f t="shared" si="615"/>
        <v>E3-AI23-3B</v>
      </c>
      <c r="RQ501" s="12" t="str">
        <f t="shared" si="615"/>
        <v>E3-AI23-3A</v>
      </c>
      <c r="RR501" s="12" t="str">
        <f t="shared" si="615"/>
        <v>E3-AI23-5B</v>
      </c>
      <c r="RS501" s="12" t="str">
        <f t="shared" si="615"/>
        <v>E3-AI23-5A</v>
      </c>
      <c r="RT501" s="12" t="str">
        <f t="shared" si="615"/>
        <v>E3-AI23-7B</v>
      </c>
      <c r="RU501" s="12" t="str">
        <f t="shared" si="615"/>
        <v>E3-AI23-7A</v>
      </c>
      <c r="RV501" s="12" t="str">
        <f t="shared" si="615"/>
        <v>E3-AI23-9B</v>
      </c>
      <c r="RW501" s="12" t="str">
        <f t="shared" si="615"/>
        <v>E3-AI23-9A</v>
      </c>
      <c r="RX501" s="12"/>
      <c r="RY501" s="12"/>
      <c r="RZ501" s="12" t="str">
        <f>CONCATENATE("XT",$U501)</f>
        <v>XT59</v>
      </c>
      <c r="SA501" s="12">
        <v>1</v>
      </c>
      <c r="SB501" s="12">
        <f t="shared" ref="SB501:SW501" si="616">SA501+1</f>
        <v>2</v>
      </c>
      <c r="SC501" s="12">
        <f t="shared" si="616"/>
        <v>3</v>
      </c>
      <c r="SD501" s="12">
        <f t="shared" si="616"/>
        <v>4</v>
      </c>
      <c r="SE501" s="12">
        <f t="shared" si="616"/>
        <v>5</v>
      </c>
      <c r="SF501" s="12">
        <f t="shared" si="616"/>
        <v>6</v>
      </c>
      <c r="SG501" s="12">
        <f t="shared" si="616"/>
        <v>7</v>
      </c>
      <c r="SH501" s="12">
        <f t="shared" si="616"/>
        <v>8</v>
      </c>
      <c r="SI501" s="12">
        <f t="shared" si="616"/>
        <v>9</v>
      </c>
      <c r="SJ501" s="12">
        <f t="shared" si="616"/>
        <v>10</v>
      </c>
      <c r="SK501" s="12">
        <f t="shared" si="616"/>
        <v>11</v>
      </c>
      <c r="SL501" s="12">
        <f t="shared" si="616"/>
        <v>12</v>
      </c>
      <c r="SM501" s="12">
        <f t="shared" si="616"/>
        <v>13</v>
      </c>
      <c r="SN501" s="12">
        <f t="shared" si="616"/>
        <v>14</v>
      </c>
      <c r="SO501" s="12">
        <f t="shared" si="616"/>
        <v>15</v>
      </c>
      <c r="SP501" s="12">
        <f t="shared" si="616"/>
        <v>16</v>
      </c>
      <c r="SQ501" s="12">
        <f t="shared" si="616"/>
        <v>17</v>
      </c>
      <c r="SR501" s="12">
        <f t="shared" si="616"/>
        <v>18</v>
      </c>
      <c r="SS501" s="12">
        <f t="shared" si="616"/>
        <v>19</v>
      </c>
      <c r="ST501" s="12">
        <f t="shared" si="616"/>
        <v>20</v>
      </c>
      <c r="SU501" s="12">
        <f t="shared" si="616"/>
        <v>21</v>
      </c>
      <c r="SV501" s="12">
        <f t="shared" si="616"/>
        <v>22</v>
      </c>
      <c r="SW501" s="12">
        <f t="shared" si="616"/>
        <v>23</v>
      </c>
      <c r="SX501" s="12"/>
      <c r="SY501" s="12"/>
      <c r="SZ501" s="12" t="s">
        <v>3264</v>
      </c>
      <c r="TA501" s="12" t="s">
        <v>3265</v>
      </c>
      <c r="TB501" s="12" t="s">
        <v>3266</v>
      </c>
      <c r="TC501" s="12" t="s">
        <v>3267</v>
      </c>
      <c r="TD501" s="12" t="s">
        <v>3268</v>
      </c>
      <c r="TE501" s="12" t="s">
        <v>3269</v>
      </c>
      <c r="TF501" s="12" t="s">
        <v>3270</v>
      </c>
      <c r="TG501" s="12" t="s">
        <v>3271</v>
      </c>
      <c r="TH501" s="12" t="s">
        <v>3272</v>
      </c>
      <c r="TI501" s="12" t="s">
        <v>3273</v>
      </c>
      <c r="TJ501" s="12" t="s">
        <v>3274</v>
      </c>
      <c r="TK501" s="12"/>
      <c r="TL501" s="12" t="s">
        <v>3135</v>
      </c>
      <c r="TM501" s="12" t="s">
        <v>3136</v>
      </c>
      <c r="TN501" s="12" t="s">
        <v>3137</v>
      </c>
      <c r="TO501" s="12" t="s">
        <v>3138</v>
      </c>
      <c r="TP501" s="12" t="s">
        <v>3139</v>
      </c>
      <c r="TQ501" s="12" t="s">
        <v>3140</v>
      </c>
      <c r="TR501" s="12" t="s">
        <v>3141</v>
      </c>
      <c r="TS501" s="12" t="s">
        <v>3142</v>
      </c>
      <c r="TT501" s="12" t="s">
        <v>3143</v>
      </c>
      <c r="TU501" s="12" t="s">
        <v>3144</v>
      </c>
      <c r="TV501" s="12" t="s">
        <v>3145</v>
      </c>
      <c r="TW501" s="13"/>
    </row>
    <row r="502" spans="1:812" ht="15.75" thickBot="1" x14ac:dyDescent="0.3">
      <c r="A502" s="83" t="s">
        <v>3212</v>
      </c>
      <c r="B502" s="83" t="s">
        <v>3225</v>
      </c>
      <c r="P502" t="s">
        <v>3130</v>
      </c>
      <c r="T502" s="14" t="s">
        <v>3128</v>
      </c>
      <c r="U502">
        <v>60</v>
      </c>
      <c r="V502" s="15"/>
      <c r="W502" t="s">
        <v>3230</v>
      </c>
      <c r="X502" t="s">
        <v>1247</v>
      </c>
      <c r="Y502" s="43" t="str">
        <f t="array" ref="Y502">IF(COUNTIFS($X$377:$X502,$X502)=1,"1",VALUE(SUBSTITUTE(INDEX(Y:Y,_xlfn.XMATCH($X502,$X$1:$X501,0,-1)),"A",""))+INDEX(Z:Z,_xlfn.XMATCH($X502,$X$1:$X501,0,-1))+1)</f>
        <v>1</v>
      </c>
      <c r="Z502" s="43">
        <f t="array" ref="Z502">SUM(IF(ISNUMBER(FIND("TmAi",$BE$1:$AAQ$1)),IF(IFERROR(ISODD(SUBSTITUTE($BE502:$AAQ502,"A","")),FALSE),IF(ISODD(SUBSTITUTE($BE502:$AAQ502,"A","")),1,0),0)))</f>
        <v>10</v>
      </c>
      <c r="AA502" t="str">
        <f>CONCATENATE($Y502*2-1,"A")</f>
        <v>1A</v>
      </c>
      <c r="AB502" t="str">
        <f>CONCATENATE($Y502*2-1,"B")</f>
        <v>1B</v>
      </c>
      <c r="AP502" t="s">
        <v>3387</v>
      </c>
      <c r="AS502" t="s">
        <v>396</v>
      </c>
      <c r="JZ502" s="27"/>
      <c r="KS502" s="16"/>
      <c r="MA502" t="str">
        <f t="shared" si="593"/>
        <v>DI-</v>
      </c>
      <c r="QE502" s="25" t="str">
        <f>REPLACE(X502,FIND(".",X502)+1,3,MID(X502,FIND(".",X502)+1,3)+1)</f>
        <v>A3.25</v>
      </c>
      <c r="QF502" s="12" t="str">
        <f>CONCATENATE(VALUE(SUBSTITUTE($AB502,"B",""))+2,"B")</f>
        <v>3B</v>
      </c>
      <c r="QG502" s="12" t="str">
        <f>CONCATENATE(VALUE(SUBSTITUTE($AA502,"A",""))+2,"A")</f>
        <v>3A</v>
      </c>
      <c r="QH502" s="12" t="str">
        <f>CONCATENATE(VALUE(SUBSTITUTE(QF502,"B",""))+2,"B")</f>
        <v>5B</v>
      </c>
      <c r="QI502" s="12" t="str">
        <f>CONCATENATE(VALUE(SUBSTITUTE(QG502,"A",""))+2,"A")</f>
        <v>5A</v>
      </c>
      <c r="QJ502" s="12" t="str">
        <f>CONCATENATE(VALUE(SUBSTITUTE(QH502,"B",""))+2,"B")</f>
        <v>7B</v>
      </c>
      <c r="QK502" s="12" t="str">
        <f>CONCATENATE(VALUE(SUBSTITUTE(QI502,"A",""))+2,"A")</f>
        <v>7A</v>
      </c>
      <c r="QL502" s="12" t="str">
        <f>CONCATENATE(VALUE(SUBSTITUTE(QJ502,"B",""))+2,"B")</f>
        <v>9B</v>
      </c>
      <c r="QM502" s="12" t="str">
        <f>CONCATENATE(VALUE(SUBSTITUTE(QK502,"A",""))+2,"A")</f>
        <v>9A</v>
      </c>
      <c r="QN502" s="12" t="str">
        <f>CONCATENATE(VALUE(SUBSTITUTE(QL502,"B",""))+2,"B")</f>
        <v>11B</v>
      </c>
      <c r="QO502" s="12" t="str">
        <f>CONCATENATE(VALUE(SUBSTITUTE(QM502,"A",""))+2,"A")</f>
        <v>11A</v>
      </c>
      <c r="QP502" s="12" t="s">
        <v>135</v>
      </c>
      <c r="QQ502" s="12" t="s">
        <v>136</v>
      </c>
      <c r="QR502" s="12" t="str">
        <f>CONCATENATE(VALUE(SUBSTITUTE(QP502,"B",""))+2,"B")</f>
        <v>3B</v>
      </c>
      <c r="QS502" s="12" t="str">
        <f>CONCATENATE(VALUE(SUBSTITUTE(QQ502,"A",""))+2,"A")</f>
        <v>3A</v>
      </c>
      <c r="QT502" s="12" t="str">
        <f>CONCATENATE(VALUE(SUBSTITUTE(QR502,"B",""))+2,"B")</f>
        <v>5B</v>
      </c>
      <c r="QU502" s="12" t="str">
        <f>CONCATENATE(VALUE(SUBSTITUTE(QS502,"A",""))+2,"A")</f>
        <v>5A</v>
      </c>
      <c r="QV502" s="12" t="str">
        <f>CONCATENATE(VALUE(SUBSTITUTE(QT502,"B",""))+2,"B")</f>
        <v>7B</v>
      </c>
      <c r="QW502" s="12" t="str">
        <f>CONCATENATE(VALUE(SUBSTITUTE(QU502,"A",""))+2,"A")</f>
        <v>7A</v>
      </c>
      <c r="QX502" s="12" t="str">
        <f>CONCATENATE(VALUE(SUBSTITUTE(QV502,"B",""))+2,"B")</f>
        <v>9B</v>
      </c>
      <c r="QY502" s="12" t="str">
        <f>CONCATENATE(VALUE(SUBSTITUTE(QW502,"A",""))+2,"A")</f>
        <v>9A</v>
      </c>
      <c r="QZ502" s="12"/>
      <c r="RA502" s="12"/>
      <c r="RB502" s="12" t="str">
        <f>CONCATENATE($T502,"-AI",REPLACE($X502,1,3,""),"-",AB502)</f>
        <v>E3-AI24-1B</v>
      </c>
      <c r="RC502" s="12" t="str">
        <f>CONCATENATE($T502,"-AI",REPLACE($X502,1,3,""),"-",AA502)</f>
        <v>E3-AI24-1A</v>
      </c>
      <c r="RD502" s="12" t="str">
        <f t="shared" si="614"/>
        <v>E3-AI24-3B</v>
      </c>
      <c r="RE502" s="12" t="str">
        <f t="shared" si="614"/>
        <v>E3-AI24-3A</v>
      </c>
      <c r="RF502" s="12" t="str">
        <f t="shared" si="614"/>
        <v>E3-AI24-5B</v>
      </c>
      <c r="RG502" s="12" t="str">
        <f t="shared" si="614"/>
        <v>E3-AI24-5A</v>
      </c>
      <c r="RH502" s="12" t="str">
        <f t="shared" si="614"/>
        <v>E3-AI24-7B</v>
      </c>
      <c r="RI502" s="12" t="str">
        <f t="shared" si="614"/>
        <v>E3-AI24-7A</v>
      </c>
      <c r="RJ502" s="12" t="str">
        <f t="shared" si="614"/>
        <v>E3-AI24-9B</v>
      </c>
      <c r="RK502" s="12" t="str">
        <f t="shared" si="614"/>
        <v>E3-AI24-9A</v>
      </c>
      <c r="RL502" s="12" t="str">
        <f t="shared" si="614"/>
        <v>E3-AI24-11B</v>
      </c>
      <c r="RM502" s="12" t="str">
        <f t="shared" si="614"/>
        <v>E3-AI24-11A</v>
      </c>
      <c r="RN502" s="12" t="str">
        <f t="shared" si="615"/>
        <v>E3-AI25-1B</v>
      </c>
      <c r="RO502" s="12" t="str">
        <f t="shared" si="615"/>
        <v>E3-AI25-1A</v>
      </c>
      <c r="RP502" s="12" t="str">
        <f t="shared" si="615"/>
        <v>E3-AI25-3B</v>
      </c>
      <c r="RQ502" s="12" t="str">
        <f t="shared" si="615"/>
        <v>E3-AI25-3A</v>
      </c>
      <c r="RR502" s="12" t="str">
        <f t="shared" si="615"/>
        <v>E3-AI25-5B</v>
      </c>
      <c r="RS502" s="12" t="str">
        <f t="shared" si="615"/>
        <v>E3-AI25-5A</v>
      </c>
      <c r="RT502" s="12" t="str">
        <f t="shared" si="615"/>
        <v>E3-AI25-7B</v>
      </c>
      <c r="RU502" s="12" t="str">
        <f t="shared" si="615"/>
        <v>E3-AI25-7A</v>
      </c>
      <c r="RV502" s="12" t="str">
        <f t="shared" si="615"/>
        <v>E3-AI25-9B</v>
      </c>
      <c r="RW502" s="12" t="str">
        <f t="shared" si="615"/>
        <v>E3-AI25-9A</v>
      </c>
      <c r="RX502" s="12"/>
      <c r="RY502" s="12"/>
      <c r="RZ502" s="12" t="str">
        <f>CONCATENATE("XT",$U502)</f>
        <v>XT60</v>
      </c>
      <c r="SA502" s="12">
        <v>1</v>
      </c>
      <c r="SB502" s="12">
        <f t="shared" ref="SB502:SW502" si="617">SA502+1</f>
        <v>2</v>
      </c>
      <c r="SC502" s="12">
        <f t="shared" si="617"/>
        <v>3</v>
      </c>
      <c r="SD502" s="12">
        <f t="shared" si="617"/>
        <v>4</v>
      </c>
      <c r="SE502" s="12">
        <f t="shared" si="617"/>
        <v>5</v>
      </c>
      <c r="SF502" s="12">
        <f t="shared" si="617"/>
        <v>6</v>
      </c>
      <c r="SG502" s="12">
        <f t="shared" si="617"/>
        <v>7</v>
      </c>
      <c r="SH502" s="12">
        <f t="shared" si="617"/>
        <v>8</v>
      </c>
      <c r="SI502" s="12">
        <f t="shared" si="617"/>
        <v>9</v>
      </c>
      <c r="SJ502" s="12">
        <f t="shared" si="617"/>
        <v>10</v>
      </c>
      <c r="SK502" s="12">
        <f t="shared" si="617"/>
        <v>11</v>
      </c>
      <c r="SL502" s="12">
        <f t="shared" si="617"/>
        <v>12</v>
      </c>
      <c r="SM502" s="12">
        <f t="shared" si="617"/>
        <v>13</v>
      </c>
      <c r="SN502" s="12">
        <f t="shared" si="617"/>
        <v>14</v>
      </c>
      <c r="SO502" s="12">
        <f t="shared" si="617"/>
        <v>15</v>
      </c>
      <c r="SP502" s="12">
        <f t="shared" si="617"/>
        <v>16</v>
      </c>
      <c r="SQ502" s="12">
        <f t="shared" si="617"/>
        <v>17</v>
      </c>
      <c r="SR502" s="12">
        <f t="shared" si="617"/>
        <v>18</v>
      </c>
      <c r="SS502" s="12">
        <f t="shared" si="617"/>
        <v>19</v>
      </c>
      <c r="ST502" s="12">
        <f t="shared" si="617"/>
        <v>20</v>
      </c>
      <c r="SU502" s="12">
        <f t="shared" si="617"/>
        <v>21</v>
      </c>
      <c r="SV502" s="12">
        <f t="shared" si="617"/>
        <v>22</v>
      </c>
      <c r="SW502" s="12">
        <f t="shared" si="617"/>
        <v>23</v>
      </c>
      <c r="SX502" s="12"/>
      <c r="SY502" s="12"/>
      <c r="SZ502" s="12" t="s">
        <v>3275</v>
      </c>
      <c r="TA502" s="12" t="s">
        <v>3276</v>
      </c>
      <c r="TB502" s="12" t="s">
        <v>3277</v>
      </c>
      <c r="TC502" s="12" t="s">
        <v>3278</v>
      </c>
      <c r="TD502" s="12" t="s">
        <v>3279</v>
      </c>
      <c r="TE502" s="12" t="s">
        <v>3280</v>
      </c>
      <c r="TF502" s="12" t="s">
        <v>3281</v>
      </c>
      <c r="TG502" s="12" t="s">
        <v>3282</v>
      </c>
      <c r="TH502" s="12" t="s">
        <v>3283</v>
      </c>
      <c r="TI502" s="12" t="s">
        <v>3284</v>
      </c>
      <c r="TJ502" s="12" t="s">
        <v>3285</v>
      </c>
      <c r="TK502" s="12"/>
      <c r="TL502" s="12" t="s">
        <v>3135</v>
      </c>
      <c r="TM502" s="12" t="s">
        <v>3136</v>
      </c>
      <c r="TN502" s="12" t="s">
        <v>3137</v>
      </c>
      <c r="TO502" s="12" t="s">
        <v>3138</v>
      </c>
      <c r="TP502" s="12" t="s">
        <v>3139</v>
      </c>
      <c r="TQ502" s="12" t="s">
        <v>3140</v>
      </c>
      <c r="TR502" s="12" t="s">
        <v>3141</v>
      </c>
      <c r="TS502" s="12" t="s">
        <v>3142</v>
      </c>
      <c r="TT502" s="12" t="s">
        <v>3143</v>
      </c>
      <c r="TU502" s="12" t="s">
        <v>3144</v>
      </c>
      <c r="TV502" s="12" t="s">
        <v>3145</v>
      </c>
      <c r="TW502" s="13"/>
    </row>
    <row r="503" spans="1:812" x14ac:dyDescent="0.25">
      <c r="A503" s="83" t="s">
        <v>3215</v>
      </c>
      <c r="B503" s="83" t="s">
        <v>3250</v>
      </c>
      <c r="C503" t="s">
        <v>3366</v>
      </c>
      <c r="P503" t="s">
        <v>3147</v>
      </c>
      <c r="T503" s="14" t="s">
        <v>3128</v>
      </c>
      <c r="V503" t="s">
        <v>3231</v>
      </c>
      <c r="AP503" t="s">
        <v>2184</v>
      </c>
      <c r="MA503" t="str">
        <f t="shared" si="593"/>
        <v>DI-</v>
      </c>
      <c r="AEB503" s="25" t="s">
        <v>3162</v>
      </c>
      <c r="AEC503" s="12">
        <v>1</v>
      </c>
      <c r="AED503" s="12" t="str">
        <f t="shared" ref="AED503:AED516" si="618">V503</f>
        <v>E3-17</v>
      </c>
      <c r="AEE503" s="12"/>
      <c r="AEF503" s="13" t="s">
        <v>3163</v>
      </c>
    </row>
    <row r="504" spans="1:812" x14ac:dyDescent="0.25">
      <c r="A504" s="83" t="s">
        <v>3216</v>
      </c>
      <c r="B504" s="83" t="s">
        <v>3251</v>
      </c>
      <c r="C504" t="s">
        <v>3366</v>
      </c>
      <c r="P504" t="s">
        <v>3147</v>
      </c>
      <c r="T504" s="14" t="s">
        <v>3128</v>
      </c>
      <c r="V504" t="s">
        <v>3232</v>
      </c>
      <c r="AP504" t="s">
        <v>2184</v>
      </c>
      <c r="MA504" t="str">
        <f t="shared" si="593"/>
        <v>DI-</v>
      </c>
      <c r="AEB504" s="27" t="s">
        <v>3162</v>
      </c>
      <c r="AEC504">
        <v>2</v>
      </c>
      <c r="AED504" t="str">
        <f t="shared" si="618"/>
        <v>E3-18</v>
      </c>
      <c r="AEF504" s="16" t="s">
        <v>3163</v>
      </c>
    </row>
    <row r="505" spans="1:812" x14ac:dyDescent="0.25">
      <c r="A505" s="83" t="s">
        <v>3217</v>
      </c>
      <c r="B505" s="83" t="s">
        <v>3252</v>
      </c>
      <c r="C505" t="s">
        <v>3366</v>
      </c>
      <c r="P505" t="s">
        <v>3147</v>
      </c>
      <c r="T505" s="14" t="s">
        <v>3128</v>
      </c>
      <c r="V505" t="s">
        <v>3233</v>
      </c>
      <c r="AP505" t="s">
        <v>2184</v>
      </c>
      <c r="MA505" t="str">
        <f t="shared" si="593"/>
        <v>DI-</v>
      </c>
      <c r="AEB505" s="27" t="s">
        <v>3162</v>
      </c>
      <c r="AEC505">
        <v>3</v>
      </c>
      <c r="AED505" t="str">
        <f t="shared" si="618"/>
        <v>E3-19</v>
      </c>
      <c r="AEF505" s="16" t="s">
        <v>3163</v>
      </c>
    </row>
    <row r="506" spans="1:812" x14ac:dyDescent="0.25">
      <c r="A506" s="83" t="s">
        <v>3218</v>
      </c>
      <c r="B506" s="83" t="s">
        <v>3253</v>
      </c>
      <c r="C506" t="s">
        <v>3366</v>
      </c>
      <c r="P506" t="s">
        <v>3147</v>
      </c>
      <c r="T506" s="14" t="s">
        <v>3128</v>
      </c>
      <c r="V506" t="s">
        <v>3234</v>
      </c>
      <c r="AP506" t="s">
        <v>2184</v>
      </c>
      <c r="MA506" t="str">
        <f t="shared" si="593"/>
        <v>DI-</v>
      </c>
      <c r="AEB506" s="27" t="s">
        <v>3162</v>
      </c>
      <c r="AEC506">
        <v>4</v>
      </c>
      <c r="AED506" t="str">
        <f t="shared" si="618"/>
        <v>E3-20</v>
      </c>
      <c r="AEF506" s="16" t="s">
        <v>3163</v>
      </c>
    </row>
    <row r="507" spans="1:812" x14ac:dyDescent="0.25">
      <c r="A507" s="83" t="s">
        <v>3213</v>
      </c>
      <c r="B507" s="83" t="s">
        <v>3254</v>
      </c>
      <c r="C507" t="s">
        <v>3366</v>
      </c>
      <c r="P507" t="s">
        <v>3147</v>
      </c>
      <c r="T507" s="14" t="s">
        <v>3128</v>
      </c>
      <c r="V507" t="s">
        <v>3235</v>
      </c>
      <c r="AP507" t="s">
        <v>2184</v>
      </c>
      <c r="MA507" t="str">
        <f t="shared" si="593"/>
        <v>DI-</v>
      </c>
      <c r="AEB507" s="27" t="s">
        <v>3162</v>
      </c>
      <c r="AEC507">
        <v>5</v>
      </c>
      <c r="AED507" t="str">
        <f t="shared" si="618"/>
        <v>E3-21</v>
      </c>
      <c r="AEF507" s="16" t="s">
        <v>3163</v>
      </c>
    </row>
    <row r="508" spans="1:812" x14ac:dyDescent="0.25">
      <c r="A508" s="83" t="s">
        <v>3219</v>
      </c>
      <c r="B508" s="83" t="s">
        <v>3255</v>
      </c>
      <c r="C508" t="s">
        <v>3366</v>
      </c>
      <c r="P508" t="s">
        <v>3147</v>
      </c>
      <c r="T508" s="14" t="s">
        <v>3128</v>
      </c>
      <c r="V508" t="s">
        <v>3236</v>
      </c>
      <c r="AP508" t="s">
        <v>2184</v>
      </c>
      <c r="MA508" t="str">
        <f t="shared" si="593"/>
        <v>DI-</v>
      </c>
      <c r="AEB508" s="27" t="s">
        <v>3162</v>
      </c>
      <c r="AEC508">
        <v>6</v>
      </c>
      <c r="AED508" t="str">
        <f t="shared" si="618"/>
        <v>E3-22</v>
      </c>
      <c r="AEF508" s="16" t="s">
        <v>3163</v>
      </c>
    </row>
    <row r="509" spans="1:812" x14ac:dyDescent="0.25">
      <c r="A509" s="83" t="s">
        <v>3220</v>
      </c>
      <c r="B509" s="83" t="s">
        <v>3256</v>
      </c>
      <c r="C509" t="s">
        <v>3366</v>
      </c>
      <c r="P509" t="s">
        <v>3147</v>
      </c>
      <c r="T509" s="14" t="s">
        <v>3128</v>
      </c>
      <c r="V509" t="s">
        <v>3237</v>
      </c>
      <c r="AP509" t="s">
        <v>2184</v>
      </c>
      <c r="MA509" t="str">
        <f t="shared" si="593"/>
        <v>DI-</v>
      </c>
      <c r="AEB509" s="27" t="s">
        <v>3162</v>
      </c>
      <c r="AEC509">
        <v>7</v>
      </c>
      <c r="AED509" t="str">
        <f t="shared" si="618"/>
        <v>E3-23</v>
      </c>
      <c r="AEF509" s="16" t="s">
        <v>3163</v>
      </c>
    </row>
    <row r="510" spans="1:812" x14ac:dyDescent="0.25">
      <c r="A510" s="83" t="s">
        <v>3214</v>
      </c>
      <c r="B510" s="83" t="s">
        <v>3257</v>
      </c>
      <c r="C510" t="s">
        <v>3366</v>
      </c>
      <c r="P510" t="s">
        <v>3147</v>
      </c>
      <c r="T510" s="14" t="s">
        <v>3128</v>
      </c>
      <c r="V510" t="s">
        <v>3238</v>
      </c>
      <c r="AP510" t="s">
        <v>2184</v>
      </c>
      <c r="MA510" t="str">
        <f t="shared" si="593"/>
        <v>DI-</v>
      </c>
      <c r="AEB510" s="27" t="s">
        <v>3162</v>
      </c>
      <c r="AEC510">
        <v>8</v>
      </c>
      <c r="AED510" t="str">
        <f t="shared" si="618"/>
        <v>E3-24</v>
      </c>
      <c r="AEF510" s="16" t="s">
        <v>3163</v>
      </c>
    </row>
    <row r="511" spans="1:812" x14ac:dyDescent="0.25">
      <c r="A511" s="83" t="s">
        <v>3221</v>
      </c>
      <c r="B511" s="83" t="s">
        <v>3258</v>
      </c>
      <c r="C511" t="s">
        <v>3366</v>
      </c>
      <c r="P511" t="s">
        <v>3147</v>
      </c>
      <c r="T511" s="14" t="s">
        <v>3128</v>
      </c>
      <c r="V511" t="s">
        <v>3239</v>
      </c>
      <c r="AP511" t="s">
        <v>2184</v>
      </c>
      <c r="MA511" t="str">
        <f t="shared" si="593"/>
        <v>DI-</v>
      </c>
      <c r="AEB511" s="27" t="s">
        <v>3162</v>
      </c>
      <c r="AEC511">
        <v>9</v>
      </c>
      <c r="AED511" t="str">
        <f t="shared" si="618"/>
        <v>E3-25</v>
      </c>
      <c r="AEF511" s="16" t="s">
        <v>3163</v>
      </c>
    </row>
    <row r="512" spans="1:812" x14ac:dyDescent="0.25">
      <c r="A512" s="83" t="s">
        <v>3222</v>
      </c>
      <c r="B512" s="83" t="s">
        <v>3259</v>
      </c>
      <c r="C512" t="s">
        <v>3366</v>
      </c>
      <c r="P512" t="s">
        <v>3147</v>
      </c>
      <c r="T512" s="14" t="s">
        <v>3128</v>
      </c>
      <c r="V512" t="s">
        <v>3240</v>
      </c>
      <c r="AP512" t="s">
        <v>2184</v>
      </c>
      <c r="MA512" t="str">
        <f t="shared" si="593"/>
        <v>DI-</v>
      </c>
      <c r="AEB512" s="27" t="s">
        <v>3162</v>
      </c>
      <c r="AEC512">
        <v>10</v>
      </c>
      <c r="AED512" t="str">
        <f t="shared" si="618"/>
        <v>E3-26</v>
      </c>
      <c r="AEF512" s="16" t="s">
        <v>3163</v>
      </c>
    </row>
    <row r="513" spans="1:812" x14ac:dyDescent="0.25">
      <c r="A513" s="83" t="s">
        <v>3223</v>
      </c>
      <c r="B513" s="83" t="s">
        <v>3260</v>
      </c>
      <c r="C513" t="s">
        <v>3366</v>
      </c>
      <c r="P513" t="s">
        <v>3147</v>
      </c>
      <c r="T513" s="14" t="s">
        <v>3128</v>
      </c>
      <c r="V513" t="s">
        <v>3241</v>
      </c>
      <c r="AP513" t="s">
        <v>2184</v>
      </c>
      <c r="MA513" t="str">
        <f t="shared" si="593"/>
        <v>DI-</v>
      </c>
      <c r="AEB513" s="27" t="s">
        <v>3162</v>
      </c>
      <c r="AEC513">
        <v>11</v>
      </c>
      <c r="AED513" t="str">
        <f t="shared" si="618"/>
        <v>E3-27</v>
      </c>
      <c r="AEF513" s="16" t="s">
        <v>3163</v>
      </c>
    </row>
    <row r="514" spans="1:812" x14ac:dyDescent="0.25">
      <c r="A514" s="83" t="s">
        <v>3224</v>
      </c>
      <c r="B514" s="83" t="s">
        <v>3261</v>
      </c>
      <c r="C514" t="s">
        <v>3366</v>
      </c>
      <c r="P514" t="s">
        <v>3147</v>
      </c>
      <c r="T514" s="14" t="s">
        <v>3128</v>
      </c>
      <c r="V514" t="s">
        <v>3242</v>
      </c>
      <c r="AP514" t="s">
        <v>2184</v>
      </c>
      <c r="MA514" t="str">
        <f t="shared" si="593"/>
        <v>DI-</v>
      </c>
      <c r="AEB514" s="27" t="s">
        <v>3162</v>
      </c>
      <c r="AEC514">
        <v>12</v>
      </c>
      <c r="AED514" t="str">
        <f t="shared" si="618"/>
        <v>E3-28</v>
      </c>
      <c r="AEF514" s="16" t="s">
        <v>3163</v>
      </c>
    </row>
    <row r="515" spans="1:812" x14ac:dyDescent="0.25">
      <c r="A515" s="83" t="s">
        <v>3227</v>
      </c>
      <c r="B515" s="83" t="s">
        <v>3262</v>
      </c>
      <c r="C515" t="s">
        <v>3366</v>
      </c>
      <c r="P515" t="s">
        <v>3147</v>
      </c>
      <c r="T515" s="14" t="s">
        <v>3128</v>
      </c>
      <c r="V515" t="s">
        <v>3243</v>
      </c>
      <c r="AP515" t="s">
        <v>2184</v>
      </c>
      <c r="MA515" t="str">
        <f t="shared" si="593"/>
        <v>DI-</v>
      </c>
      <c r="AEB515" s="27" t="s">
        <v>3162</v>
      </c>
      <c r="AEC515">
        <v>13</v>
      </c>
      <c r="AED515" t="str">
        <f t="shared" si="618"/>
        <v>E3-29</v>
      </c>
      <c r="AEF515" s="16" t="s">
        <v>3163</v>
      </c>
    </row>
    <row r="516" spans="1:812" x14ac:dyDescent="0.25">
      <c r="A516" s="83" t="s">
        <v>3228</v>
      </c>
      <c r="B516" s="83" t="s">
        <v>3263</v>
      </c>
      <c r="C516" t="s">
        <v>3366</v>
      </c>
      <c r="P516" t="s">
        <v>3147</v>
      </c>
      <c r="T516" s="14" t="s">
        <v>3128</v>
      </c>
      <c r="V516" t="s">
        <v>3244</v>
      </c>
      <c r="AP516" t="s">
        <v>2184</v>
      </c>
      <c r="MA516" t="str">
        <f t="shared" si="593"/>
        <v>DI-</v>
      </c>
      <c r="AEB516" s="27" t="s">
        <v>3162</v>
      </c>
      <c r="AEC516">
        <v>14</v>
      </c>
      <c r="AED516" t="str">
        <f t="shared" si="618"/>
        <v>E3-30</v>
      </c>
      <c r="AEF516" s="16" t="s">
        <v>3163</v>
      </c>
    </row>
    <row r="517" spans="1:812" x14ac:dyDescent="0.25">
      <c r="A517" s="83" t="s">
        <v>2680</v>
      </c>
      <c r="B517" s="83" t="s">
        <v>3114</v>
      </c>
      <c r="P517" t="s">
        <v>1873</v>
      </c>
      <c r="T517" s="14" t="s">
        <v>2182</v>
      </c>
      <c r="AC517" t="s">
        <v>853</v>
      </c>
      <c r="AD517" s="46" t="str">
        <f t="array" ref="AD517">IF(COUNTIFS(AC$340:AC517,AC517)=1,"1",VALUE(SUBSTITUTE(INDEX(AD:AD,_xlfn.XMATCH(AC517,AC$1:AC500,0,-1)),"A",""))+INDEX(AE:AE,_xlfn.XMATCH(AC517,AC$1:AC500,0,-1))+1)</f>
        <v>1</v>
      </c>
      <c r="AE517" s="46">
        <f t="array" ref="AE517">SUM(IF(ISNUMBER(FIND("TmDi",$BE$1:$AAQ$1)),IF(IFERROR(ISNUMBER(VALUE(SUBSTITUTE($BE517:$AAQ517,"B",""))),FALSE),IF(ISNUMBER(VALUE(SUBSTITUTE($BE517:$AAQ517,"B",""))),1,0),0)))</f>
        <v>0</v>
      </c>
      <c r="AF517" t="str">
        <f t="shared" si="440"/>
        <v>C1</v>
      </c>
      <c r="AG517" t="str">
        <f t="shared" si="441"/>
        <v>B1</v>
      </c>
      <c r="AP517" t="s">
        <v>2184</v>
      </c>
      <c r="AT517" t="s">
        <v>854</v>
      </c>
      <c r="AU517" t="s">
        <v>1399</v>
      </c>
      <c r="LZ517" t="str">
        <f>CONCATENATE("DI",REPLACE($AC517,1,3,""),"-",$AF517)</f>
        <v>DI12-C1</v>
      </c>
      <c r="MA517" t="str">
        <f t="shared" si="593"/>
        <v>DI12-B1</v>
      </c>
      <c r="MB517" t="s">
        <v>1884</v>
      </c>
      <c r="MC517" t="s">
        <v>1883</v>
      </c>
      <c r="MD517">
        <v>11</v>
      </c>
      <c r="ME517">
        <v>14</v>
      </c>
      <c r="MF517" t="s">
        <v>142</v>
      </c>
      <c r="MG517" t="s">
        <v>143</v>
      </c>
      <c r="MH517" t="s">
        <v>488</v>
      </c>
      <c r="MI517" t="s">
        <v>487</v>
      </c>
      <c r="MJ517" t="s">
        <v>414</v>
      </c>
      <c r="MK517" t="s">
        <v>413</v>
      </c>
      <c r="MR517">
        <v>1</v>
      </c>
      <c r="MS517">
        <v>2</v>
      </c>
    </row>
    <row r="518" spans="1:812" x14ac:dyDescent="0.25">
      <c r="A518" s="83" t="s">
        <v>2681</v>
      </c>
      <c r="B518" s="83" t="s">
        <v>3113</v>
      </c>
      <c r="P518" t="s">
        <v>1873</v>
      </c>
      <c r="T518" s="14" t="s">
        <v>2182</v>
      </c>
      <c r="AC518" t="str">
        <f t="shared" si="613"/>
        <v>A5.12</v>
      </c>
      <c r="AD518" s="46">
        <f t="array" ref="AD518">IF(COUNTIFS(AC$340:AC518,AC518)=1,"1",VALUE(SUBSTITUTE(INDEX(AD:AD,_xlfn.XMATCH(AC518,AC$1:AC517,0,-1)),"A",""))+INDEX(AE:AE,_xlfn.XMATCH(AC518,AC$1:AC517,0,-1))+1)</f>
        <v>2</v>
      </c>
      <c r="AE518" s="46">
        <f t="array" ref="AE518">SUM(IF(ISNUMBER(FIND("TmDi",$BE$1:$AAQ$1)),IF(IFERROR(ISNUMBER(VALUE(SUBSTITUTE($BE518:$AAQ518,"B",""))),FALSE),IF(ISNUMBER(VALUE(SUBSTITUTE($BE518:$AAQ518,"B",""))),1,0),0)))</f>
        <v>0</v>
      </c>
      <c r="AF518" t="str">
        <f t="shared" si="440"/>
        <v>C2</v>
      </c>
      <c r="AG518" t="str">
        <f t="shared" si="441"/>
        <v>B2</v>
      </c>
      <c r="AP518" t="s">
        <v>2184</v>
      </c>
      <c r="AT518" t="s">
        <v>854</v>
      </c>
      <c r="AU518" t="s">
        <v>1399</v>
      </c>
      <c r="LZ518" t="str">
        <f t="shared" ref="LZ518:LZ522" si="619">CONCATENATE("DI",REPLACE($AC518,1,3,""),"-",$AF518)</f>
        <v>DI12-C2</v>
      </c>
      <c r="MA518" t="str">
        <f t="shared" si="593"/>
        <v>DI12-B2</v>
      </c>
      <c r="MB518" t="s">
        <v>1887</v>
      </c>
      <c r="MC518" t="s">
        <v>1888</v>
      </c>
      <c r="MD518">
        <f t="shared" ref="MD518:MD522" si="620">MD517</f>
        <v>11</v>
      </c>
      <c r="ME518">
        <f t="shared" ref="ME518:MK518" si="621">ME517</f>
        <v>14</v>
      </c>
      <c r="MF518" t="str">
        <f t="shared" si="621"/>
        <v>A1</v>
      </c>
      <c r="MG518" t="str">
        <f t="shared" si="621"/>
        <v>A2</v>
      </c>
      <c r="MH518" t="str">
        <f t="shared" si="621"/>
        <v>0v3</v>
      </c>
      <c r="MI518" t="str">
        <f t="shared" si="621"/>
        <v>24v3</v>
      </c>
      <c r="MJ518" t="str">
        <f t="shared" si="621"/>
        <v>0v6</v>
      </c>
      <c r="MK518" t="str">
        <f t="shared" si="621"/>
        <v>24v6</v>
      </c>
      <c r="MR518">
        <f t="shared" ref="MR518:MS522" si="622">MR517</f>
        <v>1</v>
      </c>
      <c r="MS518">
        <f t="shared" si="622"/>
        <v>2</v>
      </c>
    </row>
    <row r="519" spans="1:812" x14ac:dyDescent="0.25">
      <c r="A519" s="83" t="s">
        <v>2682</v>
      </c>
      <c r="B519" s="83" t="s">
        <v>3112</v>
      </c>
      <c r="P519" t="s">
        <v>1873</v>
      </c>
      <c r="T519" s="14" t="s">
        <v>2182</v>
      </c>
      <c r="AC519" t="str">
        <f t="shared" si="613"/>
        <v>A5.12</v>
      </c>
      <c r="AD519" s="46">
        <f t="array" ref="AD519">IF(COUNTIFS(AC$340:AC519,AC519)=1,"1",VALUE(SUBSTITUTE(INDEX(AD:AD,_xlfn.XMATCH(AC519,AC$1:AC518,0,-1)),"A",""))+INDEX(AE:AE,_xlfn.XMATCH(AC519,AC$1:AC518,0,-1))+1)</f>
        <v>3</v>
      </c>
      <c r="AE519" s="46">
        <f t="array" ref="AE519">SUM(IF(ISNUMBER(FIND("TmDi",$BE$1:$AAQ$1)),IF(IFERROR(ISNUMBER(VALUE(SUBSTITUTE($BE519:$AAQ519,"B",""))),FALSE),IF(ISNUMBER(VALUE(SUBSTITUTE($BE519:$AAQ519,"B",""))),1,0),0)))</f>
        <v>0</v>
      </c>
      <c r="AF519" t="str">
        <f t="shared" si="440"/>
        <v>C3</v>
      </c>
      <c r="AG519" t="str">
        <f t="shared" si="441"/>
        <v>B3</v>
      </c>
      <c r="AP519" t="s">
        <v>2184</v>
      </c>
      <c r="AT519" t="s">
        <v>854</v>
      </c>
      <c r="AU519" t="s">
        <v>1399</v>
      </c>
      <c r="LZ519" t="str">
        <f t="shared" si="619"/>
        <v>DI12-C3</v>
      </c>
      <c r="MA519" t="str">
        <f t="shared" si="593"/>
        <v>DI12-B3</v>
      </c>
      <c r="MB519" t="s">
        <v>1891</v>
      </c>
      <c r="MC519" t="s">
        <v>1892</v>
      </c>
      <c r="MD519">
        <f t="shared" si="620"/>
        <v>11</v>
      </c>
      <c r="ME519">
        <f t="shared" ref="ME519:MK522" si="623">ME518</f>
        <v>14</v>
      </c>
      <c r="MF519" t="str">
        <f t="shared" si="623"/>
        <v>A1</v>
      </c>
      <c r="MG519" t="str">
        <f t="shared" si="623"/>
        <v>A2</v>
      </c>
      <c r="MH519" t="str">
        <f t="shared" si="623"/>
        <v>0v3</v>
      </c>
      <c r="MI519" t="str">
        <f t="shared" si="623"/>
        <v>24v3</v>
      </c>
      <c r="MJ519" t="str">
        <f t="shared" si="623"/>
        <v>0v6</v>
      </c>
      <c r="MK519" t="str">
        <f t="shared" si="623"/>
        <v>24v6</v>
      </c>
      <c r="MR519">
        <f t="shared" si="622"/>
        <v>1</v>
      </c>
      <c r="MS519">
        <f t="shared" si="622"/>
        <v>2</v>
      </c>
    </row>
    <row r="520" spans="1:812" x14ac:dyDescent="0.25">
      <c r="A520" s="83" t="s">
        <v>2683</v>
      </c>
      <c r="B520" s="83" t="s">
        <v>3391</v>
      </c>
      <c r="P520" t="s">
        <v>1873</v>
      </c>
      <c r="T520" s="14" t="s">
        <v>2182</v>
      </c>
      <c r="AC520" t="str">
        <f t="shared" si="613"/>
        <v>A5.12</v>
      </c>
      <c r="AD520" s="46">
        <f t="array" ref="AD520">IF(COUNTIFS(AC$340:AC520,AC520)=1,"1",VALUE(SUBSTITUTE(INDEX(AD:AD,_xlfn.XMATCH(AC520,AC$1:AC519,0,-1)),"A",""))+INDEX(AE:AE,_xlfn.XMATCH(AC520,AC$1:AC519,0,-1))+1)</f>
        <v>4</v>
      </c>
      <c r="AE520" s="46">
        <f t="array" ref="AE520">SUM(IF(ISNUMBER(FIND("TmDi",$BE$1:$AAQ$1)),IF(IFERROR(ISNUMBER(VALUE(SUBSTITUTE($BE520:$AAQ520,"B",""))),FALSE),IF(ISNUMBER(VALUE(SUBSTITUTE($BE520:$AAQ520,"B",""))),1,0),0)))</f>
        <v>0</v>
      </c>
      <c r="AF520" t="str">
        <f t="shared" si="440"/>
        <v>C4</v>
      </c>
      <c r="AG520" t="str">
        <f t="shared" si="441"/>
        <v>B4</v>
      </c>
      <c r="AP520" t="s">
        <v>2184</v>
      </c>
      <c r="AT520" t="s">
        <v>854</v>
      </c>
      <c r="AU520" t="s">
        <v>1399</v>
      </c>
      <c r="LZ520" t="str">
        <f t="shared" si="619"/>
        <v>DI12-C4</v>
      </c>
      <c r="MA520" t="str">
        <f t="shared" si="593"/>
        <v>DI12-B4</v>
      </c>
      <c r="MB520" t="s">
        <v>1893</v>
      </c>
      <c r="MC520" t="s">
        <v>1894</v>
      </c>
      <c r="MD520">
        <f t="shared" si="620"/>
        <v>11</v>
      </c>
      <c r="ME520">
        <f t="shared" si="623"/>
        <v>14</v>
      </c>
      <c r="MF520" t="str">
        <f t="shared" si="623"/>
        <v>A1</v>
      </c>
      <c r="MG520" t="str">
        <f t="shared" si="623"/>
        <v>A2</v>
      </c>
      <c r="MH520" t="str">
        <f t="shared" si="623"/>
        <v>0v3</v>
      </c>
      <c r="MI520" t="str">
        <f t="shared" si="623"/>
        <v>24v3</v>
      </c>
      <c r="MJ520" t="str">
        <f t="shared" si="623"/>
        <v>0v6</v>
      </c>
      <c r="MK520" t="str">
        <f t="shared" si="623"/>
        <v>24v6</v>
      </c>
      <c r="MR520">
        <f t="shared" si="622"/>
        <v>1</v>
      </c>
      <c r="MS520">
        <f t="shared" si="622"/>
        <v>2</v>
      </c>
    </row>
    <row r="521" spans="1:812" x14ac:dyDescent="0.25">
      <c r="A521" s="83" t="s">
        <v>2684</v>
      </c>
      <c r="B521" s="83" t="s">
        <v>3111</v>
      </c>
      <c r="P521" t="s">
        <v>1873</v>
      </c>
      <c r="T521" s="14" t="s">
        <v>2182</v>
      </c>
      <c r="AC521" t="str">
        <f t="shared" si="613"/>
        <v>A5.12</v>
      </c>
      <c r="AD521" s="46">
        <f t="array" ref="AD521">IF(COUNTIFS(AC$340:AC521,AC521)=1,"1",VALUE(SUBSTITUTE(INDEX(AD:AD,_xlfn.XMATCH(AC521,AC$1:AC520,0,-1)),"A",""))+INDEX(AE:AE,_xlfn.XMATCH(AC521,AC$1:AC520,0,-1))+1)</f>
        <v>5</v>
      </c>
      <c r="AE521" s="46">
        <f t="array" ref="AE521">SUM(IF(ISNUMBER(FIND("TmDi",$BE$1:$AAQ$1)),IF(IFERROR(ISNUMBER(VALUE(SUBSTITUTE($BE521:$AAQ521,"B",""))),FALSE),IF(ISNUMBER(VALUE(SUBSTITUTE($BE521:$AAQ521,"B",""))),1,0),0)))</f>
        <v>0</v>
      </c>
      <c r="AF521" t="str">
        <f t="shared" si="440"/>
        <v>C5</v>
      </c>
      <c r="AG521" t="str">
        <f t="shared" si="441"/>
        <v>B5</v>
      </c>
      <c r="AP521" t="s">
        <v>2184</v>
      </c>
      <c r="AT521" t="s">
        <v>854</v>
      </c>
      <c r="AU521" t="s">
        <v>1399</v>
      </c>
      <c r="LZ521" t="str">
        <f t="shared" si="619"/>
        <v>DI12-C5</v>
      </c>
      <c r="MA521" t="str">
        <f t="shared" si="593"/>
        <v>DI12-B5</v>
      </c>
      <c r="MB521" t="s">
        <v>1895</v>
      </c>
      <c r="MC521" t="s">
        <v>1896</v>
      </c>
      <c r="MD521">
        <f t="shared" si="620"/>
        <v>11</v>
      </c>
      <c r="ME521">
        <f t="shared" si="623"/>
        <v>14</v>
      </c>
      <c r="MF521" t="str">
        <f t="shared" si="623"/>
        <v>A1</v>
      </c>
      <c r="MG521" t="str">
        <f t="shared" si="623"/>
        <v>A2</v>
      </c>
      <c r="MH521" t="str">
        <f t="shared" si="623"/>
        <v>0v3</v>
      </c>
      <c r="MI521" t="str">
        <f t="shared" si="623"/>
        <v>24v3</v>
      </c>
      <c r="MJ521" t="str">
        <f t="shared" si="623"/>
        <v>0v6</v>
      </c>
      <c r="MK521" t="str">
        <f t="shared" si="623"/>
        <v>24v6</v>
      </c>
      <c r="MR521">
        <f t="shared" si="622"/>
        <v>1</v>
      </c>
      <c r="MS521">
        <f t="shared" si="622"/>
        <v>2</v>
      </c>
    </row>
    <row r="522" spans="1:812" s="19" customFormat="1" ht="15.75" thickBot="1" x14ac:dyDescent="0.3">
      <c r="A522" s="88" t="s">
        <v>2685</v>
      </c>
      <c r="B522" s="88" t="s">
        <v>3110</v>
      </c>
      <c r="P522" s="19" t="s">
        <v>1873</v>
      </c>
      <c r="T522" s="17" t="s">
        <v>2182</v>
      </c>
      <c r="AC522" s="19" t="str">
        <f t="shared" si="613"/>
        <v>A5.12</v>
      </c>
      <c r="AD522" s="64">
        <f t="array" ref="AD522">IF(COUNTIFS(AC$340:AC522,AC522)=1,"1",VALUE(SUBSTITUTE(INDEX(AD:AD,_xlfn.XMATCH(AC522,AC$1:AC521,0,-1)),"A",""))+INDEX(AE:AE,_xlfn.XMATCH(AC522,AC$1:AC521,0,-1))+1)</f>
        <v>6</v>
      </c>
      <c r="AE522" s="64">
        <f t="array" ref="AE522">SUM(IF(ISNUMBER(FIND("TmDi",$BE$1:$AAQ$1)),IF(IFERROR(ISNUMBER(VALUE(SUBSTITUTE($BE522:$AAQ522,"B",""))),FALSE),IF(ISNUMBER(VALUE(SUBSTITUTE($BE522:$AAQ522,"B",""))),1,0),0)))</f>
        <v>0</v>
      </c>
      <c r="AF522" s="19" t="str">
        <f t="shared" si="440"/>
        <v>C6</v>
      </c>
      <c r="AG522" s="19" t="str">
        <f t="shared" si="441"/>
        <v>B6</v>
      </c>
      <c r="AI522" s="70"/>
      <c r="AJ522" s="70"/>
      <c r="AP522" s="19" t="s">
        <v>2184</v>
      </c>
      <c r="AT522" s="19" t="s">
        <v>854</v>
      </c>
      <c r="AU522" s="19" t="s">
        <v>1399</v>
      </c>
      <c r="LZ522" s="19" t="str">
        <f t="shared" si="619"/>
        <v>DI12-C6</v>
      </c>
      <c r="MA522" s="19" t="str">
        <f t="shared" si="593"/>
        <v>DI12-B6</v>
      </c>
      <c r="MB522" s="19" t="s">
        <v>1897</v>
      </c>
      <c r="MC522" s="19" t="s">
        <v>1898</v>
      </c>
      <c r="MD522" s="19">
        <f t="shared" si="620"/>
        <v>11</v>
      </c>
      <c r="ME522" s="19">
        <f t="shared" si="623"/>
        <v>14</v>
      </c>
      <c r="MF522" s="19" t="str">
        <f t="shared" si="623"/>
        <v>A1</v>
      </c>
      <c r="MG522" s="19" t="str">
        <f t="shared" si="623"/>
        <v>A2</v>
      </c>
      <c r="MH522" s="19" t="str">
        <f t="shared" si="623"/>
        <v>0v3</v>
      </c>
      <c r="MI522" s="19" t="str">
        <f t="shared" si="623"/>
        <v>24v3</v>
      </c>
      <c r="MJ522" s="19" t="str">
        <f t="shared" si="623"/>
        <v>0v6</v>
      </c>
      <c r="MK522" s="19" t="str">
        <f t="shared" si="623"/>
        <v>24v6</v>
      </c>
      <c r="MR522" s="19">
        <f t="shared" si="622"/>
        <v>1</v>
      </c>
      <c r="MS522" s="19">
        <f t="shared" si="622"/>
        <v>2</v>
      </c>
    </row>
    <row r="523" spans="1:812" x14ac:dyDescent="0.25">
      <c r="A523" s="83" t="s">
        <v>2715</v>
      </c>
      <c r="B523" s="83" t="s">
        <v>2714</v>
      </c>
      <c r="C523" s="3"/>
      <c r="O523" s="2"/>
      <c r="P523" t="s">
        <v>2711</v>
      </c>
      <c r="Q523" s="1"/>
      <c r="S523" s="1" t="s">
        <v>130</v>
      </c>
      <c r="T523" s="14" t="s">
        <v>2713</v>
      </c>
      <c r="U523" s="59">
        <v>1</v>
      </c>
      <c r="V523" s="15" t="s">
        <v>2712</v>
      </c>
      <c r="W523" s="15"/>
      <c r="AC523" t="s">
        <v>131</v>
      </c>
      <c r="AD523" s="43" t="str">
        <f t="array" ref="AD523">IF(COUNTIFS(AC$523:AC523,AC523)=1,"1",VALUE(SUBSTITUTE(INDEX(AD:AD,_xlfn.XMATCH(AC523,AC$1:AC522,0,-1)),"A",""))+INDEX(AE:AE,_xlfn.XMATCH(AC523,AC$1:AC522,0,-1))+1)</f>
        <v>1</v>
      </c>
      <c r="AE523" s="43">
        <f t="array" ref="AE523">SUM(IF(ISNUMBER(FIND("TmDi",$BE$1:$AAQ$1)),IF(IFERROR(ISNUMBER(VALUE(SUBSTITUTE($BE523:$AAQ523,"B",""))),FALSE),IF(ISNUMBER(VALUE(SUBSTITUTE($BE523:$AAQ523,"B",""))),1,0),0)))</f>
        <v>5</v>
      </c>
      <c r="AF523" t="str">
        <f t="shared" si="440"/>
        <v>C1</v>
      </c>
      <c r="AG523" t="str">
        <f t="shared" si="441"/>
        <v>B1</v>
      </c>
      <c r="AH523" t="s">
        <v>132</v>
      </c>
      <c r="AI523" s="69" t="str">
        <f t="array" ref="AI523">IF(COUNTIFS(AH$523:AH523,AH523)=1,"1",VALUE(SUBSTITUTE(INDEX(AI:AI,_xlfn.XMATCH(AH523,AH$1:AH522,0,-1)),"A",""))+INDEX(AJ:AJ,_xlfn.XMATCH(AH523,AH$1:AH522,0,-1))+1)</f>
        <v>1</v>
      </c>
      <c r="AJ523" s="62">
        <f t="array" ref="AJ523">SUM(IF(ISNUMBER(FIND("TmDo",$BE$1:$AAQ$1)),IF(IFERROR(ISNUMBER(VALUE(SUBSTITUTE($BE523:$AAQ523,"B",""))),FALSE),IF(ISNUMBER(VALUE(SUBSTITUTE($BE523:$AAQ523,"B",""))),1,0),0)))</f>
        <v>2</v>
      </c>
      <c r="AK523" t="str">
        <f t="shared" ref="AK523:AK539" si="624">CONCATENATE($AI523,"A")</f>
        <v>1A</v>
      </c>
      <c r="AL523" t="str">
        <f t="shared" ref="AL523:AL539" si="625">CONCATENATE($AI523,"B")</f>
        <v>1B</v>
      </c>
      <c r="AM523" t="s">
        <v>141</v>
      </c>
      <c r="AP523" t="s">
        <v>2716</v>
      </c>
      <c r="AQ523" t="s">
        <v>2717</v>
      </c>
      <c r="AT523" t="s">
        <v>139</v>
      </c>
      <c r="AU523" t="s">
        <v>140</v>
      </c>
      <c r="BD523" s="16"/>
      <c r="BE523" s="27" t="str">
        <f t="shared" ref="BE523:BE529" si="626">CONCATENATE("XT",U523)</f>
        <v>XT1</v>
      </c>
      <c r="BF523" t="str">
        <f t="shared" ref="BF523:BF529" si="627">CONCATENATE("C",REPLACE(AF523,1,1,"")+1)</f>
        <v>C2</v>
      </c>
      <c r="BG523" t="str">
        <f t="shared" ref="BG523:BG529" si="628">CONCATENATE("B",REPLACE(AG523,1,1,"")+1)</f>
        <v>B2</v>
      </c>
      <c r="BH523" t="str">
        <f t="shared" ref="BH523:BH529" si="629">CONCATENATE("C",REPLACE(BF523,1,1,"")+1)</f>
        <v>C3</v>
      </c>
      <c r="BI523" t="str">
        <f t="shared" ref="BI523:BI529" si="630">CONCATENATE("B",REPLACE(BG523,1,1,"")+1)</f>
        <v>B3</v>
      </c>
      <c r="BJ523" t="str">
        <f t="shared" ref="BJ523:BJ529" si="631">CONCATENATE("C",REPLACE(BH523,1,1,"")+1)</f>
        <v>C4</v>
      </c>
      <c r="BK523" t="str">
        <f t="shared" ref="BK523:BK529" si="632">CONCATENATE("B",REPLACE(BI523,1,1,"")+1)</f>
        <v>B4</v>
      </c>
      <c r="BL523" t="str">
        <f>CONCATENATE("C",REPLACE(BJ523,1,1,"")+1)</f>
        <v>C5</v>
      </c>
      <c r="BM523" t="str">
        <f>CONCATENATE("B",REPLACE(BK523,1,1,"")+1)</f>
        <v>B5</v>
      </c>
      <c r="BN523" t="str">
        <f>CONCATENATE("C",REPLACE(BL523,1,1,"")+1)</f>
        <v>C6</v>
      </c>
      <c r="BO523" t="str">
        <f>CONCATENATE("B",REPLACE(BM523,1,1,"")+1)</f>
        <v>B6</v>
      </c>
      <c r="BP523" t="str">
        <f t="shared" ref="BP523:BP529" si="633">CONCATENATE(REPLACE(AK523,LEN(AK523),1,"")+1,"A")</f>
        <v>2A</v>
      </c>
      <c r="BQ523" t="str">
        <f t="shared" ref="BQ523:BQ529" si="634">CONCATENATE(REPLACE(AL523,LEN(AL523),1,"")+1,"B")</f>
        <v>2B</v>
      </c>
      <c r="BR523" t="str">
        <f t="shared" ref="BR523:BR529" si="635">CONCATENATE(REPLACE(BP523,LEN(BP523),1,"")+1,"A")</f>
        <v>3A</v>
      </c>
      <c r="BS523" t="str">
        <f t="shared" ref="BS523:BS529" si="636">CONCATENATE(REPLACE(BQ523,LEN(BQ523),1,"")+1,"B")</f>
        <v>3B</v>
      </c>
      <c r="BT523" t="str">
        <f t="shared" ref="BT523:BU529" si="637">CONCATENATE("DI",REPLACE($AC523,1,3,""),"-",AF523)</f>
        <v>DI1-C1</v>
      </c>
      <c r="BU523" t="str">
        <f t="shared" si="637"/>
        <v>DI1-B1</v>
      </c>
      <c r="BV523" t="str">
        <f t="shared" ref="BV523:CE529" si="638">CONCATENATE("DI",REPLACE($AC523,1,3,""),"-",BF523)</f>
        <v>DI1-C2</v>
      </c>
      <c r="BW523" t="str">
        <f t="shared" si="638"/>
        <v>DI1-B2</v>
      </c>
      <c r="BX523" t="str">
        <f t="shared" si="638"/>
        <v>DI1-C3</v>
      </c>
      <c r="BY523" t="str">
        <f t="shared" si="638"/>
        <v>DI1-B3</v>
      </c>
      <c r="BZ523" t="str">
        <f t="shared" si="638"/>
        <v>DI1-C4</v>
      </c>
      <c r="CA523" t="str">
        <f t="shared" si="638"/>
        <v>DI1-B4</v>
      </c>
      <c r="CB523" t="str">
        <f t="shared" si="638"/>
        <v>DI1-C5</v>
      </c>
      <c r="CC523" t="str">
        <f t="shared" si="638"/>
        <v>DI1-B5</v>
      </c>
      <c r="CD523" t="str">
        <f t="shared" si="638"/>
        <v>DI1-C6</v>
      </c>
      <c r="CE523" t="str">
        <f t="shared" si="638"/>
        <v>DI1-B6</v>
      </c>
      <c r="CF523" t="str">
        <f t="shared" ref="CF523:CG529" si="639">CONCATENATE("DO",REPLACE($AH523,1,3,""),"-",AK523)</f>
        <v>DO1-1A</v>
      </c>
      <c r="CG523" t="str">
        <f t="shared" si="639"/>
        <v>DO1-1B</v>
      </c>
      <c r="CH523" t="str">
        <f t="shared" ref="CH523:CK529" si="640">CONCATENATE("DO",REPLACE($AH523,1,3,""),"-",BP523)</f>
        <v>DO1-2A</v>
      </c>
      <c r="CI523" t="str">
        <f t="shared" si="640"/>
        <v>DO1-2B</v>
      </c>
      <c r="CJ523" t="str">
        <f t="shared" si="640"/>
        <v>DO1-3A</v>
      </c>
      <c r="CK523" t="str">
        <f t="shared" si="640"/>
        <v>DO1-3B</v>
      </c>
      <c r="CL523" t="str">
        <f t="shared" ref="CL523:CL529" si="641">CONCATENATE("K",$U523,"-10")</f>
        <v>K1-10</v>
      </c>
      <c r="CM523" t="str">
        <f t="shared" ref="CM523:CM529" si="642">CONCATENATE("K",$U523,"-03")</f>
        <v>K1-03</v>
      </c>
      <c r="CN523" t="str">
        <f t="shared" ref="CN523:CN529" si="643">CONCATENATE("K",$U523,"-04")</f>
        <v>K1-04</v>
      </c>
      <c r="CO523" t="str">
        <f t="shared" ref="CO523:CO529" si="644">CONCATENATE("K",$U523,"-01")</f>
        <v>K1-01</v>
      </c>
      <c r="CP523" t="str">
        <f t="shared" ref="CP523:CP529" si="645">CONCATENATE("K",$U523,"-08")</f>
        <v>K1-08</v>
      </c>
      <c r="CQ523" t="str">
        <f t="shared" ref="CQ523:CQ529" si="646">CONCATENATE("K",$U523,"-02")</f>
        <v>K1-02</v>
      </c>
      <c r="CR523" t="str">
        <f t="shared" ref="CR523:CR529" si="647">CONCATENATE("K",$U523,"-09")</f>
        <v>K1-09</v>
      </c>
      <c r="CS523" t="str">
        <f t="shared" ref="CS523:CS529" si="648">CONCATENATE("K",$U523,"-05")</f>
        <v>K1-05</v>
      </c>
      <c r="CT523" t="str">
        <f t="shared" ref="CT523:CT529" si="649">CONCATENATE("K",$U523,"-11")</f>
        <v>K1-11</v>
      </c>
      <c r="CU523" t="str">
        <f t="shared" ref="CU523:CU529" si="650">CONCATENATE($T523,"-M",$U523,"-A9")</f>
        <v>N2-M1-A9</v>
      </c>
      <c r="CV523" t="str">
        <f t="shared" ref="CV523:CV529" si="651">CONCATENATE($T523,"-M",$U523,"-A7")</f>
        <v>N2-M1-A7</v>
      </c>
      <c r="CW523" t="str">
        <f t="shared" ref="CW523:CW529" si="652">CONCATENATE($T523,"-M",$U523,"-A8")</f>
        <v>N2-M1-A8</v>
      </c>
      <c r="CX523" t="str">
        <f t="shared" ref="CX523:CX529" si="653">CONCATENATE($T523,"-M",$U523,"-A6")</f>
        <v>N2-M1-A6</v>
      </c>
      <c r="CY523" t="str">
        <f t="shared" ref="CY523:CY529" si="654">CONCATENATE($T523,"-M",$U523,"-A30")</f>
        <v>N2-M1-A30</v>
      </c>
      <c r="CZ523" t="str">
        <f t="shared" ref="CZ523:CZ529" si="655">CONCATENATE($T523,"-M",$U523,"-N")</f>
        <v>N2-M1-N</v>
      </c>
      <c r="DA523" t="str">
        <f t="shared" ref="DA523:DA529" si="656">CONCATENATE($T523,"-A220-M",U523)</f>
        <v>N2-A220-M1</v>
      </c>
      <c r="DB523" t="str">
        <f t="shared" ref="DB523:DB529" si="657">CONCATENATE($T523,"-M",$U523,"-XM01")</f>
        <v>N2-M1-XM01</v>
      </c>
      <c r="DC523" t="str">
        <f t="shared" ref="DC523:DC529" si="658">CONCATENATE($T523,"-M",$U523,"-A1")</f>
        <v>N2-M1-A1</v>
      </c>
      <c r="DD523" t="str">
        <f t="shared" ref="DD523:DD529" si="659">CONCATENATE($T523,"-M",$U523,"-A5")</f>
        <v>N2-M1-A5</v>
      </c>
      <c r="DE523" t="str">
        <f t="shared" ref="DE523:DE529" si="660">CONCATENATE($T523,"-M",$U523,"-A11")</f>
        <v>N2-M1-A11</v>
      </c>
      <c r="DF523" t="str">
        <f t="shared" ref="DF523:DF529" si="661">CONCATENATE($T523,"-M",$U523,"-A12")</f>
        <v>N2-M1-A12</v>
      </c>
      <c r="DG523" t="str">
        <f>CONCATENATE($T523,"-M",$U523,"-A20")</f>
        <v>N2-M1-A20</v>
      </c>
      <c r="DH523" t="str">
        <f>CONCATENATE($T523,"-M",$U523,"-A19")</f>
        <v>N2-M1-A19</v>
      </c>
      <c r="DI523" t="s">
        <v>142</v>
      </c>
      <c r="DJ523" t="s">
        <v>143</v>
      </c>
      <c r="DK523">
        <v>11</v>
      </c>
      <c r="DL523">
        <v>14</v>
      </c>
      <c r="DM523">
        <v>12</v>
      </c>
      <c r="DN523" t="s">
        <v>144</v>
      </c>
      <c r="DO523" t="s">
        <v>145</v>
      </c>
      <c r="DP523">
        <v>1</v>
      </c>
      <c r="DQ523">
        <v>2</v>
      </c>
      <c r="DR523">
        <v>3</v>
      </c>
      <c r="DS523">
        <v>4</v>
      </c>
      <c r="DT523">
        <v>5</v>
      </c>
      <c r="DU523">
        <v>6</v>
      </c>
      <c r="DV523">
        <v>7</v>
      </c>
      <c r="DW523">
        <v>8</v>
      </c>
      <c r="DX523">
        <v>9</v>
      </c>
      <c r="DY523">
        <v>10</v>
      </c>
      <c r="DZ523">
        <v>11</v>
      </c>
      <c r="EA523">
        <v>12</v>
      </c>
      <c r="EB523">
        <v>13</v>
      </c>
      <c r="EC523">
        <v>14</v>
      </c>
      <c r="ED523">
        <v>1</v>
      </c>
      <c r="EE523">
        <v>3</v>
      </c>
      <c r="EF523">
        <v>4</v>
      </c>
      <c r="EG523">
        <v>7</v>
      </c>
      <c r="EH523">
        <v>8</v>
      </c>
      <c r="EI523">
        <v>9</v>
      </c>
      <c r="EJ523">
        <v>10</v>
      </c>
      <c r="EK523">
        <v>13</v>
      </c>
      <c r="EL523">
        <v>15</v>
      </c>
      <c r="EM523">
        <v>16</v>
      </c>
      <c r="EN523">
        <v>22</v>
      </c>
      <c r="EO523">
        <v>23</v>
      </c>
      <c r="EP523">
        <v>24</v>
      </c>
      <c r="EQ523" s="16"/>
      <c r="MA523" t="str">
        <f t="shared" si="593"/>
        <v>DI1-B1</v>
      </c>
    </row>
    <row r="524" spans="1:812" x14ac:dyDescent="0.25">
      <c r="A524" s="83" t="s">
        <v>2720</v>
      </c>
      <c r="B524" s="83" t="s">
        <v>2719</v>
      </c>
      <c r="C524" s="3"/>
      <c r="O524" s="2"/>
      <c r="P524" t="s">
        <v>2711</v>
      </c>
      <c r="Q524" s="1"/>
      <c r="S524" s="1" t="s">
        <v>130</v>
      </c>
      <c r="T524" s="14" t="s">
        <v>2713</v>
      </c>
      <c r="U524" s="59">
        <v>2</v>
      </c>
      <c r="V524" s="15" t="s">
        <v>2718</v>
      </c>
      <c r="W524" s="15"/>
      <c r="AC524" t="str">
        <f t="shared" ref="AC524:AC529" si="662">IF(AD523+AE523&gt;29,REPLACE(AC523,LEN(AC523),1,VALUE(RIGHT(AC523,1))+1),AC523)</f>
        <v>A5.1</v>
      </c>
      <c r="AD524" s="43">
        <f t="array" ref="AD524">IF(COUNTIFS(AC$523:AC524,AC524)=1,"1",VALUE(SUBSTITUTE(INDEX(AD:AD,_xlfn.XMATCH(AC524,AC$1:AC523,0,-1)),"A",""))+INDEX(AE:AE,_xlfn.XMATCH(AC524,AC$1:AC523,0,-1))+1)</f>
        <v>7</v>
      </c>
      <c r="AE524" s="43">
        <f t="array" ref="AE524">SUM(IF(ISNUMBER(FIND("TmDi",$BE$1:$AAQ$1)),IF(IFERROR(ISNUMBER(VALUE(SUBSTITUTE($BE524:$AAQ524,"B",""))),FALSE),IF(ISNUMBER(VALUE(SUBSTITUTE($BE524:$AAQ524,"B",""))),1,0),0)))</f>
        <v>5</v>
      </c>
      <c r="AF524" t="str">
        <f t="shared" si="440"/>
        <v>C7</v>
      </c>
      <c r="AG524" t="str">
        <f t="shared" si="441"/>
        <v>B7</v>
      </c>
      <c r="AH524" t="str">
        <f t="shared" ref="AH524:AH529" si="663">IF(AI523+AJ523&gt;27,REPLACE(AH523,LEN(AH523),1,VALUE(RIGHT(AH523,1))+1),AH523)</f>
        <v>A6.1</v>
      </c>
      <c r="AI524" s="69">
        <f t="array" ref="AI524">IF(COUNTIFS(AH$523:AH524,AH524)=1,"1",VALUE(SUBSTITUTE(INDEX(AI:AI,_xlfn.XMATCH(AH524,AH$1:AH523,0,-1)),"A",""))+INDEX(AJ:AJ,_xlfn.XMATCH(AH524,AH$1:AH523,0,-1))+1)</f>
        <v>4</v>
      </c>
      <c r="AJ524" s="62">
        <f t="array" ref="AJ524">SUM(IF(ISNUMBER(FIND("TmDo",$BE$1:$AAQ$1)),IF(IFERROR(ISNUMBER(VALUE(SUBSTITUTE($BE524:$AAQ524,"B",""))),FALSE),IF(ISNUMBER(VALUE(SUBSTITUTE($BE524:$AAQ524,"B",""))),1,0),0)))</f>
        <v>2</v>
      </c>
      <c r="AK524" t="str">
        <f t="shared" si="624"/>
        <v>4A</v>
      </c>
      <c r="AL524" t="str">
        <f t="shared" si="625"/>
        <v>4B</v>
      </c>
      <c r="AM524" t="s">
        <v>150</v>
      </c>
      <c r="AP524" t="s">
        <v>2716</v>
      </c>
      <c r="AQ524" t="s">
        <v>2717</v>
      </c>
      <c r="AT524" t="s">
        <v>139</v>
      </c>
      <c r="AU524" t="s">
        <v>140</v>
      </c>
      <c r="BD524" s="16"/>
      <c r="BE524" s="27" t="str">
        <f t="shared" si="626"/>
        <v>XT2</v>
      </c>
      <c r="BF524" t="str">
        <f t="shared" si="627"/>
        <v>C8</v>
      </c>
      <c r="BG524" t="str">
        <f t="shared" si="628"/>
        <v>B8</v>
      </c>
      <c r="BH524" t="str">
        <f t="shared" si="629"/>
        <v>C9</v>
      </c>
      <c r="BI524" t="str">
        <f t="shared" si="630"/>
        <v>B9</v>
      </c>
      <c r="BJ524" t="str">
        <f t="shared" si="631"/>
        <v>C10</v>
      </c>
      <c r="BK524" t="str">
        <f t="shared" si="632"/>
        <v>B10</v>
      </c>
      <c r="BL524" t="str">
        <f>CONCATENATE("C",REPLACE(BJ524,1,1,"")+1)</f>
        <v>C11</v>
      </c>
      <c r="BM524" t="str">
        <f>CONCATENATE("B",REPLACE(BK524,1,1,"")+1)</f>
        <v>B11</v>
      </c>
      <c r="BN524" t="str">
        <f>CONCATENATE("C",REPLACE(BL524,1,1,"")+1)</f>
        <v>C12</v>
      </c>
      <c r="BO524" t="str">
        <f>CONCATENATE("B",REPLACE(BM524,1,1,"")+1)</f>
        <v>B12</v>
      </c>
      <c r="BP524" t="str">
        <f t="shared" si="633"/>
        <v>5A</v>
      </c>
      <c r="BQ524" t="str">
        <f t="shared" si="634"/>
        <v>5B</v>
      </c>
      <c r="BR524" t="str">
        <f t="shared" si="635"/>
        <v>6A</v>
      </c>
      <c r="BS524" t="str">
        <f t="shared" si="636"/>
        <v>6B</v>
      </c>
      <c r="BT524" t="str">
        <f t="shared" si="637"/>
        <v>DI1-C7</v>
      </c>
      <c r="BU524" t="str">
        <f t="shared" si="637"/>
        <v>DI1-B7</v>
      </c>
      <c r="BV524" t="str">
        <f t="shared" si="638"/>
        <v>DI1-C8</v>
      </c>
      <c r="BW524" t="str">
        <f t="shared" si="638"/>
        <v>DI1-B8</v>
      </c>
      <c r="BX524" t="str">
        <f t="shared" si="638"/>
        <v>DI1-C9</v>
      </c>
      <c r="BY524" t="str">
        <f t="shared" si="638"/>
        <v>DI1-B9</v>
      </c>
      <c r="BZ524" t="str">
        <f t="shared" si="638"/>
        <v>DI1-C10</v>
      </c>
      <c r="CA524" t="str">
        <f t="shared" si="638"/>
        <v>DI1-B10</v>
      </c>
      <c r="CB524" t="str">
        <f t="shared" si="638"/>
        <v>DI1-C11</v>
      </c>
      <c r="CC524" t="str">
        <f t="shared" si="638"/>
        <v>DI1-B11</v>
      </c>
      <c r="CD524" t="str">
        <f t="shared" si="638"/>
        <v>DI1-C12</v>
      </c>
      <c r="CE524" t="str">
        <f t="shared" si="638"/>
        <v>DI1-B12</v>
      </c>
      <c r="CF524" t="str">
        <f t="shared" si="639"/>
        <v>DO1-4A</v>
      </c>
      <c r="CG524" t="str">
        <f t="shared" si="639"/>
        <v>DO1-4B</v>
      </c>
      <c r="CH524" t="str">
        <f t="shared" si="640"/>
        <v>DO1-5A</v>
      </c>
      <c r="CI524" t="str">
        <f t="shared" si="640"/>
        <v>DO1-5B</v>
      </c>
      <c r="CJ524" t="str">
        <f t="shared" si="640"/>
        <v>DO1-6A</v>
      </c>
      <c r="CK524" t="str">
        <f t="shared" si="640"/>
        <v>DO1-6B</v>
      </c>
      <c r="CL524" t="str">
        <f t="shared" si="641"/>
        <v>K2-10</v>
      </c>
      <c r="CM524" t="str">
        <f t="shared" si="642"/>
        <v>K2-03</v>
      </c>
      <c r="CN524" t="str">
        <f t="shared" si="643"/>
        <v>K2-04</v>
      </c>
      <c r="CO524" t="str">
        <f t="shared" si="644"/>
        <v>K2-01</v>
      </c>
      <c r="CP524" t="str">
        <f t="shared" si="645"/>
        <v>K2-08</v>
      </c>
      <c r="CQ524" t="str">
        <f t="shared" si="646"/>
        <v>K2-02</v>
      </c>
      <c r="CR524" t="str">
        <f t="shared" si="647"/>
        <v>K2-09</v>
      </c>
      <c r="CS524" t="str">
        <f t="shared" si="648"/>
        <v>K2-05</v>
      </c>
      <c r="CT524" t="str">
        <f t="shared" si="649"/>
        <v>K2-11</v>
      </c>
      <c r="CU524" t="str">
        <f t="shared" si="650"/>
        <v>N2-M2-A9</v>
      </c>
      <c r="CV524" t="str">
        <f t="shared" si="651"/>
        <v>N2-M2-A7</v>
      </c>
      <c r="CW524" t="str">
        <f t="shared" si="652"/>
        <v>N2-M2-A8</v>
      </c>
      <c r="CX524" t="str">
        <f t="shared" si="653"/>
        <v>N2-M2-A6</v>
      </c>
      <c r="CY524" t="str">
        <f t="shared" si="654"/>
        <v>N2-M2-A30</v>
      </c>
      <c r="CZ524" t="str">
        <f t="shared" si="655"/>
        <v>N2-M2-N</v>
      </c>
      <c r="DA524" t="str">
        <f t="shared" si="656"/>
        <v>N2-A220-M2</v>
      </c>
      <c r="DB524" t="str">
        <f t="shared" si="657"/>
        <v>N2-M2-XM01</v>
      </c>
      <c r="DC524" t="str">
        <f t="shared" si="658"/>
        <v>N2-M2-A1</v>
      </c>
      <c r="DD524" t="str">
        <f t="shared" si="659"/>
        <v>N2-M2-A5</v>
      </c>
      <c r="DE524" t="str">
        <f t="shared" si="660"/>
        <v>N2-M2-A11</v>
      </c>
      <c r="DF524" t="str">
        <f t="shared" si="661"/>
        <v>N2-M2-A12</v>
      </c>
      <c r="DG524" t="str">
        <f>CONCATENATE($T524,"-M",$U524,"-A20")</f>
        <v>N2-M2-A20</v>
      </c>
      <c r="DH524" t="str">
        <f>CONCATENATE($T524,"-M",$U524,"-A19")</f>
        <v>N2-M2-A19</v>
      </c>
      <c r="DI524" t="s">
        <v>142</v>
      </c>
      <c r="DJ524" t="s">
        <v>143</v>
      </c>
      <c r="DK524">
        <v>11</v>
      </c>
      <c r="DL524">
        <v>14</v>
      </c>
      <c r="DM524">
        <v>12</v>
      </c>
      <c r="DN524" t="s">
        <v>144</v>
      </c>
      <c r="DO524" t="s">
        <v>145</v>
      </c>
      <c r="DP524">
        <v>1</v>
      </c>
      <c r="DQ524">
        <v>2</v>
      </c>
      <c r="DR524">
        <v>3</v>
      </c>
      <c r="DS524">
        <v>4</v>
      </c>
      <c r="DT524">
        <v>5</v>
      </c>
      <c r="DU524">
        <v>6</v>
      </c>
      <c r="DV524">
        <v>7</v>
      </c>
      <c r="DW524">
        <v>8</v>
      </c>
      <c r="DX524">
        <v>9</v>
      </c>
      <c r="DY524">
        <v>10</v>
      </c>
      <c r="DZ524">
        <v>11</v>
      </c>
      <c r="EA524">
        <v>12</v>
      </c>
      <c r="EB524">
        <v>13</v>
      </c>
      <c r="EC524">
        <v>14</v>
      </c>
      <c r="ED524">
        <v>1</v>
      </c>
      <c r="EE524">
        <v>3</v>
      </c>
      <c r="EF524">
        <v>4</v>
      </c>
      <c r="EG524">
        <v>7</v>
      </c>
      <c r="EH524">
        <v>8</v>
      </c>
      <c r="EI524">
        <v>9</v>
      </c>
      <c r="EJ524">
        <v>10</v>
      </c>
      <c r="EK524">
        <v>13</v>
      </c>
      <c r="EL524">
        <v>15</v>
      </c>
      <c r="EM524">
        <v>16</v>
      </c>
      <c r="EN524">
        <v>22</v>
      </c>
      <c r="EO524">
        <v>23</v>
      </c>
      <c r="EP524">
        <v>24</v>
      </c>
      <c r="EQ524" s="16"/>
      <c r="MA524" t="str">
        <f t="shared" si="593"/>
        <v>DI1-B7</v>
      </c>
    </row>
    <row r="525" spans="1:812" x14ac:dyDescent="0.25">
      <c r="A525" s="83" t="s">
        <v>2722</v>
      </c>
      <c r="B525" s="83" t="s">
        <v>2721</v>
      </c>
      <c r="C525" s="3"/>
      <c r="O525" s="2"/>
      <c r="P525" t="s">
        <v>2711</v>
      </c>
      <c r="Q525" s="1"/>
      <c r="S525" s="1" t="s">
        <v>130</v>
      </c>
      <c r="T525" s="14" t="s">
        <v>2713</v>
      </c>
      <c r="U525" s="59">
        <v>3</v>
      </c>
      <c r="V525" s="15" t="s">
        <v>2723</v>
      </c>
      <c r="W525" s="15"/>
      <c r="AC525" t="str">
        <f t="shared" si="662"/>
        <v>A5.1</v>
      </c>
      <c r="AD525" s="43">
        <f t="array" ref="AD525">IF(COUNTIFS(AC$523:AC525,AC525)=1,"1",VALUE(SUBSTITUTE(INDEX(AD:AD,_xlfn.XMATCH(AC525,AC$1:AC524,0,-1)),"A",""))+INDEX(AE:AE,_xlfn.XMATCH(AC525,AC$1:AC524,0,-1))+1)</f>
        <v>13</v>
      </c>
      <c r="AE525" s="43">
        <f t="array" ref="AE525">SUM(IF(ISNUMBER(FIND("TmDi",$BE$1:$AAQ$1)),IF(IFERROR(ISNUMBER(VALUE(SUBSTITUTE($BE525:$AAQ525,"B",""))),FALSE),IF(ISNUMBER(VALUE(SUBSTITUTE($BE525:$AAQ525,"B",""))),1,0),0)))</f>
        <v>5</v>
      </c>
      <c r="AF525" t="str">
        <f t="shared" si="440"/>
        <v>C13</v>
      </c>
      <c r="AG525" t="str">
        <f t="shared" si="441"/>
        <v>B13</v>
      </c>
      <c r="AH525" t="str">
        <f t="shared" si="663"/>
        <v>A6.1</v>
      </c>
      <c r="AI525" s="69">
        <f t="array" ref="AI525">IF(COUNTIFS(AH$523:AH525,AH525)=1,"1",VALUE(SUBSTITUTE(INDEX(AI:AI,_xlfn.XMATCH(AH525,AH$1:AH524,0,-1)),"A",""))+INDEX(AJ:AJ,_xlfn.XMATCH(AH525,AH$1:AH524,0,-1))+1)</f>
        <v>7</v>
      </c>
      <c r="AJ525" s="62">
        <f t="array" ref="AJ525">SUM(IF(ISNUMBER(FIND("TmDo",$BE$1:$AAQ$1)),IF(IFERROR(ISNUMBER(VALUE(SUBSTITUTE($BE525:$AAQ525,"B",""))),FALSE),IF(ISNUMBER(VALUE(SUBSTITUTE($BE525:$AAQ525,"B",""))),1,0),0)))</f>
        <v>2</v>
      </c>
      <c r="AK525" t="str">
        <f t="shared" si="624"/>
        <v>7A</v>
      </c>
      <c r="AL525" t="str">
        <f t="shared" si="625"/>
        <v>7B</v>
      </c>
      <c r="AM525" t="s">
        <v>155</v>
      </c>
      <c r="AP525" t="s">
        <v>2716</v>
      </c>
      <c r="AQ525" t="s">
        <v>2717</v>
      </c>
      <c r="AT525" t="s">
        <v>139</v>
      </c>
      <c r="AU525" t="s">
        <v>140</v>
      </c>
      <c r="BD525" s="16"/>
      <c r="BE525" s="27" t="str">
        <f t="shared" si="626"/>
        <v>XT3</v>
      </c>
      <c r="BF525" t="str">
        <f t="shared" si="627"/>
        <v>C14</v>
      </c>
      <c r="BG525" t="str">
        <f t="shared" si="628"/>
        <v>B14</v>
      </c>
      <c r="BH525" t="str">
        <f t="shared" si="629"/>
        <v>C15</v>
      </c>
      <c r="BI525" t="str">
        <f t="shared" si="630"/>
        <v>B15</v>
      </c>
      <c r="BJ525" t="str">
        <f t="shared" si="631"/>
        <v>C16</v>
      </c>
      <c r="BK525" t="str">
        <f t="shared" si="632"/>
        <v>B16</v>
      </c>
      <c r="BL525" t="str">
        <f>CONCATENATE("C",REPLACE(BJ525,1,1,"")+1)</f>
        <v>C17</v>
      </c>
      <c r="BM525" t="str">
        <f>CONCATENATE("B",REPLACE(BK525,1,1,"")+1)</f>
        <v>B17</v>
      </c>
      <c r="BN525" t="str">
        <f>CONCATENATE("C",REPLACE(BL525,1,1,"")+1)</f>
        <v>C18</v>
      </c>
      <c r="BO525" t="str">
        <f>CONCATENATE("B",REPLACE(BM525,1,1,"")+1)</f>
        <v>B18</v>
      </c>
      <c r="BP525" t="str">
        <f t="shared" si="633"/>
        <v>8A</v>
      </c>
      <c r="BQ525" t="str">
        <f t="shared" si="634"/>
        <v>8B</v>
      </c>
      <c r="BR525" t="str">
        <f t="shared" si="635"/>
        <v>9A</v>
      </c>
      <c r="BS525" t="str">
        <f t="shared" si="636"/>
        <v>9B</v>
      </c>
      <c r="BT525" t="str">
        <f t="shared" si="637"/>
        <v>DI1-C13</v>
      </c>
      <c r="BU525" t="str">
        <f t="shared" si="637"/>
        <v>DI1-B13</v>
      </c>
      <c r="BV525" t="str">
        <f t="shared" si="638"/>
        <v>DI1-C14</v>
      </c>
      <c r="BW525" t="str">
        <f t="shared" si="638"/>
        <v>DI1-B14</v>
      </c>
      <c r="BX525" t="str">
        <f t="shared" si="638"/>
        <v>DI1-C15</v>
      </c>
      <c r="BY525" t="str">
        <f t="shared" si="638"/>
        <v>DI1-B15</v>
      </c>
      <c r="BZ525" t="str">
        <f t="shared" si="638"/>
        <v>DI1-C16</v>
      </c>
      <c r="CA525" t="str">
        <f t="shared" si="638"/>
        <v>DI1-B16</v>
      </c>
      <c r="CB525" t="str">
        <f t="shared" si="638"/>
        <v>DI1-C17</v>
      </c>
      <c r="CC525" t="str">
        <f t="shared" si="638"/>
        <v>DI1-B17</v>
      </c>
      <c r="CD525" t="str">
        <f t="shared" si="638"/>
        <v>DI1-C18</v>
      </c>
      <c r="CE525" t="str">
        <f t="shared" si="638"/>
        <v>DI1-B18</v>
      </c>
      <c r="CF525" t="str">
        <f t="shared" si="639"/>
        <v>DO1-7A</v>
      </c>
      <c r="CG525" t="str">
        <f t="shared" si="639"/>
        <v>DO1-7B</v>
      </c>
      <c r="CH525" t="str">
        <f t="shared" si="640"/>
        <v>DO1-8A</v>
      </c>
      <c r="CI525" t="str">
        <f t="shared" si="640"/>
        <v>DO1-8B</v>
      </c>
      <c r="CJ525" t="str">
        <f t="shared" si="640"/>
        <v>DO1-9A</v>
      </c>
      <c r="CK525" t="str">
        <f t="shared" si="640"/>
        <v>DO1-9B</v>
      </c>
      <c r="CL525" t="str">
        <f t="shared" si="641"/>
        <v>K3-10</v>
      </c>
      <c r="CM525" t="str">
        <f t="shared" si="642"/>
        <v>K3-03</v>
      </c>
      <c r="CN525" t="str">
        <f t="shared" si="643"/>
        <v>K3-04</v>
      </c>
      <c r="CO525" t="str">
        <f t="shared" si="644"/>
        <v>K3-01</v>
      </c>
      <c r="CP525" t="str">
        <f t="shared" si="645"/>
        <v>K3-08</v>
      </c>
      <c r="CQ525" t="str">
        <f t="shared" si="646"/>
        <v>K3-02</v>
      </c>
      <c r="CR525" t="str">
        <f t="shared" si="647"/>
        <v>K3-09</v>
      </c>
      <c r="CS525" t="str">
        <f t="shared" si="648"/>
        <v>K3-05</v>
      </c>
      <c r="CT525" t="str">
        <f t="shared" si="649"/>
        <v>K3-11</v>
      </c>
      <c r="CU525" t="str">
        <f t="shared" si="650"/>
        <v>N2-M3-A9</v>
      </c>
      <c r="CV525" t="str">
        <f t="shared" si="651"/>
        <v>N2-M3-A7</v>
      </c>
      <c r="CW525" t="str">
        <f t="shared" si="652"/>
        <v>N2-M3-A8</v>
      </c>
      <c r="CX525" t="str">
        <f t="shared" si="653"/>
        <v>N2-M3-A6</v>
      </c>
      <c r="CY525" t="str">
        <f t="shared" si="654"/>
        <v>N2-M3-A30</v>
      </c>
      <c r="CZ525" t="str">
        <f t="shared" si="655"/>
        <v>N2-M3-N</v>
      </c>
      <c r="DA525" t="str">
        <f t="shared" si="656"/>
        <v>N2-A220-M3</v>
      </c>
      <c r="DB525" t="str">
        <f t="shared" si="657"/>
        <v>N2-M3-XM01</v>
      </c>
      <c r="DC525" t="str">
        <f t="shared" si="658"/>
        <v>N2-M3-A1</v>
      </c>
      <c r="DD525" t="str">
        <f t="shared" si="659"/>
        <v>N2-M3-A5</v>
      </c>
      <c r="DE525" t="str">
        <f t="shared" si="660"/>
        <v>N2-M3-A11</v>
      </c>
      <c r="DF525" t="str">
        <f t="shared" si="661"/>
        <v>N2-M3-A12</v>
      </c>
      <c r="DG525" t="str">
        <f>CONCATENATE($T525,"-M",$U525,"-A20")</f>
        <v>N2-M3-A20</v>
      </c>
      <c r="DH525" t="str">
        <f>CONCATENATE($T525,"-M",$U525,"-A19")</f>
        <v>N2-M3-A19</v>
      </c>
      <c r="DI525" t="s">
        <v>142</v>
      </c>
      <c r="DJ525" t="s">
        <v>143</v>
      </c>
      <c r="DK525">
        <v>11</v>
      </c>
      <c r="DL525">
        <v>14</v>
      </c>
      <c r="DM525">
        <v>12</v>
      </c>
      <c r="DN525" t="s">
        <v>144</v>
      </c>
      <c r="DO525" t="s">
        <v>145</v>
      </c>
      <c r="DP525">
        <v>1</v>
      </c>
      <c r="DQ525">
        <v>2</v>
      </c>
      <c r="DR525">
        <v>3</v>
      </c>
      <c r="DS525">
        <v>4</v>
      </c>
      <c r="DT525">
        <v>5</v>
      </c>
      <c r="DU525">
        <v>6</v>
      </c>
      <c r="DV525">
        <v>7</v>
      </c>
      <c r="DW525">
        <v>8</v>
      </c>
      <c r="DX525">
        <v>9</v>
      </c>
      <c r="DY525">
        <v>10</v>
      </c>
      <c r="DZ525">
        <v>11</v>
      </c>
      <c r="EA525">
        <v>12</v>
      </c>
      <c r="EB525">
        <v>13</v>
      </c>
      <c r="EC525">
        <v>14</v>
      </c>
      <c r="ED525">
        <v>1</v>
      </c>
      <c r="EE525">
        <v>3</v>
      </c>
      <c r="EF525">
        <v>4</v>
      </c>
      <c r="EG525">
        <v>7</v>
      </c>
      <c r="EH525">
        <v>8</v>
      </c>
      <c r="EI525">
        <v>9</v>
      </c>
      <c r="EJ525">
        <v>10</v>
      </c>
      <c r="EK525">
        <v>13</v>
      </c>
      <c r="EL525">
        <v>15</v>
      </c>
      <c r="EM525">
        <v>16</v>
      </c>
      <c r="EN525">
        <v>22</v>
      </c>
      <c r="EO525">
        <v>23</v>
      </c>
      <c r="EP525">
        <v>24</v>
      </c>
      <c r="EQ525" s="16"/>
      <c r="MA525" t="str">
        <f t="shared" si="593"/>
        <v>DI1-B13</v>
      </c>
    </row>
    <row r="526" spans="1:812" x14ac:dyDescent="0.25">
      <c r="A526" s="83" t="s">
        <v>2726</v>
      </c>
      <c r="B526" s="83" t="s">
        <v>2725</v>
      </c>
      <c r="C526" s="3"/>
      <c r="O526" s="2"/>
      <c r="P526" t="s">
        <v>2727</v>
      </c>
      <c r="Q526" s="1"/>
      <c r="S526" s="1" t="s">
        <v>130</v>
      </c>
      <c r="T526" s="14" t="s">
        <v>2713</v>
      </c>
      <c r="U526" s="59">
        <v>4</v>
      </c>
      <c r="V526" s="15" t="s">
        <v>2724</v>
      </c>
      <c r="W526" s="15"/>
      <c r="AC526" t="str">
        <f t="shared" si="662"/>
        <v>A5.1</v>
      </c>
      <c r="AD526" s="43">
        <f t="array" ref="AD526">IF(COUNTIFS(AC$523:AC526,AC526)=1,"1",VALUE(SUBSTITUTE(INDEX(AD:AD,_xlfn.XMATCH(AC526,AC$1:AC525,0,-1)),"A",""))+INDEX(AE:AE,_xlfn.XMATCH(AC526,AC$1:AC525,0,-1))+1)</f>
        <v>19</v>
      </c>
      <c r="AE526" s="43">
        <f t="array" ref="AE526">SUM(IF(ISNUMBER(FIND("TmDi",$BE$1:$AAQ$1)),IF(IFERROR(ISNUMBER(VALUE(SUBSTITUTE($BE526:$AAQ526,"B",""))),FALSE),IF(ISNUMBER(VALUE(SUBSTITUTE($BE526:$AAQ526,"B",""))),1,0),0)))</f>
        <v>3</v>
      </c>
      <c r="AF526" t="str">
        <f t="shared" si="440"/>
        <v>C19</v>
      </c>
      <c r="AG526" t="str">
        <f t="shared" si="441"/>
        <v>B19</v>
      </c>
      <c r="AH526" t="str">
        <f t="shared" si="663"/>
        <v>A6.1</v>
      </c>
      <c r="AI526" s="69">
        <f t="array" ref="AI526">IF(COUNTIFS(AH$523:AH526,AH526)=1,"1",VALUE(SUBSTITUTE(INDEX(AI:AI,_xlfn.XMATCH(AH526,AH$1:AH525,0,-1)),"A",""))+INDEX(AJ:AJ,_xlfn.XMATCH(AH526,AH$1:AH525,0,-1))+1)</f>
        <v>10</v>
      </c>
      <c r="AJ526" s="62">
        <f t="array" ref="AJ526">SUM(IF(ISNUMBER(FIND("TmDo",$BE$1:$AAQ$1)),IF(IFERROR(ISNUMBER(VALUE(SUBSTITUTE($BE526:$AAQ526,"B",""))),FALSE),IF(ISNUMBER(VALUE(SUBSTITUTE($BE526:$AAQ526,"B",""))),1,0),0)))</f>
        <v>2</v>
      </c>
      <c r="AK526" t="str">
        <f t="shared" si="624"/>
        <v>10A</v>
      </c>
      <c r="AL526" t="str">
        <f t="shared" si="625"/>
        <v>10B</v>
      </c>
      <c r="AM526" t="s">
        <v>158</v>
      </c>
      <c r="AP526" t="s">
        <v>2716</v>
      </c>
      <c r="AQ526" t="s">
        <v>2717</v>
      </c>
      <c r="AT526" t="s">
        <v>139</v>
      </c>
      <c r="AU526" t="s">
        <v>140</v>
      </c>
      <c r="BD526" s="16"/>
      <c r="BE526" s="27" t="str">
        <f t="shared" si="626"/>
        <v>XT4</v>
      </c>
      <c r="BF526" t="str">
        <f t="shared" si="627"/>
        <v>C20</v>
      </c>
      <c r="BG526" t="str">
        <f t="shared" si="628"/>
        <v>B20</v>
      </c>
      <c r="BH526" t="str">
        <f t="shared" si="629"/>
        <v>C21</v>
      </c>
      <c r="BI526" t="str">
        <f t="shared" si="630"/>
        <v>B21</v>
      </c>
      <c r="BJ526" t="str">
        <f t="shared" si="631"/>
        <v>C22</v>
      </c>
      <c r="BK526" t="str">
        <f t="shared" si="632"/>
        <v>B22</v>
      </c>
      <c r="BP526" t="str">
        <f t="shared" si="633"/>
        <v>11A</v>
      </c>
      <c r="BQ526" t="str">
        <f t="shared" si="634"/>
        <v>11B</v>
      </c>
      <c r="BR526" t="str">
        <f t="shared" si="635"/>
        <v>12A</v>
      </c>
      <c r="BS526" t="str">
        <f t="shared" si="636"/>
        <v>12B</v>
      </c>
      <c r="BT526" t="str">
        <f t="shared" si="637"/>
        <v>DI1-C19</v>
      </c>
      <c r="BU526" t="str">
        <f t="shared" si="637"/>
        <v>DI1-B19</v>
      </c>
      <c r="BV526" t="str">
        <f t="shared" si="638"/>
        <v>DI1-C20</v>
      </c>
      <c r="BW526" t="str">
        <f t="shared" si="638"/>
        <v>DI1-B20</v>
      </c>
      <c r="BX526" t="str">
        <f t="shared" si="638"/>
        <v>DI1-C21</v>
      </c>
      <c r="BY526" t="str">
        <f t="shared" si="638"/>
        <v>DI1-B21</v>
      </c>
      <c r="BZ526" t="str">
        <f t="shared" si="638"/>
        <v>DI1-C22</v>
      </c>
      <c r="CA526" t="str">
        <f t="shared" si="638"/>
        <v>DI1-B22</v>
      </c>
      <c r="CB526" t="str">
        <f t="shared" si="638"/>
        <v>DI1-</v>
      </c>
      <c r="CC526" t="str">
        <f t="shared" si="638"/>
        <v>DI1-</v>
      </c>
      <c r="CD526" t="str">
        <f t="shared" si="638"/>
        <v>DI1-</v>
      </c>
      <c r="CE526" t="str">
        <f t="shared" si="638"/>
        <v>DI1-</v>
      </c>
      <c r="CF526" t="str">
        <f t="shared" si="639"/>
        <v>DO1-10A</v>
      </c>
      <c r="CG526" t="str">
        <f t="shared" si="639"/>
        <v>DO1-10B</v>
      </c>
      <c r="CH526" t="str">
        <f t="shared" si="640"/>
        <v>DO1-11A</v>
      </c>
      <c r="CI526" t="str">
        <f t="shared" si="640"/>
        <v>DO1-11B</v>
      </c>
      <c r="CJ526" t="str">
        <f t="shared" si="640"/>
        <v>DO1-12A</v>
      </c>
      <c r="CK526" t="str">
        <f t="shared" si="640"/>
        <v>DO1-12B</v>
      </c>
      <c r="CL526" t="str">
        <f t="shared" si="641"/>
        <v>K4-10</v>
      </c>
      <c r="CM526" t="str">
        <f t="shared" si="642"/>
        <v>K4-03</v>
      </c>
      <c r="CN526" t="str">
        <f t="shared" si="643"/>
        <v>K4-04</v>
      </c>
      <c r="CO526" t="str">
        <f t="shared" si="644"/>
        <v>K4-01</v>
      </c>
      <c r="CP526" t="str">
        <f t="shared" si="645"/>
        <v>K4-08</v>
      </c>
      <c r="CQ526" t="str">
        <f t="shared" si="646"/>
        <v>K4-02</v>
      </c>
      <c r="CR526" t="str">
        <f t="shared" si="647"/>
        <v>K4-09</v>
      </c>
      <c r="CS526" t="str">
        <f t="shared" si="648"/>
        <v>K4-05</v>
      </c>
      <c r="CT526" t="str">
        <f t="shared" si="649"/>
        <v>K4-11</v>
      </c>
      <c r="CU526" t="str">
        <f t="shared" si="650"/>
        <v>N2-M4-A9</v>
      </c>
      <c r="CV526" t="str">
        <f t="shared" si="651"/>
        <v>N2-M4-A7</v>
      </c>
      <c r="CW526" t="str">
        <f t="shared" si="652"/>
        <v>N2-M4-A8</v>
      </c>
      <c r="CX526" t="str">
        <f t="shared" si="653"/>
        <v>N2-M4-A6</v>
      </c>
      <c r="CY526" t="str">
        <f t="shared" si="654"/>
        <v>N2-M4-A30</v>
      </c>
      <c r="CZ526" t="str">
        <f t="shared" si="655"/>
        <v>N2-M4-N</v>
      </c>
      <c r="DA526" t="str">
        <f t="shared" si="656"/>
        <v>N2-A220-M4</v>
      </c>
      <c r="DB526" t="str">
        <f t="shared" si="657"/>
        <v>N2-M4-XM01</v>
      </c>
      <c r="DC526" t="str">
        <f t="shared" si="658"/>
        <v>N2-M4-A1</v>
      </c>
      <c r="DD526" t="str">
        <f t="shared" si="659"/>
        <v>N2-M4-A5</v>
      </c>
      <c r="DE526" t="str">
        <f t="shared" si="660"/>
        <v>N2-M4-A11</v>
      </c>
      <c r="DF526" t="str">
        <f t="shared" si="661"/>
        <v>N2-M4-A12</v>
      </c>
      <c r="DG526" t="str">
        <f>CONCATENATE($T526,"-M",$U526,"-A19")</f>
        <v>N2-M4-A19</v>
      </c>
      <c r="DH526" t="str">
        <f>CONCATENATE($T526,"-M",$U526,"-A20")</f>
        <v>N2-M4-A20</v>
      </c>
      <c r="DI526" t="s">
        <v>142</v>
      </c>
      <c r="DJ526" t="s">
        <v>143</v>
      </c>
      <c r="DK526">
        <v>11</v>
      </c>
      <c r="DL526">
        <v>14</v>
      </c>
      <c r="DM526">
        <v>12</v>
      </c>
      <c r="DN526" t="s">
        <v>144</v>
      </c>
      <c r="DO526" t="s">
        <v>145</v>
      </c>
      <c r="DP526">
        <v>1</v>
      </c>
      <c r="DQ526">
        <v>2</v>
      </c>
      <c r="DR526">
        <v>3</v>
      </c>
      <c r="DS526">
        <v>4</v>
      </c>
      <c r="DT526">
        <v>5</v>
      </c>
      <c r="DU526">
        <v>6</v>
      </c>
      <c r="DV526">
        <v>7</v>
      </c>
      <c r="DW526">
        <v>8</v>
      </c>
      <c r="DX526">
        <v>9</v>
      </c>
      <c r="DY526">
        <v>10</v>
      </c>
      <c r="DZ526">
        <v>11</v>
      </c>
      <c r="EA526">
        <v>12</v>
      </c>
      <c r="EB526">
        <v>13</v>
      </c>
      <c r="EC526">
        <v>14</v>
      </c>
      <c r="ED526">
        <v>1</v>
      </c>
      <c r="EE526">
        <v>3</v>
      </c>
      <c r="EF526">
        <v>4</v>
      </c>
      <c r="EG526">
        <v>7</v>
      </c>
      <c r="EH526">
        <v>8</v>
      </c>
      <c r="EI526">
        <v>9</v>
      </c>
      <c r="EJ526">
        <v>10</v>
      </c>
      <c r="EK526">
        <v>13</v>
      </c>
      <c r="EL526">
        <v>15</v>
      </c>
      <c r="EM526">
        <v>16</v>
      </c>
      <c r="EN526">
        <v>16</v>
      </c>
      <c r="EO526">
        <v>22</v>
      </c>
      <c r="EP526">
        <v>23</v>
      </c>
      <c r="EQ526" s="16">
        <v>24</v>
      </c>
      <c r="MA526" t="str">
        <f t="shared" si="593"/>
        <v>DI1-B19</v>
      </c>
    </row>
    <row r="527" spans="1:812" x14ac:dyDescent="0.25">
      <c r="A527" s="83" t="s">
        <v>2729</v>
      </c>
      <c r="B527" s="83" t="s">
        <v>2728</v>
      </c>
      <c r="C527" s="3"/>
      <c r="O527" s="2"/>
      <c r="P527" t="s">
        <v>2727</v>
      </c>
      <c r="Q527" s="1"/>
      <c r="S527" s="1" t="s">
        <v>130</v>
      </c>
      <c r="T527" s="14" t="s">
        <v>2713</v>
      </c>
      <c r="U527" s="59">
        <v>5</v>
      </c>
      <c r="V527" s="15" t="s">
        <v>2730</v>
      </c>
      <c r="W527" s="15"/>
      <c r="AC527" t="str">
        <f t="shared" si="662"/>
        <v>A5.1</v>
      </c>
      <c r="AD527" s="43">
        <f t="array" ref="AD527">IF(COUNTIFS(AC$523:AC527,AC527)=1,"1",VALUE(SUBSTITUTE(INDEX(AD:AD,_xlfn.XMATCH(AC527,AC$1:AC526,0,-1)),"A",""))+INDEX(AE:AE,_xlfn.XMATCH(AC527,AC$1:AC526,0,-1))+1)</f>
        <v>23</v>
      </c>
      <c r="AE527" s="43">
        <f t="array" ref="AE527">SUM(IF(ISNUMBER(FIND("TmDi",$BE$1:$AAQ$1)),IF(IFERROR(ISNUMBER(VALUE(SUBSTITUTE($BE527:$AAQ527,"B",""))),FALSE),IF(ISNUMBER(VALUE(SUBSTITUTE($BE527:$AAQ527,"B",""))),1,0),0)))</f>
        <v>3</v>
      </c>
      <c r="AF527" t="str">
        <f t="shared" si="440"/>
        <v>C23</v>
      </c>
      <c r="AG527" t="str">
        <f t="shared" si="441"/>
        <v>B23</v>
      </c>
      <c r="AH527" t="str">
        <f t="shared" si="663"/>
        <v>A6.1</v>
      </c>
      <c r="AI527" s="69">
        <f t="array" ref="AI527">IF(COUNTIFS(AH$523:AH527,AH527)=1,"1",VALUE(SUBSTITUTE(INDEX(AI:AI,_xlfn.XMATCH(AH527,AH$1:AH526,0,-1)),"A",""))+INDEX(AJ:AJ,_xlfn.XMATCH(AH527,AH$1:AH526,0,-1))+1)</f>
        <v>13</v>
      </c>
      <c r="AJ527" s="62">
        <f t="array" ref="AJ527">SUM(IF(ISNUMBER(FIND("TmDo",$BE$1:$AAQ$1)),IF(IFERROR(ISNUMBER(VALUE(SUBSTITUTE($BE527:$AAQ527,"B",""))),FALSE),IF(ISNUMBER(VALUE(SUBSTITUTE($BE527:$AAQ527,"B",""))),1,0),0)))</f>
        <v>2</v>
      </c>
      <c r="AK527" t="str">
        <f t="shared" si="624"/>
        <v>13A</v>
      </c>
      <c r="AL527" t="str">
        <f t="shared" si="625"/>
        <v>13B</v>
      </c>
      <c r="AM527" t="s">
        <v>161</v>
      </c>
      <c r="AP527" t="s">
        <v>2716</v>
      </c>
      <c r="AQ527" t="s">
        <v>2717</v>
      </c>
      <c r="AT527" t="s">
        <v>139</v>
      </c>
      <c r="AU527" t="s">
        <v>140</v>
      </c>
      <c r="BD527" s="16"/>
      <c r="BE527" s="27" t="str">
        <f t="shared" si="626"/>
        <v>XT5</v>
      </c>
      <c r="BF527" t="str">
        <f t="shared" si="627"/>
        <v>C24</v>
      </c>
      <c r="BG527" t="str">
        <f t="shared" si="628"/>
        <v>B24</v>
      </c>
      <c r="BH527" t="str">
        <f t="shared" si="629"/>
        <v>C25</v>
      </c>
      <c r="BI527" t="str">
        <f t="shared" si="630"/>
        <v>B25</v>
      </c>
      <c r="BJ527" t="str">
        <f t="shared" si="631"/>
        <v>C26</v>
      </c>
      <c r="BK527" t="str">
        <f t="shared" si="632"/>
        <v>B26</v>
      </c>
      <c r="BP527" t="str">
        <f t="shared" si="633"/>
        <v>14A</v>
      </c>
      <c r="BQ527" t="str">
        <f t="shared" si="634"/>
        <v>14B</v>
      </c>
      <c r="BR527" t="str">
        <f t="shared" si="635"/>
        <v>15A</v>
      </c>
      <c r="BS527" t="str">
        <f t="shared" si="636"/>
        <v>15B</v>
      </c>
      <c r="BT527" t="str">
        <f t="shared" si="637"/>
        <v>DI1-C23</v>
      </c>
      <c r="BU527" t="str">
        <f t="shared" si="637"/>
        <v>DI1-B23</v>
      </c>
      <c r="BV527" t="str">
        <f t="shared" si="638"/>
        <v>DI1-C24</v>
      </c>
      <c r="BW527" t="str">
        <f t="shared" si="638"/>
        <v>DI1-B24</v>
      </c>
      <c r="BX527" t="str">
        <f t="shared" si="638"/>
        <v>DI1-C25</v>
      </c>
      <c r="BY527" t="str">
        <f t="shared" si="638"/>
        <v>DI1-B25</v>
      </c>
      <c r="BZ527" t="str">
        <f t="shared" si="638"/>
        <v>DI1-C26</v>
      </c>
      <c r="CA527" t="str">
        <f t="shared" si="638"/>
        <v>DI1-B26</v>
      </c>
      <c r="CB527" t="str">
        <f t="shared" si="638"/>
        <v>DI1-</v>
      </c>
      <c r="CC527" t="str">
        <f t="shared" si="638"/>
        <v>DI1-</v>
      </c>
      <c r="CD527" t="str">
        <f t="shared" si="638"/>
        <v>DI1-</v>
      </c>
      <c r="CE527" t="str">
        <f t="shared" si="638"/>
        <v>DI1-</v>
      </c>
      <c r="CF527" t="str">
        <f t="shared" si="639"/>
        <v>DO1-13A</v>
      </c>
      <c r="CG527" t="str">
        <f t="shared" si="639"/>
        <v>DO1-13B</v>
      </c>
      <c r="CH527" t="str">
        <f t="shared" si="640"/>
        <v>DO1-14A</v>
      </c>
      <c r="CI527" t="str">
        <f t="shared" si="640"/>
        <v>DO1-14B</v>
      </c>
      <c r="CJ527" t="str">
        <f t="shared" si="640"/>
        <v>DO1-15A</v>
      </c>
      <c r="CK527" t="str">
        <f t="shared" si="640"/>
        <v>DO1-15B</v>
      </c>
      <c r="CL527" t="str">
        <f t="shared" si="641"/>
        <v>K5-10</v>
      </c>
      <c r="CM527" t="str">
        <f t="shared" si="642"/>
        <v>K5-03</v>
      </c>
      <c r="CN527" t="str">
        <f t="shared" si="643"/>
        <v>K5-04</v>
      </c>
      <c r="CO527" t="str">
        <f t="shared" si="644"/>
        <v>K5-01</v>
      </c>
      <c r="CP527" t="str">
        <f t="shared" si="645"/>
        <v>K5-08</v>
      </c>
      <c r="CQ527" t="str">
        <f t="shared" si="646"/>
        <v>K5-02</v>
      </c>
      <c r="CR527" t="str">
        <f t="shared" si="647"/>
        <v>K5-09</v>
      </c>
      <c r="CS527" t="str">
        <f t="shared" si="648"/>
        <v>K5-05</v>
      </c>
      <c r="CT527" t="str">
        <f t="shared" si="649"/>
        <v>K5-11</v>
      </c>
      <c r="CU527" t="str">
        <f t="shared" si="650"/>
        <v>N2-M5-A9</v>
      </c>
      <c r="CV527" t="str">
        <f t="shared" si="651"/>
        <v>N2-M5-A7</v>
      </c>
      <c r="CW527" t="str">
        <f t="shared" si="652"/>
        <v>N2-M5-A8</v>
      </c>
      <c r="CX527" t="str">
        <f t="shared" si="653"/>
        <v>N2-M5-A6</v>
      </c>
      <c r="CY527" t="str">
        <f t="shared" si="654"/>
        <v>N2-M5-A30</v>
      </c>
      <c r="CZ527" t="str">
        <f t="shared" si="655"/>
        <v>N2-M5-N</v>
      </c>
      <c r="DA527" t="str">
        <f t="shared" si="656"/>
        <v>N2-A220-M5</v>
      </c>
      <c r="DB527" t="str">
        <f t="shared" si="657"/>
        <v>N2-M5-XM01</v>
      </c>
      <c r="DC527" t="str">
        <f t="shared" si="658"/>
        <v>N2-M5-A1</v>
      </c>
      <c r="DD527" t="str">
        <f t="shared" si="659"/>
        <v>N2-M5-A5</v>
      </c>
      <c r="DE527" t="str">
        <f t="shared" si="660"/>
        <v>N2-M5-A11</v>
      </c>
      <c r="DF527" t="str">
        <f t="shared" si="661"/>
        <v>N2-M5-A12</v>
      </c>
      <c r="DG527" t="str">
        <f>CONCATENATE($T527,"-M",$U527,"-A19")</f>
        <v>N2-M5-A19</v>
      </c>
      <c r="DH527" t="str">
        <f>CONCATENATE($T527,"-M",$U527,"-A20")</f>
        <v>N2-M5-A20</v>
      </c>
      <c r="DI527" t="s">
        <v>142</v>
      </c>
      <c r="DJ527" t="s">
        <v>143</v>
      </c>
      <c r="DK527">
        <v>11</v>
      </c>
      <c r="DL527">
        <v>14</v>
      </c>
      <c r="DM527">
        <v>12</v>
      </c>
      <c r="DN527" t="s">
        <v>144</v>
      </c>
      <c r="DO527" t="s">
        <v>145</v>
      </c>
      <c r="DP527">
        <v>1</v>
      </c>
      <c r="DQ527">
        <v>2</v>
      </c>
      <c r="DR527">
        <v>3</v>
      </c>
      <c r="DS527">
        <v>4</v>
      </c>
      <c r="DT527">
        <v>5</v>
      </c>
      <c r="DU527">
        <v>6</v>
      </c>
      <c r="DV527">
        <v>7</v>
      </c>
      <c r="DW527">
        <v>8</v>
      </c>
      <c r="DX527">
        <v>9</v>
      </c>
      <c r="DY527">
        <v>10</v>
      </c>
      <c r="DZ527">
        <v>11</v>
      </c>
      <c r="EA527">
        <v>12</v>
      </c>
      <c r="EB527">
        <v>13</v>
      </c>
      <c r="EC527">
        <v>14</v>
      </c>
      <c r="ED527">
        <v>1</v>
      </c>
      <c r="EE527">
        <v>3</v>
      </c>
      <c r="EF527">
        <v>4</v>
      </c>
      <c r="EG527">
        <v>7</v>
      </c>
      <c r="EH527">
        <v>8</v>
      </c>
      <c r="EI527">
        <v>9</v>
      </c>
      <c r="EJ527">
        <v>10</v>
      </c>
      <c r="EK527">
        <v>13</v>
      </c>
      <c r="EL527">
        <v>15</v>
      </c>
      <c r="EM527">
        <v>16</v>
      </c>
      <c r="EN527">
        <v>16</v>
      </c>
      <c r="EO527">
        <v>22</v>
      </c>
      <c r="EP527">
        <v>23</v>
      </c>
      <c r="EQ527" s="16">
        <v>24</v>
      </c>
      <c r="MA527" t="str">
        <f t="shared" si="593"/>
        <v>DI1-B23</v>
      </c>
    </row>
    <row r="528" spans="1:812" x14ac:dyDescent="0.25">
      <c r="A528" s="83" t="s">
        <v>2732</v>
      </c>
      <c r="B528" s="83" t="s">
        <v>2731</v>
      </c>
      <c r="C528" s="3"/>
      <c r="O528" s="2"/>
      <c r="P528" t="s">
        <v>2727</v>
      </c>
      <c r="Q528" s="1"/>
      <c r="S528" s="1" t="s">
        <v>130</v>
      </c>
      <c r="T528" s="14" t="s">
        <v>2713</v>
      </c>
      <c r="U528" s="59">
        <v>6</v>
      </c>
      <c r="V528" s="15" t="s">
        <v>2733</v>
      </c>
      <c r="W528" s="15"/>
      <c r="AC528" t="str">
        <f t="shared" si="662"/>
        <v>A5.1</v>
      </c>
      <c r="AD528" s="43">
        <f t="array" ref="AD528">IF(COUNTIFS(AC$523:AC528,AC528)=1,"1",VALUE(SUBSTITUTE(INDEX(AD:AD,_xlfn.XMATCH(AC528,AC$1:AC527,0,-1)),"A",""))+INDEX(AE:AE,_xlfn.XMATCH(AC528,AC$1:AC527,0,-1))+1)</f>
        <v>27</v>
      </c>
      <c r="AE528" s="43">
        <f t="array" ref="AE528">SUM(IF(ISNUMBER(FIND("TmDi",$BE$1:$AAQ$1)),IF(IFERROR(ISNUMBER(VALUE(SUBSTITUTE($BE528:$AAQ528,"B",""))),FALSE),IF(ISNUMBER(VALUE(SUBSTITUTE($BE528:$AAQ528,"B",""))),1,0),0)))</f>
        <v>3</v>
      </c>
      <c r="AF528" t="str">
        <f t="shared" si="440"/>
        <v>C27</v>
      </c>
      <c r="AG528" t="str">
        <f t="shared" si="441"/>
        <v>B27</v>
      </c>
      <c r="AH528" t="str">
        <f t="shared" si="663"/>
        <v>A6.1</v>
      </c>
      <c r="AI528" s="69">
        <f t="array" ref="AI528">IF(COUNTIFS(AH$523:AH528,AH528)=1,"1",VALUE(SUBSTITUTE(INDEX(AI:AI,_xlfn.XMATCH(AH528,AH$1:AH527,0,-1)),"A",""))+INDEX(AJ:AJ,_xlfn.XMATCH(AH528,AH$1:AH527,0,-1))+1)</f>
        <v>16</v>
      </c>
      <c r="AJ528" s="62">
        <f t="array" ref="AJ528">SUM(IF(ISNUMBER(FIND("TmDo",$BE$1:$AAQ$1)),IF(IFERROR(ISNUMBER(VALUE(SUBSTITUTE($BE528:$AAQ528,"B",""))),FALSE),IF(ISNUMBER(VALUE(SUBSTITUTE($BE528:$AAQ528,"B",""))),1,0),0)))</f>
        <v>2</v>
      </c>
      <c r="AK528" t="str">
        <f t="shared" si="624"/>
        <v>16A</v>
      </c>
      <c r="AL528" t="str">
        <f t="shared" si="625"/>
        <v>16B</v>
      </c>
      <c r="AM528" t="s">
        <v>163</v>
      </c>
      <c r="AP528" t="s">
        <v>2716</v>
      </c>
      <c r="AQ528" t="s">
        <v>2717</v>
      </c>
      <c r="AT528" t="s">
        <v>139</v>
      </c>
      <c r="AU528" t="s">
        <v>140</v>
      </c>
      <c r="BD528" s="16"/>
      <c r="BE528" s="27" t="str">
        <f t="shared" si="626"/>
        <v>XT6</v>
      </c>
      <c r="BF528" t="str">
        <f t="shared" si="627"/>
        <v>C28</v>
      </c>
      <c r="BG528" t="str">
        <f t="shared" si="628"/>
        <v>B28</v>
      </c>
      <c r="BH528" t="str">
        <f t="shared" si="629"/>
        <v>C29</v>
      </c>
      <c r="BI528" t="str">
        <f t="shared" si="630"/>
        <v>B29</v>
      </c>
      <c r="BJ528" t="str">
        <f t="shared" si="631"/>
        <v>C30</v>
      </c>
      <c r="BK528" t="str">
        <f t="shared" si="632"/>
        <v>B30</v>
      </c>
      <c r="BP528" t="str">
        <f t="shared" si="633"/>
        <v>17A</v>
      </c>
      <c r="BQ528" t="str">
        <f t="shared" si="634"/>
        <v>17B</v>
      </c>
      <c r="BR528" t="str">
        <f t="shared" si="635"/>
        <v>18A</v>
      </c>
      <c r="BS528" t="str">
        <f t="shared" si="636"/>
        <v>18B</v>
      </c>
      <c r="BT528" t="str">
        <f t="shared" si="637"/>
        <v>DI1-C27</v>
      </c>
      <c r="BU528" t="str">
        <f t="shared" si="637"/>
        <v>DI1-B27</v>
      </c>
      <c r="BV528" t="str">
        <f t="shared" si="638"/>
        <v>DI1-C28</v>
      </c>
      <c r="BW528" t="str">
        <f t="shared" si="638"/>
        <v>DI1-B28</v>
      </c>
      <c r="BX528" t="str">
        <f t="shared" si="638"/>
        <v>DI1-C29</v>
      </c>
      <c r="BY528" t="str">
        <f t="shared" si="638"/>
        <v>DI1-B29</v>
      </c>
      <c r="BZ528" t="str">
        <f t="shared" si="638"/>
        <v>DI1-C30</v>
      </c>
      <c r="CA528" t="str">
        <f t="shared" si="638"/>
        <v>DI1-B30</v>
      </c>
      <c r="CB528" t="str">
        <f t="shared" si="638"/>
        <v>DI1-</v>
      </c>
      <c r="CC528" t="str">
        <f t="shared" si="638"/>
        <v>DI1-</v>
      </c>
      <c r="CD528" t="str">
        <f t="shared" si="638"/>
        <v>DI1-</v>
      </c>
      <c r="CE528" t="str">
        <f t="shared" si="638"/>
        <v>DI1-</v>
      </c>
      <c r="CF528" t="str">
        <f t="shared" si="639"/>
        <v>DO1-16A</v>
      </c>
      <c r="CG528" t="str">
        <f t="shared" si="639"/>
        <v>DO1-16B</v>
      </c>
      <c r="CH528" t="str">
        <f t="shared" si="640"/>
        <v>DO1-17A</v>
      </c>
      <c r="CI528" t="str">
        <f t="shared" si="640"/>
        <v>DO1-17B</v>
      </c>
      <c r="CJ528" t="str">
        <f t="shared" si="640"/>
        <v>DO1-18A</v>
      </c>
      <c r="CK528" t="str">
        <f t="shared" si="640"/>
        <v>DO1-18B</v>
      </c>
      <c r="CL528" t="str">
        <f t="shared" si="641"/>
        <v>K6-10</v>
      </c>
      <c r="CM528" t="str">
        <f t="shared" si="642"/>
        <v>K6-03</v>
      </c>
      <c r="CN528" t="str">
        <f t="shared" si="643"/>
        <v>K6-04</v>
      </c>
      <c r="CO528" t="str">
        <f t="shared" si="644"/>
        <v>K6-01</v>
      </c>
      <c r="CP528" t="str">
        <f t="shared" si="645"/>
        <v>K6-08</v>
      </c>
      <c r="CQ528" t="str">
        <f t="shared" si="646"/>
        <v>K6-02</v>
      </c>
      <c r="CR528" t="str">
        <f t="shared" si="647"/>
        <v>K6-09</v>
      </c>
      <c r="CS528" t="str">
        <f t="shared" si="648"/>
        <v>K6-05</v>
      </c>
      <c r="CT528" t="str">
        <f t="shared" si="649"/>
        <v>K6-11</v>
      </c>
      <c r="CU528" t="str">
        <f t="shared" si="650"/>
        <v>N2-M6-A9</v>
      </c>
      <c r="CV528" t="str">
        <f t="shared" si="651"/>
        <v>N2-M6-A7</v>
      </c>
      <c r="CW528" t="str">
        <f t="shared" si="652"/>
        <v>N2-M6-A8</v>
      </c>
      <c r="CX528" t="str">
        <f t="shared" si="653"/>
        <v>N2-M6-A6</v>
      </c>
      <c r="CY528" t="str">
        <f t="shared" si="654"/>
        <v>N2-M6-A30</v>
      </c>
      <c r="CZ528" t="str">
        <f t="shared" si="655"/>
        <v>N2-M6-N</v>
      </c>
      <c r="DA528" t="str">
        <f t="shared" si="656"/>
        <v>N2-A220-M6</v>
      </c>
      <c r="DB528" t="str">
        <f t="shared" si="657"/>
        <v>N2-M6-XM01</v>
      </c>
      <c r="DC528" t="str">
        <f t="shared" si="658"/>
        <v>N2-M6-A1</v>
      </c>
      <c r="DD528" t="str">
        <f t="shared" si="659"/>
        <v>N2-M6-A5</v>
      </c>
      <c r="DE528" t="str">
        <f t="shared" si="660"/>
        <v>N2-M6-A11</v>
      </c>
      <c r="DF528" t="str">
        <f t="shared" si="661"/>
        <v>N2-M6-A12</v>
      </c>
      <c r="DG528" t="str">
        <f>CONCATENATE($T528,"-M",$U528,"-A19")</f>
        <v>N2-M6-A19</v>
      </c>
      <c r="DH528" t="str">
        <f>CONCATENATE($T528,"-M",$U528,"-A20")</f>
        <v>N2-M6-A20</v>
      </c>
      <c r="DI528" t="s">
        <v>142</v>
      </c>
      <c r="DJ528" t="s">
        <v>143</v>
      </c>
      <c r="DK528">
        <v>11</v>
      </c>
      <c r="DL528">
        <v>14</v>
      </c>
      <c r="DM528">
        <v>12</v>
      </c>
      <c r="DN528" t="s">
        <v>144</v>
      </c>
      <c r="DO528" t="s">
        <v>145</v>
      </c>
      <c r="DP528">
        <v>1</v>
      </c>
      <c r="DQ528">
        <v>2</v>
      </c>
      <c r="DR528">
        <v>3</v>
      </c>
      <c r="DS528">
        <v>4</v>
      </c>
      <c r="DT528">
        <v>5</v>
      </c>
      <c r="DU528">
        <v>6</v>
      </c>
      <c r="DV528">
        <v>7</v>
      </c>
      <c r="DW528">
        <v>8</v>
      </c>
      <c r="DX528">
        <v>9</v>
      </c>
      <c r="DY528">
        <v>10</v>
      </c>
      <c r="DZ528">
        <v>11</v>
      </c>
      <c r="EA528">
        <v>12</v>
      </c>
      <c r="EB528">
        <v>13</v>
      </c>
      <c r="EC528">
        <v>14</v>
      </c>
      <c r="ED528">
        <v>1</v>
      </c>
      <c r="EE528">
        <v>3</v>
      </c>
      <c r="EF528">
        <v>4</v>
      </c>
      <c r="EG528">
        <v>7</v>
      </c>
      <c r="EH528">
        <v>8</v>
      </c>
      <c r="EI528">
        <v>9</v>
      </c>
      <c r="EJ528">
        <v>10</v>
      </c>
      <c r="EK528">
        <v>13</v>
      </c>
      <c r="EL528">
        <v>15</v>
      </c>
      <c r="EM528">
        <v>16</v>
      </c>
      <c r="EN528">
        <v>16</v>
      </c>
      <c r="EO528">
        <v>22</v>
      </c>
      <c r="EP528">
        <v>23</v>
      </c>
      <c r="EQ528" s="16">
        <v>24</v>
      </c>
      <c r="MA528" t="str">
        <f t="shared" si="593"/>
        <v>DI1-B27</v>
      </c>
    </row>
    <row r="529" spans="1:339" x14ac:dyDescent="0.25">
      <c r="A529" s="83" t="s">
        <v>2736</v>
      </c>
      <c r="B529" s="83" t="s">
        <v>2735</v>
      </c>
      <c r="C529" s="3"/>
      <c r="O529" s="2"/>
      <c r="P529" t="s">
        <v>2727</v>
      </c>
      <c r="Q529" s="1"/>
      <c r="S529" s="1" t="s">
        <v>130</v>
      </c>
      <c r="T529" s="14" t="s">
        <v>2713</v>
      </c>
      <c r="U529" s="59">
        <v>7</v>
      </c>
      <c r="V529" s="15" t="s">
        <v>2734</v>
      </c>
      <c r="W529" s="15"/>
      <c r="AC529" t="str">
        <f t="shared" si="662"/>
        <v>A5.2</v>
      </c>
      <c r="AD529" s="43" t="str">
        <f t="array" ref="AD529">IF(COUNTIFS(AC$523:AC529,AC529)=1,"1",VALUE(SUBSTITUTE(INDEX(AD:AD,_xlfn.XMATCH(AC529,AC$1:AC528,0,-1)),"A",""))+INDEX(AE:AE,_xlfn.XMATCH(AC529,AC$1:AC528,0,-1))+1)</f>
        <v>1</v>
      </c>
      <c r="AE529" s="43">
        <f t="array" ref="AE529">SUM(IF(ISNUMBER(FIND("TmDi",$BE$1:$AAQ$1)),IF(IFERROR(ISNUMBER(VALUE(SUBSTITUTE($BE529:$AAQ529,"B",""))),FALSE),IF(ISNUMBER(VALUE(SUBSTITUTE($BE529:$AAQ529,"B",""))),1,0),0)))</f>
        <v>3</v>
      </c>
      <c r="AF529" t="str">
        <f t="shared" si="440"/>
        <v>C1</v>
      </c>
      <c r="AG529" t="str">
        <f t="shared" si="441"/>
        <v>B1</v>
      </c>
      <c r="AH529" t="str">
        <f t="shared" si="663"/>
        <v>A6.1</v>
      </c>
      <c r="AI529" s="69">
        <f t="array" ref="AI529">IF(COUNTIFS(AH$523:AH529,AH529)=1,"1",VALUE(SUBSTITUTE(INDEX(AI:AI,_xlfn.XMATCH(AH529,AH$1:AH528,0,-1)),"A",""))+INDEX(AJ:AJ,_xlfn.XMATCH(AH529,AH$1:AH528,0,-1))+1)</f>
        <v>19</v>
      </c>
      <c r="AJ529" s="62">
        <f t="array" ref="AJ529">SUM(IF(ISNUMBER(FIND("TmDo",$BE$1:$AAQ$1)),IF(IFERROR(ISNUMBER(VALUE(SUBSTITUTE($BE529:$AAQ529,"B",""))),FALSE),IF(ISNUMBER(VALUE(SUBSTITUTE($BE529:$AAQ529,"B",""))),1,0),0)))</f>
        <v>2</v>
      </c>
      <c r="AK529" t="str">
        <f t="shared" si="624"/>
        <v>19A</v>
      </c>
      <c r="AL529" t="str">
        <f t="shared" si="625"/>
        <v>19B</v>
      </c>
      <c r="AM529" t="s">
        <v>166</v>
      </c>
      <c r="AP529" t="s">
        <v>2716</v>
      </c>
      <c r="AQ529" t="s">
        <v>2717</v>
      </c>
      <c r="AT529" t="s">
        <v>139</v>
      </c>
      <c r="AU529" t="s">
        <v>140</v>
      </c>
      <c r="BD529" s="16"/>
      <c r="BE529" s="27" t="str">
        <f t="shared" si="626"/>
        <v>XT7</v>
      </c>
      <c r="BF529" t="str">
        <f t="shared" si="627"/>
        <v>C2</v>
      </c>
      <c r="BG529" t="str">
        <f t="shared" si="628"/>
        <v>B2</v>
      </c>
      <c r="BH529" t="str">
        <f t="shared" si="629"/>
        <v>C3</v>
      </c>
      <c r="BI529" t="str">
        <f t="shared" si="630"/>
        <v>B3</v>
      </c>
      <c r="BJ529" t="str">
        <f t="shared" si="631"/>
        <v>C4</v>
      </c>
      <c r="BK529" t="str">
        <f t="shared" si="632"/>
        <v>B4</v>
      </c>
      <c r="BP529" t="str">
        <f t="shared" si="633"/>
        <v>20A</v>
      </c>
      <c r="BQ529" t="str">
        <f t="shared" si="634"/>
        <v>20B</v>
      </c>
      <c r="BR529" t="str">
        <f t="shared" si="635"/>
        <v>21A</v>
      </c>
      <c r="BS529" t="str">
        <f t="shared" si="636"/>
        <v>21B</v>
      </c>
      <c r="BT529" t="str">
        <f t="shared" si="637"/>
        <v>DI2-C1</v>
      </c>
      <c r="BU529" t="str">
        <f t="shared" si="637"/>
        <v>DI2-B1</v>
      </c>
      <c r="BV529" t="str">
        <f t="shared" si="638"/>
        <v>DI2-C2</v>
      </c>
      <c r="BW529" t="str">
        <f t="shared" si="638"/>
        <v>DI2-B2</v>
      </c>
      <c r="BX529" t="str">
        <f t="shared" si="638"/>
        <v>DI2-C3</v>
      </c>
      <c r="BY529" t="str">
        <f t="shared" si="638"/>
        <v>DI2-B3</v>
      </c>
      <c r="BZ529" t="str">
        <f t="shared" si="638"/>
        <v>DI2-C4</v>
      </c>
      <c r="CA529" t="str">
        <f t="shared" si="638"/>
        <v>DI2-B4</v>
      </c>
      <c r="CB529" t="str">
        <f t="shared" si="638"/>
        <v>DI2-</v>
      </c>
      <c r="CC529" t="str">
        <f t="shared" si="638"/>
        <v>DI2-</v>
      </c>
      <c r="CD529" t="str">
        <f t="shared" si="638"/>
        <v>DI2-</v>
      </c>
      <c r="CE529" t="str">
        <f t="shared" si="638"/>
        <v>DI2-</v>
      </c>
      <c r="CF529" t="str">
        <f t="shared" si="639"/>
        <v>DO1-19A</v>
      </c>
      <c r="CG529" t="str">
        <f t="shared" si="639"/>
        <v>DO1-19B</v>
      </c>
      <c r="CH529" t="str">
        <f t="shared" si="640"/>
        <v>DO1-20A</v>
      </c>
      <c r="CI529" t="str">
        <f t="shared" si="640"/>
        <v>DO1-20B</v>
      </c>
      <c r="CJ529" t="str">
        <f t="shared" si="640"/>
        <v>DO1-21A</v>
      </c>
      <c r="CK529" t="str">
        <f t="shared" si="640"/>
        <v>DO1-21B</v>
      </c>
      <c r="CL529" t="str">
        <f t="shared" si="641"/>
        <v>K7-10</v>
      </c>
      <c r="CM529" t="str">
        <f t="shared" si="642"/>
        <v>K7-03</v>
      </c>
      <c r="CN529" t="str">
        <f t="shared" si="643"/>
        <v>K7-04</v>
      </c>
      <c r="CO529" t="str">
        <f t="shared" si="644"/>
        <v>K7-01</v>
      </c>
      <c r="CP529" t="str">
        <f t="shared" si="645"/>
        <v>K7-08</v>
      </c>
      <c r="CQ529" t="str">
        <f t="shared" si="646"/>
        <v>K7-02</v>
      </c>
      <c r="CR529" t="str">
        <f t="shared" si="647"/>
        <v>K7-09</v>
      </c>
      <c r="CS529" t="str">
        <f t="shared" si="648"/>
        <v>K7-05</v>
      </c>
      <c r="CT529" t="str">
        <f t="shared" si="649"/>
        <v>K7-11</v>
      </c>
      <c r="CU529" t="str">
        <f t="shared" si="650"/>
        <v>N2-M7-A9</v>
      </c>
      <c r="CV529" t="str">
        <f t="shared" si="651"/>
        <v>N2-M7-A7</v>
      </c>
      <c r="CW529" t="str">
        <f t="shared" si="652"/>
        <v>N2-M7-A8</v>
      </c>
      <c r="CX529" t="str">
        <f t="shared" si="653"/>
        <v>N2-M7-A6</v>
      </c>
      <c r="CY529" t="str">
        <f t="shared" si="654"/>
        <v>N2-M7-A30</v>
      </c>
      <c r="CZ529" t="str">
        <f t="shared" si="655"/>
        <v>N2-M7-N</v>
      </c>
      <c r="DA529" t="str">
        <f t="shared" si="656"/>
        <v>N2-A220-M7</v>
      </c>
      <c r="DB529" t="str">
        <f t="shared" si="657"/>
        <v>N2-M7-XM01</v>
      </c>
      <c r="DC529" t="str">
        <f t="shared" si="658"/>
        <v>N2-M7-A1</v>
      </c>
      <c r="DD529" t="str">
        <f t="shared" si="659"/>
        <v>N2-M7-A5</v>
      </c>
      <c r="DE529" t="str">
        <f t="shared" si="660"/>
        <v>N2-M7-A11</v>
      </c>
      <c r="DF529" t="str">
        <f t="shared" si="661"/>
        <v>N2-M7-A12</v>
      </c>
      <c r="DG529" t="str">
        <f>CONCATENATE($T529,"-M",$U529,"-A19")</f>
        <v>N2-M7-A19</v>
      </c>
      <c r="DH529" t="str">
        <f>CONCATENATE($T529,"-M",$U529,"-A20")</f>
        <v>N2-M7-A20</v>
      </c>
      <c r="DI529" t="s">
        <v>142</v>
      </c>
      <c r="DJ529" t="s">
        <v>143</v>
      </c>
      <c r="DK529">
        <v>11</v>
      </c>
      <c r="DL529">
        <v>14</v>
      </c>
      <c r="DM529">
        <v>12</v>
      </c>
      <c r="DN529" t="s">
        <v>144</v>
      </c>
      <c r="DO529" t="s">
        <v>145</v>
      </c>
      <c r="DP529">
        <v>1</v>
      </c>
      <c r="DQ529">
        <v>2</v>
      </c>
      <c r="DR529">
        <v>3</v>
      </c>
      <c r="DS529">
        <v>4</v>
      </c>
      <c r="DT529">
        <v>5</v>
      </c>
      <c r="DU529">
        <v>6</v>
      </c>
      <c r="DV529">
        <v>7</v>
      </c>
      <c r="DW529">
        <v>8</v>
      </c>
      <c r="DX529">
        <v>9</v>
      </c>
      <c r="DY529">
        <v>10</v>
      </c>
      <c r="DZ529">
        <v>11</v>
      </c>
      <c r="EA529">
        <v>12</v>
      </c>
      <c r="EB529">
        <v>13</v>
      </c>
      <c r="EC529">
        <v>14</v>
      </c>
      <c r="ED529">
        <v>1</v>
      </c>
      <c r="EE529">
        <v>3</v>
      </c>
      <c r="EF529">
        <v>4</v>
      </c>
      <c r="EG529">
        <v>7</v>
      </c>
      <c r="EH529">
        <v>8</v>
      </c>
      <c r="EI529">
        <v>9</v>
      </c>
      <c r="EJ529">
        <v>10</v>
      </c>
      <c r="EK529">
        <v>13</v>
      </c>
      <c r="EL529">
        <v>15</v>
      </c>
      <c r="EM529">
        <v>16</v>
      </c>
      <c r="EN529">
        <v>16</v>
      </c>
      <c r="EO529">
        <v>22</v>
      </c>
      <c r="EP529">
        <v>23</v>
      </c>
      <c r="EQ529" s="16">
        <v>24</v>
      </c>
      <c r="MA529" t="str">
        <f t="shared" si="593"/>
        <v>DI2-B1</v>
      </c>
    </row>
    <row r="530" spans="1:339" x14ac:dyDescent="0.25">
      <c r="A530" s="83" t="s">
        <v>2740</v>
      </c>
      <c r="B530" s="83" t="s">
        <v>2739</v>
      </c>
      <c r="P530" t="s">
        <v>391</v>
      </c>
      <c r="T530" s="14" t="s">
        <v>2713</v>
      </c>
      <c r="U530" s="59">
        <f>U529+1</f>
        <v>8</v>
      </c>
      <c r="V530" s="15" t="s">
        <v>2738</v>
      </c>
      <c r="W530" s="15" t="s">
        <v>2737</v>
      </c>
      <c r="X530" t="s">
        <v>400</v>
      </c>
      <c r="Y530" s="43" t="str">
        <f t="array" ref="Y530">IF(COUNTIFS($X$523:$X530,$X530)=1,"1",VALUE(SUBSTITUTE(INDEX(Y:Y,_xlfn.XMATCH($X530,$X$1:$X529,0,-1)),"A",""))+INDEX(Z:Z,_xlfn.XMATCH($X530,$X$1:$X529,0,-1))+1)</f>
        <v>1</v>
      </c>
      <c r="Z530" s="43">
        <f t="array" ref="Z530">SUM(IF(ISNUMBER(FIND("TmAi",$BE$1:$AAQ$1)),IF(IFERROR(ISODD(SUBSTITUTE($BE530:$AAQ530,"A","")),FALSE),IF(ISODD(SUBSTITUTE($BE530:$AAQ530,"A","")),1,0),0)))</f>
        <v>0</v>
      </c>
      <c r="AA530" t="str">
        <f>CONCATENATE($Y530*2-1,"A")</f>
        <v>1A</v>
      </c>
      <c r="AB530" t="str">
        <f>CONCATENATE($Y530*2-1,"B")</f>
        <v>1B</v>
      </c>
      <c r="AC530" t="str">
        <f>IF(AD529+AE529&gt;25,REPLACE(AC529,LEN(AC529),1,VALUE(RIGHT(AC529,1))+1),AC529)</f>
        <v>A5.2</v>
      </c>
      <c r="AD530" s="43">
        <f t="array" ref="AD530">IF(COUNTIFS(AC$523:AC530,AC530)=1,"1",VALUE(SUBSTITUTE(INDEX(AD:AD,_xlfn.XMATCH(AC530,AC$1:AC529,0,-1)),"A",""))+INDEX(AE:AE,_xlfn.XMATCH(AC530,AC$1:AC529,0,-1))+1)</f>
        <v>5</v>
      </c>
      <c r="AE530" s="43">
        <f t="array" ref="AE530">SUM(IF(ISNUMBER(FIND("TmDi",$BE$1:$AAQ$1)),IF(IFERROR(ISNUMBER(VALUE(SUBSTITUTE($BE530:$AAQ530,"B",""))),FALSE),IF(ISNUMBER(VALUE(SUBSTITUTE($BE530:$AAQ530,"B",""))),1,0),0)))</f>
        <v>5</v>
      </c>
      <c r="AF530" t="str">
        <f t="shared" si="440"/>
        <v>C5</v>
      </c>
      <c r="AG530" t="str">
        <f t="shared" si="441"/>
        <v>B5</v>
      </c>
      <c r="AH530" t="str">
        <f>IF(AI529+AJ529&gt;25,REPLACE(AH529,LEN(AH529),1,VALUE(RIGHT(AH529,1))+1),AH529)</f>
        <v>A6.1</v>
      </c>
      <c r="AI530" s="69">
        <f t="array" ref="AI530">IF(COUNTIFS(AH$523:AH530,AH530)=1,"1",VALUE(SUBSTITUTE(INDEX(AI:AI,_xlfn.XMATCH(AH530,AH$1:AH529,0,-1)),"A",""))+INDEX(AJ:AJ,_xlfn.XMATCH(AH530,AH$1:AH529,0,-1))+1)</f>
        <v>22</v>
      </c>
      <c r="AJ530" s="62">
        <f t="array" ref="AJ530">SUM(IF(ISNUMBER(FIND("TmDo",$BE$1:$AAQ$1)),IF(IFERROR(ISNUMBER(VALUE(SUBSTITUTE($BE530:$AAQ530,"B",""))),FALSE),IF(ISNUMBER(VALUE(SUBSTITUTE($BE530:$AAQ530,"B",""))),1,0),0)))</f>
        <v>1</v>
      </c>
      <c r="AK530" t="str">
        <f t="shared" si="624"/>
        <v>22A</v>
      </c>
      <c r="AL530" t="str">
        <f t="shared" si="625"/>
        <v>22B</v>
      </c>
      <c r="AM530" t="s">
        <v>169</v>
      </c>
      <c r="AP530" t="s">
        <v>2716</v>
      </c>
      <c r="AQ530" t="s">
        <v>2717</v>
      </c>
      <c r="AS530" t="s">
        <v>396</v>
      </c>
      <c r="AT530" t="s">
        <v>139</v>
      </c>
      <c r="AU530" t="s">
        <v>140</v>
      </c>
      <c r="BD530" s="16"/>
      <c r="GT530" s="27" t="str">
        <f>CONCATENATE("XT",U530)</f>
        <v>XT8</v>
      </c>
      <c r="GU530" t="str">
        <f>CONCATENATE("C",REPLACE(AF530,1,1,"")+1)</f>
        <v>C6</v>
      </c>
      <c r="GV530" t="str">
        <f>CONCATENATE("B",REPLACE(AG530,1,1,"")+1)</f>
        <v>B6</v>
      </c>
      <c r="GW530" t="str">
        <f>CONCATENATE("C",REPLACE(GU530,1,1,"")+1)</f>
        <v>C7</v>
      </c>
      <c r="GX530" t="str">
        <f>CONCATENATE("B",REPLACE(GV530,1,1,"")+1)</f>
        <v>B7</v>
      </c>
      <c r="GY530" t="str">
        <f>CONCATENATE("C",REPLACE(GW530,1,1,"")+1)</f>
        <v>C8</v>
      </c>
      <c r="GZ530" t="str">
        <f>CONCATENATE("B",REPLACE(GX530,1,1,"")+1)</f>
        <v>B8</v>
      </c>
      <c r="HA530" t="str">
        <f>CONCATENATE("C",REPLACE(GY530,1,1,"")+1)</f>
        <v>C9</v>
      </c>
      <c r="HB530" t="str">
        <f>CONCATENATE("B",REPLACE(GZ530,1,1,"")+1)</f>
        <v>B9</v>
      </c>
      <c r="HC530" t="str">
        <f>CONCATENATE("C",REPLACE(HA530,1,1,"")+1)</f>
        <v>C10</v>
      </c>
      <c r="HD530" t="str">
        <f>CONCATENATE("B",REPLACE(HB530,1,1,"")+1)</f>
        <v>B10</v>
      </c>
      <c r="HE530" t="str">
        <f>CONCATENATE(REPLACE($AK530,LEN($AK530),1,"")+1,"A")</f>
        <v>23A</v>
      </c>
      <c r="HF530" t="str">
        <f>CONCATENATE(REPLACE($AL530,LEN($AL530),1,"")+1,"B")</f>
        <v>23B</v>
      </c>
      <c r="HG530" t="str">
        <f>CONCATENATE("AI",REPLACE($X530,1,3,""),"-",AA530)</f>
        <v>AI1-1A</v>
      </c>
      <c r="HH530" t="str">
        <f>CONCATENATE("AI",REPLACE($X530,1,3,""),"-",AB530)</f>
        <v>AI1-1B</v>
      </c>
      <c r="HI530" t="str">
        <f>CONCATENATE("DI",REPLACE($AC530,1,3,""),"-",AF530)</f>
        <v>DI2-C5</v>
      </c>
      <c r="HJ530" t="str">
        <f>CONCATENATE("DI",REPLACE($AC530,1,3,""),"-",AG530)</f>
        <v>DI2-B5</v>
      </c>
      <c r="HK530" t="str">
        <f t="shared" ref="HK530:HT531" si="664">CONCATENATE("DI",REPLACE($AC530,1,3,""),"-",GU530)</f>
        <v>DI2-C6</v>
      </c>
      <c r="HL530" t="str">
        <f t="shared" si="664"/>
        <v>DI2-B6</v>
      </c>
      <c r="HM530" t="str">
        <f t="shared" si="664"/>
        <v>DI2-C7</v>
      </c>
      <c r="HN530" t="str">
        <f t="shared" si="664"/>
        <v>DI2-B7</v>
      </c>
      <c r="HO530" t="str">
        <f t="shared" si="664"/>
        <v>DI2-C8</v>
      </c>
      <c r="HP530" t="str">
        <f t="shared" si="664"/>
        <v>DI2-B8</v>
      </c>
      <c r="HQ530" t="str">
        <f t="shared" si="664"/>
        <v>DI2-C9</v>
      </c>
      <c r="HR530" t="str">
        <f t="shared" si="664"/>
        <v>DI2-B9</v>
      </c>
      <c r="HS530" t="str">
        <f t="shared" si="664"/>
        <v>DI2-C10</v>
      </c>
      <c r="HT530" t="str">
        <f t="shared" si="664"/>
        <v>DI2-B10</v>
      </c>
      <c r="HU530" t="str">
        <f>CONCATENATE("DO",REPLACE($AH530,1,3,""),"-",AK530)</f>
        <v>DO1-22A</v>
      </c>
      <c r="HV530" t="str">
        <f>CONCATENATE("DO",REPLACE($AH530,1,3,""),"-",AL530)</f>
        <v>DO1-22B</v>
      </c>
      <c r="HW530" t="str">
        <f>CONCATENATE("DO",REPLACE($AH530,1,3,""),"-",HE530)</f>
        <v>DO1-23A</v>
      </c>
      <c r="HX530" t="str">
        <f>CONCATENATE("DO",REPLACE($AH530,1,3,""),"-",HF530)</f>
        <v>DO1-23B</v>
      </c>
      <c r="HY530" t="str">
        <f>CONCATENATE("K",$U530,"-01")</f>
        <v>K8-01</v>
      </c>
      <c r="HZ530" t="str">
        <f>CONCATENATE("K",$U530,"-02")</f>
        <v>K8-02</v>
      </c>
      <c r="IA530" t="str">
        <f>CONCATENATE("K",$U530,"-03")</f>
        <v>K8-03</v>
      </c>
      <c r="IB530" t="str">
        <f>CONCATENATE("K",$U530,"-04")</f>
        <v>K8-04</v>
      </c>
      <c r="IC530" t="str">
        <f>CONCATENATE("K",$U530,"-05")</f>
        <v>K8-05</v>
      </c>
      <c r="ID530" t="str">
        <f>CONCATENATE("K",$U530,"-06")</f>
        <v>K8-06</v>
      </c>
      <c r="IE530" t="str">
        <f>CONCATENATE("K",$U530,"-07")</f>
        <v>K8-07</v>
      </c>
      <c r="IF530" t="str">
        <f>CONCATENATE("K",$U530,"-08")</f>
        <v>K8-08</v>
      </c>
      <c r="IG530" t="str">
        <f>CONCATENATE($T530,"-M",$U530,"-AMS-12")</f>
        <v>N2-M8-AMS-12</v>
      </c>
      <c r="IH530" t="str">
        <f>CONCATENATE($T530,"-M",$U530,"-AMS-10")</f>
        <v>N2-M8-AMS-10</v>
      </c>
      <c r="II530" t="str">
        <f>CONCATENATE($T530,"-M",$U530,"-AMS-11")</f>
        <v>N2-M8-AMS-11</v>
      </c>
      <c r="IJ530" t="str">
        <f>CONCATENATE($T530,"-M",$U530,"-AMS-13")</f>
        <v>N2-M8-AMS-13</v>
      </c>
      <c r="IK530" t="str">
        <f>CONCATENATE($T530,"-M",$U530,"-AMS-9")</f>
        <v>N2-M8-AMS-9</v>
      </c>
      <c r="IL530" t="str">
        <f>CONCATENATE($T530,"-M",$U530,"-AMS-7")</f>
        <v>N2-M8-AMS-7</v>
      </c>
      <c r="IM530" t="str">
        <f>CONCATENATE($T530,"-M",$U530,"-AMS-18")</f>
        <v>N2-M8-AMS-18</v>
      </c>
      <c r="IN530" t="str">
        <f>CONCATENATE($T530,"-M",$U530,"-AMS-20")</f>
        <v>N2-M8-AMS-20</v>
      </c>
      <c r="IO530" t="str">
        <f>CONCATENATE($T530,"-M",$U530,"-AMS-17")</f>
        <v>N2-M8-AMS-17</v>
      </c>
      <c r="IP530" t="str">
        <f>CONCATENATE($T530,"-+24-M",$U530,)</f>
        <v>N2-+24-M8</v>
      </c>
      <c r="IQ530" t="str">
        <f>CONCATENATE($T530,"-M",$U530,"-XM01")</f>
        <v>N2-M8-XM01</v>
      </c>
      <c r="IR530" t="s">
        <v>142</v>
      </c>
      <c r="IS530" t="s">
        <v>143</v>
      </c>
      <c r="IT530">
        <v>11</v>
      </c>
      <c r="IU530">
        <v>14</v>
      </c>
      <c r="IV530" t="s">
        <v>413</v>
      </c>
      <c r="IW530" t="s">
        <v>414</v>
      </c>
      <c r="IX530">
        <v>1</v>
      </c>
      <c r="IY530">
        <v>2</v>
      </c>
      <c r="IZ530">
        <v>3</v>
      </c>
      <c r="JA530">
        <v>4</v>
      </c>
      <c r="JB530">
        <v>5</v>
      </c>
      <c r="JC530">
        <v>6</v>
      </c>
      <c r="JD530">
        <v>7</v>
      </c>
      <c r="JE530">
        <v>8</v>
      </c>
      <c r="JF530">
        <v>9</v>
      </c>
      <c r="JG530">
        <v>10</v>
      </c>
      <c r="JH530">
        <v>11</v>
      </c>
      <c r="JI530">
        <v>12</v>
      </c>
      <c r="JJ530">
        <v>13</v>
      </c>
      <c r="JK530">
        <v>14</v>
      </c>
      <c r="JL530">
        <v>17</v>
      </c>
      <c r="JM530">
        <v>15</v>
      </c>
      <c r="JN530">
        <v>18</v>
      </c>
      <c r="JO530">
        <v>11</v>
      </c>
      <c r="JP530">
        <v>9</v>
      </c>
      <c r="JQ530">
        <v>6</v>
      </c>
      <c r="JR530">
        <v>20</v>
      </c>
      <c r="JS530">
        <v>7</v>
      </c>
      <c r="JT530">
        <v>10</v>
      </c>
      <c r="JU530">
        <v>22</v>
      </c>
      <c r="JV530">
        <v>23</v>
      </c>
      <c r="JW530">
        <v>26</v>
      </c>
      <c r="JX530">
        <v>27</v>
      </c>
      <c r="JY530" s="16">
        <v>30</v>
      </c>
      <c r="MA530" t="str">
        <f t="shared" si="593"/>
        <v>DI2-B5</v>
      </c>
    </row>
    <row r="531" spans="1:339" x14ac:dyDescent="0.25">
      <c r="A531" s="83" t="s">
        <v>2742</v>
      </c>
      <c r="B531" s="83" t="s">
        <v>2741</v>
      </c>
      <c r="P531" t="s">
        <v>391</v>
      </c>
      <c r="T531" s="14" t="s">
        <v>2713</v>
      </c>
      <c r="U531" s="59">
        <f>U530+1</f>
        <v>9</v>
      </c>
      <c r="V531" s="15" t="s">
        <v>2743</v>
      </c>
      <c r="W531" s="15" t="s">
        <v>2744</v>
      </c>
      <c r="X531" t="str">
        <f>IF(COUNTIF(X$523:X530,X530)&gt;7,REPLACE(X530,LEN(X530),1,VALUE(RIGHT(X530,1))+1),X530)</f>
        <v>A3.1</v>
      </c>
      <c r="Y531" s="43">
        <f t="array" ref="Y531">IF(COUNTIFS($X$523:$X531,$X531)=1,"1",VALUE(SUBSTITUTE(INDEX(Y:Y,_xlfn.XMATCH($X531,$X$1:$X530,0,-1)),"A",""))+INDEX(Z:Z,_xlfn.XMATCH($X531,$X$1:$X530,0,-1))+1)</f>
        <v>2</v>
      </c>
      <c r="Z531" s="43">
        <f t="array" ref="Z531">SUM(IF(ISNUMBER(FIND("TmAi",$BE$1:$AAQ$1)),IF(IFERROR(ISODD(SUBSTITUTE($BE531:$AAQ531,"A","")),FALSE),IF(ISODD(SUBSTITUTE($BE531:$AAQ531,"A","")),1,0),0)))</f>
        <v>0</v>
      </c>
      <c r="AA531" t="str">
        <f>CONCATENATE($Y531*2-1,"A")</f>
        <v>3A</v>
      </c>
      <c r="AB531" t="str">
        <f>CONCATENATE($Y531*2-1,"B")</f>
        <v>3B</v>
      </c>
      <c r="AC531" t="str">
        <f>IF(AD530+AE530&gt;25,REPLACE(AC530,LEN(AC530),1,VALUE(RIGHT(AC530,1))+1),AC530)</f>
        <v>A5.2</v>
      </c>
      <c r="AD531" s="43">
        <f t="array" ref="AD531">IF(COUNTIFS(AC$523:AC531,AC531)=1,"1",VALUE(SUBSTITUTE(INDEX(AD:AD,_xlfn.XMATCH(AC531,AC$1:AC530,0,-1)),"A",""))+INDEX(AE:AE,_xlfn.XMATCH(AC531,AC$1:AC530,0,-1))+1)</f>
        <v>11</v>
      </c>
      <c r="AE531" s="43">
        <f t="array" ref="AE531">SUM(IF(ISNUMBER(FIND("TmDi",$BE$1:$AAQ$1)),IF(IFERROR(ISNUMBER(VALUE(SUBSTITUTE($BE531:$AAQ531,"B",""))),FALSE),IF(ISNUMBER(VALUE(SUBSTITUTE($BE531:$AAQ531,"B",""))),1,0),0)))</f>
        <v>5</v>
      </c>
      <c r="AF531" t="str">
        <f t="shared" si="440"/>
        <v>C11</v>
      </c>
      <c r="AG531" t="str">
        <f t="shared" si="441"/>
        <v>B11</v>
      </c>
      <c r="AH531" t="str">
        <f>IF(AI530+AJ530&gt;25,REPLACE(AH530,LEN(AH530),1,VALUE(RIGHT(AH530,1))+1),AH530)</f>
        <v>A6.1</v>
      </c>
      <c r="AI531" s="69">
        <f t="array" ref="AI531">IF(COUNTIFS(AH$523:AH531,AH531)=1,"1",VALUE(SUBSTITUTE(INDEX(AI:AI,_xlfn.XMATCH(AH531,AH$1:AH530,0,-1)),"A",""))+INDEX(AJ:AJ,_xlfn.XMATCH(AH531,AH$1:AH530,0,-1))+1)</f>
        <v>24</v>
      </c>
      <c r="AJ531" s="62">
        <f t="array" ref="AJ531">SUM(IF(ISNUMBER(FIND("TmDo",$BE$1:$AAQ$1)),IF(IFERROR(ISNUMBER(VALUE(SUBSTITUTE($BE531:$AAQ531,"B",""))),FALSE),IF(ISNUMBER(VALUE(SUBSTITUTE($BE531:$AAQ531,"B",""))),1,0),0)))</f>
        <v>1</v>
      </c>
      <c r="AK531" t="str">
        <f t="shared" si="624"/>
        <v>24A</v>
      </c>
      <c r="AL531" t="str">
        <f t="shared" si="625"/>
        <v>24B</v>
      </c>
      <c r="AM531" t="s">
        <v>172</v>
      </c>
      <c r="AP531" t="s">
        <v>2716</v>
      </c>
      <c r="AQ531" t="s">
        <v>2717</v>
      </c>
      <c r="AS531" t="s">
        <v>396</v>
      </c>
      <c r="AT531" t="s">
        <v>139</v>
      </c>
      <c r="AU531" t="s">
        <v>140</v>
      </c>
      <c r="BD531" s="16"/>
      <c r="GT531" s="27" t="str">
        <f>CONCATENATE("XT",U531)</f>
        <v>XT9</v>
      </c>
      <c r="GU531" t="str">
        <f>CONCATENATE("C",REPLACE(AF531,1,1,"")+1)</f>
        <v>C12</v>
      </c>
      <c r="GV531" t="str">
        <f>CONCATENATE("B",REPLACE(AG531,1,1,"")+1)</f>
        <v>B12</v>
      </c>
      <c r="GW531" t="str">
        <f>CONCATENATE("C",REPLACE(GU531,1,1,"")+1)</f>
        <v>C13</v>
      </c>
      <c r="GX531" t="str">
        <f>CONCATENATE("B",REPLACE(GV531,1,1,"")+1)</f>
        <v>B13</v>
      </c>
      <c r="GY531" t="str">
        <f>CONCATENATE("C",REPLACE(GW531,1,1,"")+1)</f>
        <v>C14</v>
      </c>
      <c r="GZ531" t="str">
        <f>CONCATENATE("B",REPLACE(GX531,1,1,"")+1)</f>
        <v>B14</v>
      </c>
      <c r="HA531" t="str">
        <f>CONCATENATE("C",REPLACE(GY531,1,1,"")+1)</f>
        <v>C15</v>
      </c>
      <c r="HB531" t="str">
        <f>CONCATENATE("B",REPLACE(GZ531,1,1,"")+1)</f>
        <v>B15</v>
      </c>
      <c r="HC531" t="str">
        <f>CONCATENATE("C",REPLACE(HA531,1,1,"")+1)</f>
        <v>C16</v>
      </c>
      <c r="HD531" t="str">
        <f>CONCATENATE("B",REPLACE(HB531,1,1,"")+1)</f>
        <v>B16</v>
      </c>
      <c r="HE531" t="str">
        <f>CONCATENATE(REPLACE(AK531,LEN(AK531),1,"")+1,"A")</f>
        <v>25A</v>
      </c>
      <c r="HF531" t="str">
        <f>CONCATENATE(REPLACE(AL531,LEN(AL531),1,"")+1,"B")</f>
        <v>25B</v>
      </c>
      <c r="HG531" t="str">
        <f>CONCATENATE("AI",REPLACE($X531,1,3,""),"-",AA531)</f>
        <v>AI1-3A</v>
      </c>
      <c r="HH531" t="str">
        <f>CONCATENATE("AI",REPLACE($X531,1,3,""),"-",AB531)</f>
        <v>AI1-3B</v>
      </c>
      <c r="HI531" t="str">
        <f>CONCATENATE("DI",REPLACE($AC531,1,3,""),"-",AF531)</f>
        <v>DI2-C11</v>
      </c>
      <c r="HJ531" t="str">
        <f>CONCATENATE("DI",REPLACE($AC531,1,3,""),"-",AG531)</f>
        <v>DI2-B11</v>
      </c>
      <c r="HK531" t="str">
        <f t="shared" si="664"/>
        <v>DI2-C12</v>
      </c>
      <c r="HL531" t="str">
        <f t="shared" si="664"/>
        <v>DI2-B12</v>
      </c>
      <c r="HM531" t="str">
        <f t="shared" si="664"/>
        <v>DI2-C13</v>
      </c>
      <c r="HN531" t="str">
        <f t="shared" si="664"/>
        <v>DI2-B13</v>
      </c>
      <c r="HO531" t="str">
        <f t="shared" si="664"/>
        <v>DI2-C14</v>
      </c>
      <c r="HP531" t="str">
        <f t="shared" si="664"/>
        <v>DI2-B14</v>
      </c>
      <c r="HQ531" t="str">
        <f t="shared" si="664"/>
        <v>DI2-C15</v>
      </c>
      <c r="HR531" t="str">
        <f t="shared" si="664"/>
        <v>DI2-B15</v>
      </c>
      <c r="HS531" t="str">
        <f t="shared" si="664"/>
        <v>DI2-C16</v>
      </c>
      <c r="HT531" t="str">
        <f t="shared" si="664"/>
        <v>DI2-B16</v>
      </c>
      <c r="HU531" t="str">
        <f>CONCATENATE("DO",REPLACE($AH531,1,3,""),"-",AK531)</f>
        <v>DO1-24A</v>
      </c>
      <c r="HV531" t="str">
        <f>CONCATENATE("DO",REPLACE($AH531,1,3,""),"-",AL531)</f>
        <v>DO1-24B</v>
      </c>
      <c r="HW531" t="str">
        <f>CONCATENATE("DO",REPLACE($AH531,1,3,""),"-",HE531)</f>
        <v>DO1-25A</v>
      </c>
      <c r="HX531" t="str">
        <f>CONCATENATE("DO",REPLACE($AH531,1,3,""),"-",HF531)</f>
        <v>DO1-25B</v>
      </c>
      <c r="HY531" t="str">
        <f>CONCATENATE("K",$U531,"-01")</f>
        <v>K9-01</v>
      </c>
      <c r="HZ531" t="str">
        <f>CONCATENATE("K",$U531,"-02")</f>
        <v>K9-02</v>
      </c>
      <c r="IA531" t="str">
        <f>CONCATENATE("K",$U531,"-03")</f>
        <v>K9-03</v>
      </c>
      <c r="IB531" t="str">
        <f>CONCATENATE("K",$U531,"-04")</f>
        <v>K9-04</v>
      </c>
      <c r="IC531" t="str">
        <f>CONCATENATE("K",$U531,"-05")</f>
        <v>K9-05</v>
      </c>
      <c r="ID531" t="str">
        <f>CONCATENATE("K",$U531,"-06")</f>
        <v>K9-06</v>
      </c>
      <c r="IE531" t="str">
        <f>CONCATENATE("K",$U531,"-07")</f>
        <v>K9-07</v>
      </c>
      <c r="IF531" t="str">
        <f>CONCATENATE("K",$U531,"-08")</f>
        <v>K9-08</v>
      </c>
      <c r="IG531" t="str">
        <f>CONCATENATE($T531,"-M",$U531,"-AMS-12")</f>
        <v>N2-M9-AMS-12</v>
      </c>
      <c r="IH531" t="str">
        <f>CONCATENATE($T531,"-M",$U531,"-AMS-10")</f>
        <v>N2-M9-AMS-10</v>
      </c>
      <c r="II531" t="str">
        <f>CONCATENATE($T531,"-M",$U531,"-AMS-11")</f>
        <v>N2-M9-AMS-11</v>
      </c>
      <c r="IJ531" t="str">
        <f>CONCATENATE($T531,"-M",$U531,"-AMS-13")</f>
        <v>N2-M9-AMS-13</v>
      </c>
      <c r="IK531" t="str">
        <f>CONCATENATE($T531,"-M",$U531,"-AMS-9")</f>
        <v>N2-M9-AMS-9</v>
      </c>
      <c r="IL531" t="str">
        <f>CONCATENATE($T531,"-M",$U531,"-AMS-7")</f>
        <v>N2-M9-AMS-7</v>
      </c>
      <c r="IM531" t="str">
        <f>CONCATENATE($T531,"-M",$U531,"-AMS-18")</f>
        <v>N2-M9-AMS-18</v>
      </c>
      <c r="IN531" t="str">
        <f>CONCATENATE($T531,"-M",$U531,"-AMS-20")</f>
        <v>N2-M9-AMS-20</v>
      </c>
      <c r="IO531" t="str">
        <f>CONCATENATE($T531,"-M",$U531,"-AMS-17")</f>
        <v>N2-M9-AMS-17</v>
      </c>
      <c r="IP531" t="str">
        <f>CONCATENATE($T531,"-+24-M",$U531,)</f>
        <v>N2-+24-M9</v>
      </c>
      <c r="IQ531" t="str">
        <f>CONCATENATE($T531,"-M",$U531,"-XM01")</f>
        <v>N2-M9-XM01</v>
      </c>
      <c r="IR531" t="s">
        <v>142</v>
      </c>
      <c r="IS531" t="s">
        <v>143</v>
      </c>
      <c r="IT531">
        <v>11</v>
      </c>
      <c r="IU531">
        <v>14</v>
      </c>
      <c r="IV531" t="s">
        <v>413</v>
      </c>
      <c r="IW531" t="s">
        <v>414</v>
      </c>
      <c r="IX531">
        <v>1</v>
      </c>
      <c r="IY531">
        <v>2</v>
      </c>
      <c r="IZ531">
        <v>3</v>
      </c>
      <c r="JA531">
        <v>4</v>
      </c>
      <c r="JB531">
        <v>5</v>
      </c>
      <c r="JC531">
        <v>6</v>
      </c>
      <c r="JD531">
        <v>7</v>
      </c>
      <c r="JE531">
        <v>8</v>
      </c>
      <c r="JF531">
        <v>9</v>
      </c>
      <c r="JG531">
        <v>10</v>
      </c>
      <c r="JH531">
        <v>11</v>
      </c>
      <c r="JI531">
        <v>12</v>
      </c>
      <c r="JJ531">
        <v>13</v>
      </c>
      <c r="JK531">
        <v>14</v>
      </c>
      <c r="JL531">
        <v>17</v>
      </c>
      <c r="JM531">
        <v>15</v>
      </c>
      <c r="JN531">
        <v>18</v>
      </c>
      <c r="JO531">
        <v>11</v>
      </c>
      <c r="JP531">
        <v>9</v>
      </c>
      <c r="JQ531">
        <v>6</v>
      </c>
      <c r="JR531">
        <v>20</v>
      </c>
      <c r="JS531">
        <v>7</v>
      </c>
      <c r="JT531">
        <v>10</v>
      </c>
      <c r="JU531">
        <v>22</v>
      </c>
      <c r="JV531">
        <v>23</v>
      </c>
      <c r="JW531">
        <v>26</v>
      </c>
      <c r="JX531">
        <v>27</v>
      </c>
      <c r="JY531" s="16">
        <v>30</v>
      </c>
      <c r="MA531" t="str">
        <f t="shared" si="593"/>
        <v>DI2-B11</v>
      </c>
    </row>
    <row r="532" spans="1:339" x14ac:dyDescent="0.25">
      <c r="A532" s="83" t="s">
        <v>2748</v>
      </c>
      <c r="B532" s="83" t="s">
        <v>2746</v>
      </c>
      <c r="C532" s="3"/>
      <c r="O532" s="2"/>
      <c r="P532" t="s">
        <v>2711</v>
      </c>
      <c r="Q532" s="1"/>
      <c r="S532" s="1" t="s">
        <v>130</v>
      </c>
      <c r="T532" s="14" t="s">
        <v>2713</v>
      </c>
      <c r="U532" s="59">
        <v>10</v>
      </c>
      <c r="V532" s="15" t="s">
        <v>2747</v>
      </c>
      <c r="W532" s="15"/>
      <c r="AC532" t="str">
        <f>IF(AD531+AE531&gt;29,REPLACE(AC531,LEN(AC531),1,VALUE(RIGHT(AC531,1))+1),AC531)</f>
        <v>A5.2</v>
      </c>
      <c r="AD532" s="43">
        <f t="array" ref="AD532">IF(COUNTIFS(AC$523:AC532,AC532)=1,"1",VALUE(SUBSTITUTE(INDEX(AD:AD,_xlfn.XMATCH(AC532,AC$1:AC531,0,-1)),"A",""))+INDEX(AE:AE,_xlfn.XMATCH(AC532,AC$1:AC531,0,-1))+1)</f>
        <v>17</v>
      </c>
      <c r="AE532" s="43">
        <f t="array" ref="AE532">SUM(IF(ISNUMBER(FIND("TmDi",$BE$1:$AAQ$1)),IF(IFERROR(ISNUMBER(VALUE(SUBSTITUTE($BE532:$AAQ532,"B",""))),FALSE),IF(ISNUMBER(VALUE(SUBSTITUTE($BE532:$AAQ532,"B",""))),1,0),0)))</f>
        <v>5</v>
      </c>
      <c r="AF532" t="str">
        <f t="shared" si="440"/>
        <v>C17</v>
      </c>
      <c r="AG532" t="str">
        <f t="shared" si="441"/>
        <v>B17</v>
      </c>
      <c r="AH532" t="str">
        <f>IF(AI531+AJ531&gt;27,REPLACE(AH531,LEN(AH531),1,VALUE(RIGHT(AH531,1))+1),AH531)</f>
        <v>A6.1</v>
      </c>
      <c r="AI532" s="69">
        <f t="array" ref="AI532">IF(COUNTIFS(AH$523:AH532,AH532)=1,"1",VALUE(SUBSTITUTE(INDEX(AI:AI,_xlfn.XMATCH(AH532,AH$1:AH531,0,-1)),"A",""))+INDEX(AJ:AJ,_xlfn.XMATCH(AH532,AH$1:AH531,0,-1))+1)</f>
        <v>26</v>
      </c>
      <c r="AJ532" s="62">
        <f t="array" ref="AJ532">SUM(IF(ISNUMBER(FIND("TmDo",$BE$1:$AAQ$1)),IF(IFERROR(ISNUMBER(VALUE(SUBSTITUTE($BE532:$AAQ532,"B",""))),FALSE),IF(ISNUMBER(VALUE(SUBSTITUTE($BE532:$AAQ532,"B",""))),1,0),0)))</f>
        <v>2</v>
      </c>
      <c r="AK532" t="str">
        <f t="shared" si="624"/>
        <v>26A</v>
      </c>
      <c r="AL532" t="str">
        <f t="shared" si="625"/>
        <v>26B</v>
      </c>
      <c r="AM532" t="s">
        <v>141</v>
      </c>
      <c r="AP532" t="s">
        <v>2716</v>
      </c>
      <c r="AQ532" t="s">
        <v>2745</v>
      </c>
      <c r="AT532" t="s">
        <v>139</v>
      </c>
      <c r="AU532" t="s">
        <v>140</v>
      </c>
      <c r="BD532" s="16"/>
      <c r="BE532" s="27" t="str">
        <f t="shared" ref="BE532:BE539" si="665">CONCATENATE("XT",U532)</f>
        <v>XT10</v>
      </c>
      <c r="BF532" t="str">
        <f t="shared" ref="BF532:BF538" si="666">CONCATENATE("C",REPLACE(AF532,1,1,"")+1)</f>
        <v>C18</v>
      </c>
      <c r="BG532" t="str">
        <f t="shared" ref="BG532:BG538" si="667">CONCATENATE("B",REPLACE(AG532,1,1,"")+1)</f>
        <v>B18</v>
      </c>
      <c r="BH532" t="str">
        <f t="shared" ref="BH532:BH539" si="668">CONCATENATE("C",REPLACE(BF532,1,1,"")+1)</f>
        <v>C19</v>
      </c>
      <c r="BI532" t="str">
        <f t="shared" ref="BI532:BI539" si="669">CONCATENATE("B",REPLACE(BG532,1,1,"")+1)</f>
        <v>B19</v>
      </c>
      <c r="BJ532" t="str">
        <f t="shared" ref="BJ532:BJ539" si="670">CONCATENATE("C",REPLACE(BH532,1,1,"")+1)</f>
        <v>C20</v>
      </c>
      <c r="BK532" t="str">
        <f t="shared" ref="BK532:BK539" si="671">CONCATENATE("B",REPLACE(BI532,1,1,"")+1)</f>
        <v>B20</v>
      </c>
      <c r="BL532" t="str">
        <f>CONCATENATE("C",REPLACE(BJ532,1,1,"")+1)</f>
        <v>C21</v>
      </c>
      <c r="BM532" t="str">
        <f>CONCATENATE("B",REPLACE(BK532,1,1,"")+1)</f>
        <v>B21</v>
      </c>
      <c r="BN532" t="str">
        <f>CONCATENATE("C",REPLACE(BL532,1,1,"")+1)</f>
        <v>C22</v>
      </c>
      <c r="BO532" t="str">
        <f>CONCATENATE("B",REPLACE(BM532,1,1,"")+1)</f>
        <v>B22</v>
      </c>
      <c r="BP532" t="str">
        <f t="shared" ref="BP532:BP538" si="672">CONCATENATE(REPLACE(AK532,LEN(AK532),1,"")+1,"A")</f>
        <v>27A</v>
      </c>
      <c r="BQ532" t="str">
        <f t="shared" ref="BQ532:BQ538" si="673">CONCATENATE(REPLACE(AL532,LEN(AL532),1,"")+1,"B")</f>
        <v>27B</v>
      </c>
      <c r="BR532" t="str">
        <f t="shared" ref="BR532:BR539" si="674">CONCATENATE(REPLACE(BP532,LEN(BP532),1,"")+1,"A")</f>
        <v>28A</v>
      </c>
      <c r="BS532" t="str">
        <f t="shared" ref="BS532:BS539" si="675">CONCATENATE(REPLACE(BQ532,LEN(BQ532),1,"")+1,"B")</f>
        <v>28B</v>
      </c>
      <c r="BT532" t="str">
        <f t="shared" ref="BT532:BU538" si="676">CONCATENATE("DI",REPLACE($AC532,1,3,""),"-",AF532)</f>
        <v>DI2-C17</v>
      </c>
      <c r="BU532" t="str">
        <f t="shared" si="676"/>
        <v>DI2-B17</v>
      </c>
      <c r="BV532" t="str">
        <f t="shared" ref="BV532:CE539" si="677">CONCATENATE("DI",REPLACE($AC532,1,3,""),"-",BF532)</f>
        <v>DI2-C18</v>
      </c>
      <c r="BW532" t="str">
        <f t="shared" si="677"/>
        <v>DI2-B18</v>
      </c>
      <c r="BX532" t="str">
        <f t="shared" si="677"/>
        <v>DI2-C19</v>
      </c>
      <c r="BY532" t="str">
        <f t="shared" si="677"/>
        <v>DI2-B19</v>
      </c>
      <c r="BZ532" t="str">
        <f t="shared" si="677"/>
        <v>DI2-C20</v>
      </c>
      <c r="CA532" t="str">
        <f t="shared" si="677"/>
        <v>DI2-B20</v>
      </c>
      <c r="CB532" t="str">
        <f t="shared" si="677"/>
        <v>DI2-C21</v>
      </c>
      <c r="CC532" t="str">
        <f t="shared" si="677"/>
        <v>DI2-B21</v>
      </c>
      <c r="CD532" t="str">
        <f t="shared" si="677"/>
        <v>DI2-C22</v>
      </c>
      <c r="CE532" t="str">
        <f t="shared" si="677"/>
        <v>DI2-B22</v>
      </c>
      <c r="CF532" t="str">
        <f t="shared" ref="CF532:CG535" si="678">CONCATENATE("DO",REPLACE($AH532,1,3,""),"-",AK532)</f>
        <v>DO1-26A</v>
      </c>
      <c r="CG532" t="str">
        <f t="shared" si="678"/>
        <v>DO1-26B</v>
      </c>
      <c r="CH532" t="str">
        <f t="shared" ref="CH532:CK539" si="679">CONCATENATE("DO",REPLACE($AH532,1,3,""),"-",BP532)</f>
        <v>DO1-27A</v>
      </c>
      <c r="CI532" t="str">
        <f t="shared" si="679"/>
        <v>DO1-27B</v>
      </c>
      <c r="CJ532" t="str">
        <f t="shared" si="679"/>
        <v>DO1-28A</v>
      </c>
      <c r="CK532" t="str">
        <f t="shared" si="679"/>
        <v>DO1-28B</v>
      </c>
      <c r="CL532" t="str">
        <f t="shared" ref="CL532:CL539" si="680">CONCATENATE("K",$U532,"-10")</f>
        <v>K10-10</v>
      </c>
      <c r="CM532" t="str">
        <f t="shared" ref="CM532:CM539" si="681">CONCATENATE("K",$U532,"-03")</f>
        <v>K10-03</v>
      </c>
      <c r="CN532" t="str">
        <f t="shared" ref="CN532:CN539" si="682">CONCATENATE("K",$U532,"-04")</f>
        <v>K10-04</v>
      </c>
      <c r="CO532" t="str">
        <f t="shared" ref="CO532:CO539" si="683">CONCATENATE("K",$U532,"-01")</f>
        <v>K10-01</v>
      </c>
      <c r="CP532" t="str">
        <f t="shared" ref="CP532:CP539" si="684">CONCATENATE("K",$U532,"-08")</f>
        <v>K10-08</v>
      </c>
      <c r="CQ532" t="str">
        <f t="shared" ref="CQ532:CQ539" si="685">CONCATENATE("K",$U532,"-02")</f>
        <v>K10-02</v>
      </c>
      <c r="CR532" t="str">
        <f t="shared" ref="CR532:CR539" si="686">CONCATENATE("K",$U532,"-09")</f>
        <v>K10-09</v>
      </c>
      <c r="CS532" t="str">
        <f t="shared" ref="CS532:CS539" si="687">CONCATENATE("K",$U532,"-05")</f>
        <v>K10-05</v>
      </c>
      <c r="CT532" t="str">
        <f t="shared" ref="CT532:CT539" si="688">CONCATENATE("K",$U532,"-11")</f>
        <v>K10-11</v>
      </c>
      <c r="CU532" t="str">
        <f t="shared" ref="CU532:CU539" si="689">CONCATENATE($T532,"-M",$U532,"-A9")</f>
        <v>N2-M10-A9</v>
      </c>
      <c r="CV532" t="str">
        <f t="shared" ref="CV532:CV539" si="690">CONCATENATE($T532,"-M",$U532,"-A7")</f>
        <v>N2-M10-A7</v>
      </c>
      <c r="CW532" t="str">
        <f t="shared" ref="CW532:CW539" si="691">CONCATENATE($T532,"-M",$U532,"-A8")</f>
        <v>N2-M10-A8</v>
      </c>
      <c r="CX532" t="str">
        <f t="shared" ref="CX532:CX539" si="692">CONCATENATE($T532,"-M",$U532,"-A6")</f>
        <v>N2-M10-A6</v>
      </c>
      <c r="CY532" t="str">
        <f t="shared" ref="CY532:CY539" si="693">CONCATENATE($T532,"-M",$U532,"-A30")</f>
        <v>N2-M10-A30</v>
      </c>
      <c r="CZ532" t="str">
        <f t="shared" ref="CZ532:CZ539" si="694">CONCATENATE($T532,"-M",$U532,"-N")</f>
        <v>N2-M10-N</v>
      </c>
      <c r="DA532" t="str">
        <f t="shared" ref="DA532:DA539" si="695">CONCATENATE($T532,"-A220-M",U532)</f>
        <v>N2-A220-M10</v>
      </c>
      <c r="DB532" t="str">
        <f t="shared" ref="DB532:DB539" si="696">CONCATENATE($T532,"-M",$U532,"-XM01")</f>
        <v>N2-M10-XM01</v>
      </c>
      <c r="DC532" t="str">
        <f t="shared" ref="DC532:DC539" si="697">CONCATENATE($T532,"-M",$U532,"-A1")</f>
        <v>N2-M10-A1</v>
      </c>
      <c r="DD532" t="str">
        <f t="shared" ref="DD532:DD539" si="698">CONCATENATE($T532,"-M",$U532,"-A5")</f>
        <v>N2-M10-A5</v>
      </c>
      <c r="DE532" t="str">
        <f t="shared" ref="DE532:DE539" si="699">CONCATENATE($T532,"-M",$U532,"-A11")</f>
        <v>N2-M10-A11</v>
      </c>
      <c r="DF532" t="str">
        <f t="shared" ref="DF532:DF539" si="700">CONCATENATE($T532,"-M",$U532,"-A12")</f>
        <v>N2-M10-A12</v>
      </c>
      <c r="DG532" t="str">
        <f>CONCATENATE($T532,"-M",$U532,"-A20")</f>
        <v>N2-M10-A20</v>
      </c>
      <c r="DH532" t="str">
        <f>CONCATENATE($T532,"-M",$U532,"-A19")</f>
        <v>N2-M10-A19</v>
      </c>
      <c r="DI532" t="s">
        <v>142</v>
      </c>
      <c r="DJ532" t="s">
        <v>143</v>
      </c>
      <c r="DK532">
        <v>11</v>
      </c>
      <c r="DL532">
        <v>14</v>
      </c>
      <c r="DM532">
        <v>12</v>
      </c>
      <c r="DN532" t="s">
        <v>144</v>
      </c>
      <c r="DO532" t="s">
        <v>145</v>
      </c>
      <c r="DP532">
        <v>1</v>
      </c>
      <c r="DQ532">
        <v>2</v>
      </c>
      <c r="DR532">
        <v>3</v>
      </c>
      <c r="DS532">
        <v>4</v>
      </c>
      <c r="DT532">
        <v>5</v>
      </c>
      <c r="DU532">
        <v>6</v>
      </c>
      <c r="DV532">
        <v>7</v>
      </c>
      <c r="DW532">
        <v>8</v>
      </c>
      <c r="DX532">
        <v>9</v>
      </c>
      <c r="DY532">
        <v>10</v>
      </c>
      <c r="DZ532">
        <v>11</v>
      </c>
      <c r="EA532">
        <v>12</v>
      </c>
      <c r="EB532">
        <v>13</v>
      </c>
      <c r="EC532">
        <v>14</v>
      </c>
      <c r="ED532">
        <v>1</v>
      </c>
      <c r="EE532">
        <v>3</v>
      </c>
      <c r="EF532">
        <v>4</v>
      </c>
      <c r="EG532">
        <v>7</v>
      </c>
      <c r="EH532">
        <v>8</v>
      </c>
      <c r="EI532">
        <v>9</v>
      </c>
      <c r="EJ532">
        <v>10</v>
      </c>
      <c r="EK532">
        <v>13</v>
      </c>
      <c r="EL532">
        <v>15</v>
      </c>
      <c r="EM532">
        <v>16</v>
      </c>
      <c r="EN532">
        <v>22</v>
      </c>
      <c r="EO532">
        <v>23</v>
      </c>
      <c r="EP532">
        <v>24</v>
      </c>
      <c r="EQ532" s="16"/>
      <c r="MA532" t="str">
        <f t="shared" si="593"/>
        <v>DI2-B17</v>
      </c>
    </row>
    <row r="533" spans="1:339" x14ac:dyDescent="0.25">
      <c r="A533" s="83" t="s">
        <v>2750</v>
      </c>
      <c r="B533" s="83" t="s">
        <v>2749</v>
      </c>
      <c r="C533" s="3"/>
      <c r="O533" s="2"/>
      <c r="P533" t="s">
        <v>2711</v>
      </c>
      <c r="Q533" s="1"/>
      <c r="S533" s="1" t="s">
        <v>130</v>
      </c>
      <c r="T533" s="14" t="s">
        <v>2713</v>
      </c>
      <c r="U533" s="59">
        <v>11</v>
      </c>
      <c r="V533" s="15" t="s">
        <v>2751</v>
      </c>
      <c r="W533" s="15"/>
      <c r="AC533" t="str">
        <f>IF(AD532+AE532&gt;29,REPLACE(AC532,LEN(AC532),1,VALUE(RIGHT(AC532,1))+1),AC532)</f>
        <v>A5.2</v>
      </c>
      <c r="AD533" s="43">
        <f t="array" ref="AD533">IF(COUNTIFS(AC$523:AC533,AC533)=1,"1",VALUE(SUBSTITUTE(INDEX(AD:AD,_xlfn.XMATCH(AC533,AC$1:AC532,0,-1)),"A",""))+INDEX(AE:AE,_xlfn.XMATCH(AC533,AC$1:AC532,0,-1))+1)</f>
        <v>23</v>
      </c>
      <c r="AE533" s="43">
        <f t="array" ref="AE533">SUM(IF(ISNUMBER(FIND("TmDi",$BE$1:$AAQ$1)),IF(IFERROR(ISNUMBER(VALUE(SUBSTITUTE($BE533:$AAQ533,"B",""))),FALSE),IF(ISNUMBER(VALUE(SUBSTITUTE($BE533:$AAQ533,"B",""))),1,0),0)))</f>
        <v>5</v>
      </c>
      <c r="AF533" t="str">
        <f t="shared" si="440"/>
        <v>C23</v>
      </c>
      <c r="AG533" t="str">
        <f t="shared" si="441"/>
        <v>B23</v>
      </c>
      <c r="AH533" t="str">
        <f>IF(AI532+AJ532&gt;27,REPLACE(AH532,LEN(AH532),1,VALUE(RIGHT(AH532,1))+1),AH532)</f>
        <v>A6.2</v>
      </c>
      <c r="AI533" s="69" t="str">
        <f t="array" ref="AI533">IF(COUNTIFS(AH$523:AH533,AH533)=1,"1",VALUE(SUBSTITUTE(INDEX(AI:AI,_xlfn.XMATCH(AH533,AH$1:AH532,0,-1)),"A",""))+INDEX(AJ:AJ,_xlfn.XMATCH(AH533,AH$1:AH532,0,-1))+1)</f>
        <v>1</v>
      </c>
      <c r="AJ533" s="62">
        <f t="array" ref="AJ533">SUM(IF(ISNUMBER(FIND("TmDo",$BE$1:$AAQ$1)),IF(IFERROR(ISNUMBER(VALUE(SUBSTITUTE($BE533:$AAQ533,"B",""))),FALSE),IF(ISNUMBER(VALUE(SUBSTITUTE($BE533:$AAQ533,"B",""))),1,0),0)))</f>
        <v>2</v>
      </c>
      <c r="AK533" t="str">
        <f t="shared" si="624"/>
        <v>1A</v>
      </c>
      <c r="AL533" t="str">
        <f t="shared" si="625"/>
        <v>1B</v>
      </c>
      <c r="AM533" t="s">
        <v>150</v>
      </c>
      <c r="AP533" t="s">
        <v>2716</v>
      </c>
      <c r="AQ533" t="s">
        <v>2745</v>
      </c>
      <c r="AT533" t="s">
        <v>139</v>
      </c>
      <c r="AU533" t="s">
        <v>140</v>
      </c>
      <c r="BD533" s="16"/>
      <c r="BE533" s="27" t="str">
        <f t="shared" si="665"/>
        <v>XT11</v>
      </c>
      <c r="BF533" t="str">
        <f t="shared" si="666"/>
        <v>C24</v>
      </c>
      <c r="BG533" t="str">
        <f t="shared" si="667"/>
        <v>B24</v>
      </c>
      <c r="BH533" t="str">
        <f t="shared" si="668"/>
        <v>C25</v>
      </c>
      <c r="BI533" t="str">
        <f t="shared" si="669"/>
        <v>B25</v>
      </c>
      <c r="BJ533" t="str">
        <f t="shared" si="670"/>
        <v>C26</v>
      </c>
      <c r="BK533" t="str">
        <f t="shared" si="671"/>
        <v>B26</v>
      </c>
      <c r="BL533" t="str">
        <f>CONCATENATE("C",REPLACE(BJ533,1,1,"")+1)</f>
        <v>C27</v>
      </c>
      <c r="BM533" t="str">
        <f>CONCATENATE("B",REPLACE(BK533,1,1,"")+1)</f>
        <v>B27</v>
      </c>
      <c r="BN533" t="str">
        <f>CONCATENATE("C",REPLACE(BL533,1,1,"")+1)</f>
        <v>C28</v>
      </c>
      <c r="BO533" t="str">
        <f>CONCATENATE("B",REPLACE(BM533,1,1,"")+1)</f>
        <v>B28</v>
      </c>
      <c r="BP533" t="str">
        <f t="shared" si="672"/>
        <v>2A</v>
      </c>
      <c r="BQ533" t="str">
        <f t="shared" si="673"/>
        <v>2B</v>
      </c>
      <c r="BR533" t="str">
        <f t="shared" si="674"/>
        <v>3A</v>
      </c>
      <c r="BS533" t="str">
        <f t="shared" si="675"/>
        <v>3B</v>
      </c>
      <c r="BT533" t="str">
        <f t="shared" si="676"/>
        <v>DI2-C23</v>
      </c>
      <c r="BU533" t="str">
        <f t="shared" si="676"/>
        <v>DI2-B23</v>
      </c>
      <c r="BV533" t="str">
        <f t="shared" si="677"/>
        <v>DI2-C24</v>
      </c>
      <c r="BW533" t="str">
        <f t="shared" si="677"/>
        <v>DI2-B24</v>
      </c>
      <c r="BX533" t="str">
        <f t="shared" si="677"/>
        <v>DI2-C25</v>
      </c>
      <c r="BY533" t="str">
        <f t="shared" si="677"/>
        <v>DI2-B25</v>
      </c>
      <c r="BZ533" t="str">
        <f t="shared" si="677"/>
        <v>DI2-C26</v>
      </c>
      <c r="CA533" t="str">
        <f t="shared" si="677"/>
        <v>DI2-B26</v>
      </c>
      <c r="CB533" t="str">
        <f t="shared" si="677"/>
        <v>DI2-C27</v>
      </c>
      <c r="CC533" t="str">
        <f t="shared" si="677"/>
        <v>DI2-B27</v>
      </c>
      <c r="CD533" t="str">
        <f t="shared" si="677"/>
        <v>DI2-C28</v>
      </c>
      <c r="CE533" t="str">
        <f t="shared" si="677"/>
        <v>DI2-B28</v>
      </c>
      <c r="CF533" t="str">
        <f t="shared" si="678"/>
        <v>DO2-1A</v>
      </c>
      <c r="CG533" t="str">
        <f t="shared" si="678"/>
        <v>DO2-1B</v>
      </c>
      <c r="CH533" t="str">
        <f t="shared" si="679"/>
        <v>DO2-2A</v>
      </c>
      <c r="CI533" t="str">
        <f t="shared" si="679"/>
        <v>DO2-2B</v>
      </c>
      <c r="CJ533" t="str">
        <f t="shared" si="679"/>
        <v>DO2-3A</v>
      </c>
      <c r="CK533" t="str">
        <f t="shared" si="679"/>
        <v>DO2-3B</v>
      </c>
      <c r="CL533" t="str">
        <f t="shared" si="680"/>
        <v>K11-10</v>
      </c>
      <c r="CM533" t="str">
        <f t="shared" si="681"/>
        <v>K11-03</v>
      </c>
      <c r="CN533" t="str">
        <f t="shared" si="682"/>
        <v>K11-04</v>
      </c>
      <c r="CO533" t="str">
        <f t="shared" si="683"/>
        <v>K11-01</v>
      </c>
      <c r="CP533" t="str">
        <f t="shared" si="684"/>
        <v>K11-08</v>
      </c>
      <c r="CQ533" t="str">
        <f t="shared" si="685"/>
        <v>K11-02</v>
      </c>
      <c r="CR533" t="str">
        <f t="shared" si="686"/>
        <v>K11-09</v>
      </c>
      <c r="CS533" t="str">
        <f t="shared" si="687"/>
        <v>K11-05</v>
      </c>
      <c r="CT533" t="str">
        <f t="shared" si="688"/>
        <v>K11-11</v>
      </c>
      <c r="CU533" t="str">
        <f t="shared" si="689"/>
        <v>N2-M11-A9</v>
      </c>
      <c r="CV533" t="str">
        <f t="shared" si="690"/>
        <v>N2-M11-A7</v>
      </c>
      <c r="CW533" t="str">
        <f t="shared" si="691"/>
        <v>N2-M11-A8</v>
      </c>
      <c r="CX533" t="str">
        <f t="shared" si="692"/>
        <v>N2-M11-A6</v>
      </c>
      <c r="CY533" t="str">
        <f t="shared" si="693"/>
        <v>N2-M11-A30</v>
      </c>
      <c r="CZ533" t="str">
        <f t="shared" si="694"/>
        <v>N2-M11-N</v>
      </c>
      <c r="DA533" t="str">
        <f t="shared" si="695"/>
        <v>N2-A220-M11</v>
      </c>
      <c r="DB533" t="str">
        <f t="shared" si="696"/>
        <v>N2-M11-XM01</v>
      </c>
      <c r="DC533" t="str">
        <f t="shared" si="697"/>
        <v>N2-M11-A1</v>
      </c>
      <c r="DD533" t="str">
        <f t="shared" si="698"/>
        <v>N2-M11-A5</v>
      </c>
      <c r="DE533" t="str">
        <f t="shared" si="699"/>
        <v>N2-M11-A11</v>
      </c>
      <c r="DF533" t="str">
        <f t="shared" si="700"/>
        <v>N2-M11-A12</v>
      </c>
      <c r="DG533" t="str">
        <f>CONCATENATE($T533,"-M",$U533,"-A20")</f>
        <v>N2-M11-A20</v>
      </c>
      <c r="DH533" t="str">
        <f>CONCATENATE($T533,"-M",$U533,"-A19")</f>
        <v>N2-M11-A19</v>
      </c>
      <c r="DI533" t="s">
        <v>142</v>
      </c>
      <c r="DJ533" t="s">
        <v>143</v>
      </c>
      <c r="DK533">
        <v>11</v>
      </c>
      <c r="DL533">
        <v>14</v>
      </c>
      <c r="DM533">
        <v>12</v>
      </c>
      <c r="DN533" t="s">
        <v>144</v>
      </c>
      <c r="DO533" t="s">
        <v>145</v>
      </c>
      <c r="DP533">
        <v>1</v>
      </c>
      <c r="DQ533">
        <v>2</v>
      </c>
      <c r="DR533">
        <v>3</v>
      </c>
      <c r="DS533">
        <v>4</v>
      </c>
      <c r="DT533">
        <v>5</v>
      </c>
      <c r="DU533">
        <v>6</v>
      </c>
      <c r="DV533">
        <v>7</v>
      </c>
      <c r="DW533">
        <v>8</v>
      </c>
      <c r="DX533">
        <v>9</v>
      </c>
      <c r="DY533">
        <v>10</v>
      </c>
      <c r="DZ533">
        <v>11</v>
      </c>
      <c r="EA533">
        <v>12</v>
      </c>
      <c r="EB533">
        <v>13</v>
      </c>
      <c r="EC533">
        <v>14</v>
      </c>
      <c r="ED533">
        <v>1</v>
      </c>
      <c r="EE533">
        <v>3</v>
      </c>
      <c r="EF533">
        <v>4</v>
      </c>
      <c r="EG533">
        <v>7</v>
      </c>
      <c r="EH533">
        <v>8</v>
      </c>
      <c r="EI533">
        <v>9</v>
      </c>
      <c r="EJ533">
        <v>10</v>
      </c>
      <c r="EK533">
        <v>13</v>
      </c>
      <c r="EL533">
        <v>15</v>
      </c>
      <c r="EM533">
        <v>16</v>
      </c>
      <c r="EN533">
        <v>22</v>
      </c>
      <c r="EO533">
        <v>23</v>
      </c>
      <c r="EP533">
        <v>24</v>
      </c>
      <c r="EQ533" s="16"/>
      <c r="MA533" t="str">
        <f t="shared" si="593"/>
        <v>DI2-B23</v>
      </c>
    </row>
    <row r="534" spans="1:339" ht="15.75" thickBot="1" x14ac:dyDescent="0.3">
      <c r="A534" s="83" t="s">
        <v>2754</v>
      </c>
      <c r="B534" s="83" t="s">
        <v>2753</v>
      </c>
      <c r="C534" s="3"/>
      <c r="O534" s="2"/>
      <c r="P534" t="s">
        <v>129</v>
      </c>
      <c r="Q534" s="1"/>
      <c r="S534" s="1" t="s">
        <v>130</v>
      </c>
      <c r="T534" s="14" t="s">
        <v>2713</v>
      </c>
      <c r="U534" s="59">
        <f t="shared" ref="U534:U539" si="701">U533+1</f>
        <v>12</v>
      </c>
      <c r="V534" s="15" t="s">
        <v>2752</v>
      </c>
      <c r="W534" s="15"/>
      <c r="AC534" t="str">
        <f>IF(AD533+AE533&gt;25,REPLACE(AC533,LEN(AC533),1,VALUE(RIGHT(AC533,1))+1),AC533)</f>
        <v>A5.3</v>
      </c>
      <c r="AD534" s="43" t="str">
        <f t="array" ref="AD534">IF(COUNTIFS(AC$523:AC534,AC534)=1,"1",VALUE(SUBSTITUTE(INDEX(AD:AD,_xlfn.XMATCH(AC534,AC$1:AC533,0,-1)),"A",""))+INDEX(AE:AE,_xlfn.XMATCH(AC534,AC$1:AC533,0,-1))+1)</f>
        <v>1</v>
      </c>
      <c r="AE534" s="43">
        <f t="array" ref="AE534">SUM(IF(ISNUMBER(FIND("TmDi",$BE$1:$AAQ$1)),IF(IFERROR(ISNUMBER(VALUE(SUBSTITUTE($BE534:$AAQ534,"B",""))),FALSE),IF(ISNUMBER(VALUE(SUBSTITUTE($BE534:$AAQ534,"B",""))),1,0),0)))</f>
        <v>5</v>
      </c>
      <c r="AF534" t="str">
        <f t="shared" si="440"/>
        <v>C1</v>
      </c>
      <c r="AG534" t="str">
        <f t="shared" si="441"/>
        <v>B1</v>
      </c>
      <c r="AH534" t="str">
        <f>IF(AI533+AJ533&gt;25,REPLACE(AH533,LEN(AH533),1,VALUE(RIGHT(AH533,1))+1),AH533)</f>
        <v>A6.2</v>
      </c>
      <c r="AI534" s="69">
        <f t="array" ref="AI534">IF(COUNTIFS(AH$523:AH534,AH534)=1,"1",VALUE(SUBSTITUTE(INDEX(AI:AI,_xlfn.XMATCH(AH534,AH$1:AH533,0,-1)),"A",""))+INDEX(AJ:AJ,_xlfn.XMATCH(AH534,AH$1:AH533,0,-1))+1)</f>
        <v>4</v>
      </c>
      <c r="AJ534" s="62">
        <f t="array" ref="AJ534">SUM(IF(ISNUMBER(FIND("TmDo",$BE$1:$AAQ$1)),IF(IFERROR(ISNUMBER(VALUE(SUBSTITUTE($BE534:$AAQ534,"B",""))),FALSE),IF(ISNUMBER(VALUE(SUBSTITUTE($BE534:$AAQ534,"B",""))),1,0),0)))</f>
        <v>2</v>
      </c>
      <c r="AK534" t="str">
        <f t="shared" si="624"/>
        <v>4A</v>
      </c>
      <c r="AL534" t="str">
        <f t="shared" si="625"/>
        <v>4B</v>
      </c>
      <c r="AM534" t="s">
        <v>155</v>
      </c>
      <c r="AP534" t="s">
        <v>2716</v>
      </c>
      <c r="AQ534" t="s">
        <v>2745</v>
      </c>
      <c r="AT534" t="s">
        <v>139</v>
      </c>
      <c r="AU534" t="s">
        <v>140</v>
      </c>
      <c r="BD534" s="16"/>
      <c r="BE534" s="28" t="str">
        <f t="shared" si="665"/>
        <v>XT12</v>
      </c>
      <c r="BF534" s="19" t="str">
        <f t="shared" si="666"/>
        <v>C2</v>
      </c>
      <c r="BG534" s="19" t="str">
        <f t="shared" si="667"/>
        <v>B2</v>
      </c>
      <c r="BH534" s="19" t="str">
        <f t="shared" si="668"/>
        <v>C3</v>
      </c>
      <c r="BI534" s="19" t="str">
        <f t="shared" si="669"/>
        <v>B3</v>
      </c>
      <c r="BJ534" s="19" t="str">
        <f t="shared" si="670"/>
        <v>C4</v>
      </c>
      <c r="BK534" s="19" t="str">
        <f t="shared" si="671"/>
        <v>B4</v>
      </c>
      <c r="BL534" s="19" t="str">
        <f>CONCATENATE("C",REPLACE(BJ534,1,1,"")+1)</f>
        <v>C5</v>
      </c>
      <c r="BM534" s="19" t="str">
        <f>CONCATENATE("B",REPLACE(BK534,1,1,"")+1)</f>
        <v>B5</v>
      </c>
      <c r="BN534" s="19" t="str">
        <f>CONCATENATE("C",REPLACE(BL534,1,1,"")+1)</f>
        <v>C6</v>
      </c>
      <c r="BO534" s="19" t="str">
        <f>CONCATENATE("B",REPLACE(BM534,1,1,"")+1)</f>
        <v>B6</v>
      </c>
      <c r="BP534" s="19" t="str">
        <f t="shared" si="672"/>
        <v>5A</v>
      </c>
      <c r="BQ534" s="19" t="str">
        <f t="shared" si="673"/>
        <v>5B</v>
      </c>
      <c r="BR534" s="19" t="str">
        <f t="shared" si="674"/>
        <v>6A</v>
      </c>
      <c r="BS534" s="19" t="str">
        <f t="shared" si="675"/>
        <v>6B</v>
      </c>
      <c r="BT534" s="19" t="str">
        <f t="shared" si="676"/>
        <v>DI3-C1</v>
      </c>
      <c r="BU534" s="19" t="str">
        <f t="shared" si="676"/>
        <v>DI3-B1</v>
      </c>
      <c r="BV534" s="19" t="str">
        <f t="shared" si="677"/>
        <v>DI3-C2</v>
      </c>
      <c r="BW534" s="19" t="str">
        <f t="shared" si="677"/>
        <v>DI3-B2</v>
      </c>
      <c r="BX534" s="19" t="str">
        <f t="shared" si="677"/>
        <v>DI3-C3</v>
      </c>
      <c r="BY534" s="19" t="str">
        <f t="shared" si="677"/>
        <v>DI3-B3</v>
      </c>
      <c r="BZ534" s="19" t="str">
        <f t="shared" si="677"/>
        <v>DI3-C4</v>
      </c>
      <c r="CA534" s="19" t="str">
        <f t="shared" si="677"/>
        <v>DI3-B4</v>
      </c>
      <c r="CB534" s="19" t="str">
        <f t="shared" si="677"/>
        <v>DI3-C5</v>
      </c>
      <c r="CC534" s="19" t="str">
        <f t="shared" si="677"/>
        <v>DI3-B5</v>
      </c>
      <c r="CD534" s="19" t="str">
        <f t="shared" si="677"/>
        <v>DI3-C6</v>
      </c>
      <c r="CE534" s="19" t="str">
        <f t="shared" si="677"/>
        <v>DI3-B6</v>
      </c>
      <c r="CF534" s="19" t="str">
        <f t="shared" si="678"/>
        <v>DO2-4A</v>
      </c>
      <c r="CG534" s="19" t="str">
        <f t="shared" si="678"/>
        <v>DO2-4B</v>
      </c>
      <c r="CH534" s="19" t="str">
        <f t="shared" si="679"/>
        <v>DO2-5A</v>
      </c>
      <c r="CI534" s="19" t="str">
        <f t="shared" si="679"/>
        <v>DO2-5B</v>
      </c>
      <c r="CJ534" s="19" t="str">
        <f t="shared" si="679"/>
        <v>DO2-6A</v>
      </c>
      <c r="CK534" s="19" t="str">
        <f t="shared" si="679"/>
        <v>DO2-6B</v>
      </c>
      <c r="CL534" s="19" t="str">
        <f t="shared" si="680"/>
        <v>K12-10</v>
      </c>
      <c r="CM534" s="19" t="str">
        <f t="shared" si="681"/>
        <v>K12-03</v>
      </c>
      <c r="CN534" s="19" t="str">
        <f t="shared" si="682"/>
        <v>K12-04</v>
      </c>
      <c r="CO534" s="19" t="str">
        <f t="shared" si="683"/>
        <v>K12-01</v>
      </c>
      <c r="CP534" s="19" t="str">
        <f t="shared" si="684"/>
        <v>K12-08</v>
      </c>
      <c r="CQ534" s="19" t="str">
        <f t="shared" si="685"/>
        <v>K12-02</v>
      </c>
      <c r="CR534" s="19" t="str">
        <f t="shared" si="686"/>
        <v>K12-09</v>
      </c>
      <c r="CS534" s="19" t="str">
        <f t="shared" si="687"/>
        <v>K12-05</v>
      </c>
      <c r="CT534" s="19" t="str">
        <f t="shared" si="688"/>
        <v>K12-11</v>
      </c>
      <c r="CU534" s="19" t="str">
        <f t="shared" si="689"/>
        <v>N2-M12-A9</v>
      </c>
      <c r="CV534" s="19" t="str">
        <f t="shared" si="690"/>
        <v>N2-M12-A7</v>
      </c>
      <c r="CW534" s="19" t="str">
        <f t="shared" si="691"/>
        <v>N2-M12-A8</v>
      </c>
      <c r="CX534" s="19" t="str">
        <f t="shared" si="692"/>
        <v>N2-M12-A6</v>
      </c>
      <c r="CY534" s="19" t="str">
        <f t="shared" si="693"/>
        <v>N2-M12-A30</v>
      </c>
      <c r="CZ534" s="19" t="str">
        <f t="shared" si="694"/>
        <v>N2-M12-N</v>
      </c>
      <c r="DA534" s="19" t="str">
        <f t="shared" si="695"/>
        <v>N2-A220-M12</v>
      </c>
      <c r="DB534" s="19" t="str">
        <f t="shared" si="696"/>
        <v>N2-M12-XM01</v>
      </c>
      <c r="DC534" s="19" t="str">
        <f t="shared" si="697"/>
        <v>N2-M12-A1</v>
      </c>
      <c r="DD534" s="19" t="str">
        <f t="shared" si="698"/>
        <v>N2-M12-A5</v>
      </c>
      <c r="DE534" s="19" t="str">
        <f t="shared" si="699"/>
        <v>N2-M12-A11</v>
      </c>
      <c r="DF534" s="19" t="str">
        <f t="shared" si="700"/>
        <v>N2-M12-A12</v>
      </c>
      <c r="DG534" s="19" t="str">
        <f t="shared" ref="DG534:DG539" si="702">CONCATENATE($T534,"-M",$U534,"-A19")</f>
        <v>N2-M12-A19</v>
      </c>
      <c r="DH534" s="19" t="str">
        <f t="shared" ref="DH534:DH539" si="703">CONCATENATE($T534,"-M",$U534,"-A20")</f>
        <v>N2-M12-A20</v>
      </c>
      <c r="DI534" s="19" t="s">
        <v>142</v>
      </c>
      <c r="DJ534" s="19" t="s">
        <v>143</v>
      </c>
      <c r="DK534" s="19">
        <v>11</v>
      </c>
      <c r="DL534" s="19">
        <v>14</v>
      </c>
      <c r="DM534" s="19">
        <v>12</v>
      </c>
      <c r="DN534" s="19" t="s">
        <v>144</v>
      </c>
      <c r="DO534" s="19" t="s">
        <v>145</v>
      </c>
      <c r="DP534" s="19">
        <v>1</v>
      </c>
      <c r="DQ534" s="19">
        <v>2</v>
      </c>
      <c r="DR534" s="19">
        <v>3</v>
      </c>
      <c r="DS534" s="19">
        <v>4</v>
      </c>
      <c r="DT534" s="19">
        <v>5</v>
      </c>
      <c r="DU534" s="19">
        <v>6</v>
      </c>
      <c r="DV534" s="19">
        <v>7</v>
      </c>
      <c r="DW534" s="19">
        <v>8</v>
      </c>
      <c r="DX534" s="19">
        <v>9</v>
      </c>
      <c r="DY534" s="19">
        <v>10</v>
      </c>
      <c r="DZ534" s="19">
        <v>11</v>
      </c>
      <c r="EA534" s="19">
        <v>12</v>
      </c>
      <c r="EB534" s="19">
        <v>13</v>
      </c>
      <c r="EC534" s="19">
        <v>14</v>
      </c>
      <c r="ED534" s="19">
        <v>1</v>
      </c>
      <c r="EE534" s="19">
        <v>3</v>
      </c>
      <c r="EF534" s="19">
        <v>4</v>
      </c>
      <c r="EG534" s="19">
        <v>7</v>
      </c>
      <c r="EH534" s="19">
        <v>8</v>
      </c>
      <c r="EI534" s="19">
        <v>9</v>
      </c>
      <c r="EJ534" s="19">
        <v>10</v>
      </c>
      <c r="EK534" s="19">
        <v>13</v>
      </c>
      <c r="EL534" s="19">
        <v>14</v>
      </c>
      <c r="EM534" s="19">
        <v>15</v>
      </c>
      <c r="EN534" s="19">
        <v>16</v>
      </c>
      <c r="EO534" s="19">
        <v>22</v>
      </c>
      <c r="EP534" s="19">
        <v>23</v>
      </c>
      <c r="EQ534" s="20">
        <v>24</v>
      </c>
      <c r="MA534" t="str">
        <f t="shared" si="593"/>
        <v>DI3-B1</v>
      </c>
    </row>
    <row r="535" spans="1:339" ht="15.75" thickBot="1" x14ac:dyDescent="0.3">
      <c r="A535" s="83" t="s">
        <v>2757</v>
      </c>
      <c r="B535" s="83" t="s">
        <v>2756</v>
      </c>
      <c r="C535" s="3"/>
      <c r="O535" s="2"/>
      <c r="P535" t="s">
        <v>129</v>
      </c>
      <c r="Q535" s="1"/>
      <c r="S535" s="1" t="s">
        <v>130</v>
      </c>
      <c r="T535" s="14" t="s">
        <v>2713</v>
      </c>
      <c r="U535" s="59">
        <f t="shared" si="701"/>
        <v>13</v>
      </c>
      <c r="V535" s="15" t="s">
        <v>2755</v>
      </c>
      <c r="W535" s="15"/>
      <c r="AC535" t="str">
        <f>IF(AD534+AE534&gt;25,REPLACE(AC534,LEN(AC534),1,VALUE(RIGHT(AC534,1))+1),AC534)</f>
        <v>A5.3</v>
      </c>
      <c r="AD535" s="43">
        <f t="array" ref="AD535">IF(COUNTIFS(AC$523:AC535,AC535)=1,"1",VALUE(SUBSTITUTE(INDEX(AD:AD,_xlfn.XMATCH(AC535,AC$1:AC534,0,-1)),"A",""))+INDEX(AE:AE,_xlfn.XMATCH(AC535,AC$1:AC534,0,-1))+1)</f>
        <v>7</v>
      </c>
      <c r="AE535" s="43">
        <f t="array" ref="AE535">SUM(IF(ISNUMBER(FIND("TmDi",$BE$1:$AAQ$1)),IF(IFERROR(ISNUMBER(VALUE(SUBSTITUTE($BE535:$AAQ535,"B",""))),FALSE),IF(ISNUMBER(VALUE(SUBSTITUTE($BE535:$AAQ535,"B",""))),1,0),0)))</f>
        <v>5</v>
      </c>
      <c r="AF535" t="str">
        <f t="shared" si="440"/>
        <v>C7</v>
      </c>
      <c r="AG535" t="str">
        <f t="shared" si="441"/>
        <v>B7</v>
      </c>
      <c r="AH535" t="str">
        <f>IF(AI534+AJ534&gt;25,REPLACE(AH534,LEN(AH534),1,VALUE(RIGHT(AH534,1))+1),AH534)</f>
        <v>A6.2</v>
      </c>
      <c r="AI535" s="69">
        <f t="array" ref="AI535">IF(COUNTIFS(AH$523:AH535,AH535)=1,"1",VALUE(SUBSTITUTE(INDEX(AI:AI,_xlfn.XMATCH(AH535,AH$1:AH534,0,-1)),"A",""))+INDEX(AJ:AJ,_xlfn.XMATCH(AH535,AH$1:AH534,0,-1))+1)</f>
        <v>7</v>
      </c>
      <c r="AJ535" s="62">
        <f t="array" ref="AJ535">SUM(IF(ISNUMBER(FIND("TmDo",$BE$1:$AAQ$1)),IF(IFERROR(ISNUMBER(VALUE(SUBSTITUTE($BE535:$AAQ535,"B",""))),FALSE),IF(ISNUMBER(VALUE(SUBSTITUTE($BE535:$AAQ535,"B",""))),1,0),0)))</f>
        <v>2</v>
      </c>
      <c r="AK535" t="str">
        <f t="shared" si="624"/>
        <v>7A</v>
      </c>
      <c r="AL535" t="str">
        <f t="shared" si="625"/>
        <v>7B</v>
      </c>
      <c r="AM535" t="s">
        <v>158</v>
      </c>
      <c r="AP535" t="s">
        <v>2716</v>
      </c>
      <c r="AQ535" t="s">
        <v>2745</v>
      </c>
      <c r="AT535" t="s">
        <v>139</v>
      </c>
      <c r="AU535" t="s">
        <v>140</v>
      </c>
      <c r="BD535" s="16"/>
      <c r="BE535" s="28" t="str">
        <f t="shared" si="665"/>
        <v>XT13</v>
      </c>
      <c r="BF535" s="19" t="str">
        <f t="shared" si="666"/>
        <v>C8</v>
      </c>
      <c r="BG535" s="19" t="str">
        <f t="shared" si="667"/>
        <v>B8</v>
      </c>
      <c r="BH535" s="19" t="str">
        <f t="shared" si="668"/>
        <v>C9</v>
      </c>
      <c r="BI535" s="19" t="str">
        <f t="shared" si="669"/>
        <v>B9</v>
      </c>
      <c r="BJ535" s="19" t="str">
        <f t="shared" si="670"/>
        <v>C10</v>
      </c>
      <c r="BK535" s="19" t="str">
        <f t="shared" si="671"/>
        <v>B10</v>
      </c>
      <c r="BL535" s="19" t="str">
        <f>CONCATENATE("C",REPLACE(BJ535,1,1,"")+1)</f>
        <v>C11</v>
      </c>
      <c r="BM535" s="19" t="str">
        <f>CONCATENATE("B",REPLACE(BK535,1,1,"")+1)</f>
        <v>B11</v>
      </c>
      <c r="BN535" s="19" t="str">
        <f>CONCATENATE("C",REPLACE(BL535,1,1,"")+1)</f>
        <v>C12</v>
      </c>
      <c r="BO535" s="19" t="str">
        <f>CONCATENATE("B",REPLACE(BM535,1,1,"")+1)</f>
        <v>B12</v>
      </c>
      <c r="BP535" s="19" t="str">
        <f t="shared" si="672"/>
        <v>8A</v>
      </c>
      <c r="BQ535" s="19" t="str">
        <f t="shared" si="673"/>
        <v>8B</v>
      </c>
      <c r="BR535" s="19" t="str">
        <f t="shared" si="674"/>
        <v>9A</v>
      </c>
      <c r="BS535" s="19" t="str">
        <f t="shared" si="675"/>
        <v>9B</v>
      </c>
      <c r="BT535" s="19" t="str">
        <f t="shared" si="676"/>
        <v>DI3-C7</v>
      </c>
      <c r="BU535" s="19" t="str">
        <f t="shared" si="676"/>
        <v>DI3-B7</v>
      </c>
      <c r="BV535" s="19" t="str">
        <f t="shared" si="677"/>
        <v>DI3-C8</v>
      </c>
      <c r="BW535" s="19" t="str">
        <f t="shared" si="677"/>
        <v>DI3-B8</v>
      </c>
      <c r="BX535" s="19" t="str">
        <f t="shared" si="677"/>
        <v>DI3-C9</v>
      </c>
      <c r="BY535" s="19" t="str">
        <f t="shared" si="677"/>
        <v>DI3-B9</v>
      </c>
      <c r="BZ535" s="19" t="str">
        <f t="shared" si="677"/>
        <v>DI3-C10</v>
      </c>
      <c r="CA535" s="19" t="str">
        <f t="shared" si="677"/>
        <v>DI3-B10</v>
      </c>
      <c r="CB535" s="19" t="str">
        <f t="shared" si="677"/>
        <v>DI3-C11</v>
      </c>
      <c r="CC535" s="19" t="str">
        <f t="shared" si="677"/>
        <v>DI3-B11</v>
      </c>
      <c r="CD535" s="19" t="str">
        <f t="shared" si="677"/>
        <v>DI3-C12</v>
      </c>
      <c r="CE535" s="19" t="str">
        <f t="shared" si="677"/>
        <v>DI3-B12</v>
      </c>
      <c r="CF535" s="19" t="str">
        <f t="shared" si="678"/>
        <v>DO2-7A</v>
      </c>
      <c r="CG535" s="19" t="str">
        <f t="shared" si="678"/>
        <v>DO2-7B</v>
      </c>
      <c r="CH535" s="19" t="str">
        <f t="shared" si="679"/>
        <v>DO2-8A</v>
      </c>
      <c r="CI535" s="19" t="str">
        <f t="shared" si="679"/>
        <v>DO2-8B</v>
      </c>
      <c r="CJ535" s="19" t="str">
        <f t="shared" si="679"/>
        <v>DO2-9A</v>
      </c>
      <c r="CK535" s="19" t="str">
        <f t="shared" si="679"/>
        <v>DO2-9B</v>
      </c>
      <c r="CL535" s="19" t="str">
        <f t="shared" si="680"/>
        <v>K13-10</v>
      </c>
      <c r="CM535" s="19" t="str">
        <f t="shared" si="681"/>
        <v>K13-03</v>
      </c>
      <c r="CN535" s="19" t="str">
        <f t="shared" si="682"/>
        <v>K13-04</v>
      </c>
      <c r="CO535" s="19" t="str">
        <f t="shared" si="683"/>
        <v>K13-01</v>
      </c>
      <c r="CP535" s="19" t="str">
        <f t="shared" si="684"/>
        <v>K13-08</v>
      </c>
      <c r="CQ535" s="19" t="str">
        <f t="shared" si="685"/>
        <v>K13-02</v>
      </c>
      <c r="CR535" s="19" t="str">
        <f t="shared" si="686"/>
        <v>K13-09</v>
      </c>
      <c r="CS535" s="19" t="str">
        <f t="shared" si="687"/>
        <v>K13-05</v>
      </c>
      <c r="CT535" s="19" t="str">
        <f t="shared" si="688"/>
        <v>K13-11</v>
      </c>
      <c r="CU535" s="19" t="str">
        <f t="shared" si="689"/>
        <v>N2-M13-A9</v>
      </c>
      <c r="CV535" s="19" t="str">
        <f t="shared" si="690"/>
        <v>N2-M13-A7</v>
      </c>
      <c r="CW535" s="19" t="str">
        <f t="shared" si="691"/>
        <v>N2-M13-A8</v>
      </c>
      <c r="CX535" s="19" t="str">
        <f t="shared" si="692"/>
        <v>N2-M13-A6</v>
      </c>
      <c r="CY535" s="19" t="str">
        <f t="shared" si="693"/>
        <v>N2-M13-A30</v>
      </c>
      <c r="CZ535" s="19" t="str">
        <f t="shared" si="694"/>
        <v>N2-M13-N</v>
      </c>
      <c r="DA535" s="19" t="str">
        <f t="shared" si="695"/>
        <v>N2-A220-M13</v>
      </c>
      <c r="DB535" s="19" t="str">
        <f t="shared" si="696"/>
        <v>N2-M13-XM01</v>
      </c>
      <c r="DC535" s="19" t="str">
        <f t="shared" si="697"/>
        <v>N2-M13-A1</v>
      </c>
      <c r="DD535" s="19" t="str">
        <f t="shared" si="698"/>
        <v>N2-M13-A5</v>
      </c>
      <c r="DE535" s="19" t="str">
        <f t="shared" si="699"/>
        <v>N2-M13-A11</v>
      </c>
      <c r="DF535" s="19" t="str">
        <f t="shared" si="700"/>
        <v>N2-M13-A12</v>
      </c>
      <c r="DG535" s="19" t="str">
        <f t="shared" si="702"/>
        <v>N2-M13-A19</v>
      </c>
      <c r="DH535" s="19" t="str">
        <f t="shared" si="703"/>
        <v>N2-M13-A20</v>
      </c>
      <c r="DI535" s="19" t="s">
        <v>142</v>
      </c>
      <c r="DJ535" s="19" t="s">
        <v>143</v>
      </c>
      <c r="DK535" s="19">
        <v>11</v>
      </c>
      <c r="DL535" s="19">
        <v>14</v>
      </c>
      <c r="DM535" s="19">
        <v>12</v>
      </c>
      <c r="DN535" s="19" t="s">
        <v>144</v>
      </c>
      <c r="DO535" s="19" t="s">
        <v>145</v>
      </c>
      <c r="DP535" s="19">
        <v>1</v>
      </c>
      <c r="DQ535" s="19">
        <v>2</v>
      </c>
      <c r="DR535" s="19">
        <v>3</v>
      </c>
      <c r="DS535" s="19">
        <v>4</v>
      </c>
      <c r="DT535" s="19">
        <v>5</v>
      </c>
      <c r="DU535" s="19">
        <v>6</v>
      </c>
      <c r="DV535" s="19">
        <v>7</v>
      </c>
      <c r="DW535" s="19">
        <v>8</v>
      </c>
      <c r="DX535" s="19">
        <v>9</v>
      </c>
      <c r="DY535" s="19">
        <v>10</v>
      </c>
      <c r="DZ535" s="19">
        <v>11</v>
      </c>
      <c r="EA535" s="19">
        <v>12</v>
      </c>
      <c r="EB535" s="19">
        <v>13</v>
      </c>
      <c r="EC535" s="19">
        <v>14</v>
      </c>
      <c r="ED535" s="19">
        <v>1</v>
      </c>
      <c r="EE535" s="19">
        <v>3</v>
      </c>
      <c r="EF535" s="19">
        <v>4</v>
      </c>
      <c r="EG535" s="19">
        <v>7</v>
      </c>
      <c r="EH535" s="19">
        <v>8</v>
      </c>
      <c r="EI535" s="19">
        <v>9</v>
      </c>
      <c r="EJ535" s="19">
        <v>10</v>
      </c>
      <c r="EK535" s="19">
        <v>13</v>
      </c>
      <c r="EL535" s="19">
        <v>14</v>
      </c>
      <c r="EM535" s="19">
        <v>15</v>
      </c>
      <c r="EN535" s="19">
        <v>16</v>
      </c>
      <c r="EO535" s="19">
        <v>22</v>
      </c>
      <c r="EP535" s="19">
        <v>23</v>
      </c>
      <c r="EQ535" s="20">
        <v>24</v>
      </c>
      <c r="MA535" t="str">
        <f t="shared" si="593"/>
        <v>DI3-B7</v>
      </c>
    </row>
    <row r="536" spans="1:339" x14ac:dyDescent="0.25">
      <c r="A536" s="83" t="s">
        <v>2763</v>
      </c>
      <c r="B536" s="83" t="s">
        <v>2762</v>
      </c>
      <c r="C536" s="3"/>
      <c r="O536" s="2"/>
      <c r="P536" t="s">
        <v>2727</v>
      </c>
      <c r="Q536" s="1"/>
      <c r="S536" s="1" t="s">
        <v>130</v>
      </c>
      <c r="T536" s="14" t="s">
        <v>2713</v>
      </c>
      <c r="U536" s="59">
        <f t="shared" si="701"/>
        <v>14</v>
      </c>
      <c r="V536" s="15" t="s">
        <v>2758</v>
      </c>
      <c r="W536" s="15"/>
      <c r="AC536" t="str">
        <f>IF(AD535+AE535&gt;29,REPLACE(AC535,LEN(AC535),1,VALUE(RIGHT(AC535,1))+1),AC535)</f>
        <v>A5.3</v>
      </c>
      <c r="AD536" s="43">
        <f t="array" ref="AD536">IF(COUNTIFS(AC$523:AC536,AC536)=1,"1",VALUE(SUBSTITUTE(INDEX(AD:AD,_xlfn.XMATCH(AC536,AC$1:AC535,0,-1)),"A",""))+INDEX(AE:AE,_xlfn.XMATCH(AC536,AC$1:AC535,0,-1))+1)</f>
        <v>13</v>
      </c>
      <c r="AE536" s="43">
        <f t="array" ref="AE536">SUM(IF(ISNUMBER(FIND("TmDi",$BE$1:$AAQ$1)),IF(IFERROR(ISNUMBER(VALUE(SUBSTITUTE($BE536:$AAQ536,"B",""))),FALSE),IF(ISNUMBER(VALUE(SUBSTITUTE($BE536:$AAQ536,"B",""))),1,0),0)))</f>
        <v>3</v>
      </c>
      <c r="AF536" t="str">
        <f t="shared" si="440"/>
        <v>C13</v>
      </c>
      <c r="AG536" t="str">
        <f t="shared" si="441"/>
        <v>B13</v>
      </c>
      <c r="AH536" t="str">
        <f>IF(AI535+AJ535&gt;27,REPLACE(AH535,LEN(AH535),1,VALUE(RIGHT(AH535,1))+1),AH535)</f>
        <v>A6.2</v>
      </c>
      <c r="AI536" s="69">
        <f t="array" ref="AI536">IF(COUNTIFS(AH$523:AH536,AH536)=1,"1",VALUE(SUBSTITUTE(INDEX(AI:AI,_xlfn.XMATCH(AH536,AH$1:AH535,0,-1)),"A",""))+INDEX(AJ:AJ,_xlfn.XMATCH(AH536,AH$1:AH535,0,-1))+1)</f>
        <v>10</v>
      </c>
      <c r="AJ536" s="62">
        <f t="array" ref="AJ536">SUM(IF(ISNUMBER(FIND("TmDo",$BE$1:$AAQ$1)),IF(IFERROR(ISNUMBER(VALUE(SUBSTITUTE($BE536:$AAQ536,"B",""))),FALSE),IF(ISNUMBER(VALUE(SUBSTITUTE($BE536:$AAQ536,"B",""))),1,0),0)))</f>
        <v>2</v>
      </c>
      <c r="AK536" t="str">
        <f t="shared" si="624"/>
        <v>10A</v>
      </c>
      <c r="AL536" t="str">
        <f t="shared" si="625"/>
        <v>10B</v>
      </c>
      <c r="AM536" t="s">
        <v>161</v>
      </c>
      <c r="AP536" t="s">
        <v>2716</v>
      </c>
      <c r="AQ536" t="s">
        <v>2745</v>
      </c>
      <c r="AT536" t="s">
        <v>139</v>
      </c>
      <c r="AU536" t="s">
        <v>140</v>
      </c>
      <c r="BD536" s="16"/>
      <c r="BE536" s="27" t="str">
        <f t="shared" si="665"/>
        <v>XT14</v>
      </c>
      <c r="BF536" t="str">
        <f t="shared" si="666"/>
        <v>C14</v>
      </c>
      <c r="BG536" t="str">
        <f t="shared" si="667"/>
        <v>B14</v>
      </c>
      <c r="BH536" t="str">
        <f t="shared" si="668"/>
        <v>C15</v>
      </c>
      <c r="BI536" t="str">
        <f t="shared" si="669"/>
        <v>B15</v>
      </c>
      <c r="BJ536" t="str">
        <f t="shared" si="670"/>
        <v>C16</v>
      </c>
      <c r="BK536" t="str">
        <f t="shared" si="671"/>
        <v>B16</v>
      </c>
      <c r="BP536" t="str">
        <f t="shared" si="672"/>
        <v>11A</v>
      </c>
      <c r="BQ536" t="str">
        <f t="shared" si="673"/>
        <v>11B</v>
      </c>
      <c r="BR536" t="str">
        <f t="shared" si="674"/>
        <v>12A</v>
      </c>
      <c r="BS536" t="str">
        <f t="shared" si="675"/>
        <v>12B</v>
      </c>
      <c r="BT536" t="str">
        <f t="shared" si="676"/>
        <v>DI3-C13</v>
      </c>
      <c r="BU536" t="str">
        <f t="shared" si="676"/>
        <v>DI3-B13</v>
      </c>
      <c r="BV536" t="str">
        <f t="shared" si="677"/>
        <v>DI3-C14</v>
      </c>
      <c r="BW536" t="str">
        <f t="shared" si="677"/>
        <v>DI3-B14</v>
      </c>
      <c r="BX536" t="str">
        <f t="shared" si="677"/>
        <v>DI3-C15</v>
      </c>
      <c r="BY536" t="str">
        <f t="shared" si="677"/>
        <v>DI3-B15</v>
      </c>
      <c r="BZ536" t="str">
        <f t="shared" si="677"/>
        <v>DI3-C16</v>
      </c>
      <c r="CA536" t="str">
        <f t="shared" si="677"/>
        <v>DI3-B16</v>
      </c>
      <c r="CB536" t="str">
        <f t="shared" si="677"/>
        <v>DI3-</v>
      </c>
      <c r="CC536" t="str">
        <f t="shared" si="677"/>
        <v>DI3-</v>
      </c>
      <c r="CD536" t="str">
        <f t="shared" si="677"/>
        <v>DI3-</v>
      </c>
      <c r="CE536" t="str">
        <f t="shared" si="677"/>
        <v>DI3-</v>
      </c>
      <c r="CF536" t="str">
        <f>CONCATENATE("DO",REPLACE($AH536,1,3,""),"-",$AK536)</f>
        <v>DO2-10A</v>
      </c>
      <c r="CG536" t="str">
        <f>CONCATENATE("DO",REPLACE($AH536,1,3,""),"-",$AL536)</f>
        <v>DO2-10B</v>
      </c>
      <c r="CH536" t="str">
        <f t="shared" si="679"/>
        <v>DO2-11A</v>
      </c>
      <c r="CI536" t="str">
        <f t="shared" si="679"/>
        <v>DO2-11B</v>
      </c>
      <c r="CJ536" t="str">
        <f t="shared" si="679"/>
        <v>DO2-12A</v>
      </c>
      <c r="CK536" t="str">
        <f t="shared" si="679"/>
        <v>DO2-12B</v>
      </c>
      <c r="CL536" t="str">
        <f t="shared" si="680"/>
        <v>K14-10</v>
      </c>
      <c r="CM536" t="str">
        <f t="shared" si="681"/>
        <v>K14-03</v>
      </c>
      <c r="CN536" t="str">
        <f t="shared" si="682"/>
        <v>K14-04</v>
      </c>
      <c r="CO536" t="str">
        <f t="shared" si="683"/>
        <v>K14-01</v>
      </c>
      <c r="CP536" t="str">
        <f t="shared" si="684"/>
        <v>K14-08</v>
      </c>
      <c r="CQ536" t="str">
        <f t="shared" si="685"/>
        <v>K14-02</v>
      </c>
      <c r="CR536" t="str">
        <f t="shared" si="686"/>
        <v>K14-09</v>
      </c>
      <c r="CS536" t="str">
        <f t="shared" si="687"/>
        <v>K14-05</v>
      </c>
      <c r="CT536" t="str">
        <f t="shared" si="688"/>
        <v>K14-11</v>
      </c>
      <c r="CU536" t="str">
        <f t="shared" si="689"/>
        <v>N2-M14-A9</v>
      </c>
      <c r="CV536" t="str">
        <f t="shared" si="690"/>
        <v>N2-M14-A7</v>
      </c>
      <c r="CW536" t="str">
        <f t="shared" si="691"/>
        <v>N2-M14-A8</v>
      </c>
      <c r="CX536" t="str">
        <f t="shared" si="692"/>
        <v>N2-M14-A6</v>
      </c>
      <c r="CY536" t="str">
        <f t="shared" si="693"/>
        <v>N2-M14-A30</v>
      </c>
      <c r="CZ536" t="str">
        <f t="shared" si="694"/>
        <v>N2-M14-N</v>
      </c>
      <c r="DA536" t="str">
        <f t="shared" si="695"/>
        <v>N2-A220-M14</v>
      </c>
      <c r="DB536" t="str">
        <f t="shared" si="696"/>
        <v>N2-M14-XM01</v>
      </c>
      <c r="DC536" t="str">
        <f t="shared" si="697"/>
        <v>N2-M14-A1</v>
      </c>
      <c r="DD536" t="str">
        <f t="shared" si="698"/>
        <v>N2-M14-A5</v>
      </c>
      <c r="DE536" t="str">
        <f t="shared" si="699"/>
        <v>N2-M14-A11</v>
      </c>
      <c r="DF536" t="str">
        <f t="shared" si="700"/>
        <v>N2-M14-A12</v>
      </c>
      <c r="DG536" t="str">
        <f t="shared" si="702"/>
        <v>N2-M14-A19</v>
      </c>
      <c r="DH536" t="str">
        <f t="shared" si="703"/>
        <v>N2-M14-A20</v>
      </c>
      <c r="DI536" t="s">
        <v>142</v>
      </c>
      <c r="DJ536" t="s">
        <v>143</v>
      </c>
      <c r="DK536">
        <v>11</v>
      </c>
      <c r="DL536">
        <v>14</v>
      </c>
      <c r="DM536">
        <v>12</v>
      </c>
      <c r="DN536" t="s">
        <v>144</v>
      </c>
      <c r="DO536" t="s">
        <v>145</v>
      </c>
      <c r="DP536">
        <v>1</v>
      </c>
      <c r="DQ536">
        <v>2</v>
      </c>
      <c r="DR536">
        <v>3</v>
      </c>
      <c r="DS536">
        <v>4</v>
      </c>
      <c r="DT536">
        <v>5</v>
      </c>
      <c r="DU536">
        <v>6</v>
      </c>
      <c r="DV536">
        <v>7</v>
      </c>
      <c r="DW536">
        <v>8</v>
      </c>
      <c r="DX536">
        <v>9</v>
      </c>
      <c r="DY536">
        <v>10</v>
      </c>
      <c r="DZ536">
        <v>11</v>
      </c>
      <c r="EA536">
        <v>12</v>
      </c>
      <c r="EB536">
        <v>13</v>
      </c>
      <c r="EC536">
        <v>14</v>
      </c>
      <c r="ED536">
        <v>1</v>
      </c>
      <c r="EE536">
        <v>3</v>
      </c>
      <c r="EF536">
        <v>4</v>
      </c>
      <c r="EG536">
        <v>7</v>
      </c>
      <c r="EH536">
        <v>8</v>
      </c>
      <c r="EI536">
        <v>9</v>
      </c>
      <c r="EJ536">
        <v>10</v>
      </c>
      <c r="EK536">
        <v>13</v>
      </c>
      <c r="EL536">
        <v>15</v>
      </c>
      <c r="EM536">
        <v>16</v>
      </c>
      <c r="EN536">
        <v>16</v>
      </c>
      <c r="EO536">
        <v>22</v>
      </c>
      <c r="EP536">
        <v>23</v>
      </c>
      <c r="EQ536" s="16">
        <v>24</v>
      </c>
      <c r="MA536" t="str">
        <f t="shared" si="593"/>
        <v>DI3-B13</v>
      </c>
    </row>
    <row r="537" spans="1:339" x14ac:dyDescent="0.25">
      <c r="A537" s="83" t="s">
        <v>2764</v>
      </c>
      <c r="B537" s="83" t="s">
        <v>2765</v>
      </c>
      <c r="C537" s="3"/>
      <c r="O537" s="2"/>
      <c r="P537" t="s">
        <v>2727</v>
      </c>
      <c r="Q537" s="1"/>
      <c r="S537" s="1" t="s">
        <v>130</v>
      </c>
      <c r="T537" s="14" t="s">
        <v>2713</v>
      </c>
      <c r="U537" s="59">
        <f t="shared" si="701"/>
        <v>15</v>
      </c>
      <c r="V537" s="15" t="s">
        <v>2759</v>
      </c>
      <c r="W537" s="15"/>
      <c r="AC537" t="str">
        <f>IF(AD536+AE536&gt;29,REPLACE(AC536,LEN(AC536),1,VALUE(RIGHT(AC536,1))+1),AC536)</f>
        <v>A5.3</v>
      </c>
      <c r="AD537" s="43">
        <f t="array" ref="AD537">IF(COUNTIFS(AC$523:AC537,AC537)=1,"1",VALUE(SUBSTITUTE(INDEX(AD:AD,_xlfn.XMATCH(AC537,AC$1:AC536,0,-1)),"A",""))+INDEX(AE:AE,_xlfn.XMATCH(AC537,AC$1:AC536,0,-1))+1)</f>
        <v>17</v>
      </c>
      <c r="AE537" s="43">
        <f t="array" ref="AE537">SUM(IF(ISNUMBER(FIND("TmDi",$BE$1:$AAQ$1)),IF(IFERROR(ISNUMBER(VALUE(SUBSTITUTE($BE537:$AAQ537,"B",""))),FALSE),IF(ISNUMBER(VALUE(SUBSTITUTE($BE537:$AAQ537,"B",""))),1,0),0)))</f>
        <v>3</v>
      </c>
      <c r="AF537" t="str">
        <f t="shared" si="440"/>
        <v>C17</v>
      </c>
      <c r="AG537" t="str">
        <f t="shared" si="441"/>
        <v>B17</v>
      </c>
      <c r="AH537" t="str">
        <f>IF(AI536+AJ536&gt;27,REPLACE(AH536,LEN(AH536),1,VALUE(RIGHT(AH536,1))+1),AH536)</f>
        <v>A6.2</v>
      </c>
      <c r="AI537" s="69">
        <f t="array" ref="AI537">IF(COUNTIFS(AH$523:AH537,AH537)=1,"1",VALUE(SUBSTITUTE(INDEX(AI:AI,_xlfn.XMATCH(AH537,AH$1:AH536,0,-1)),"A",""))+INDEX(AJ:AJ,_xlfn.XMATCH(AH537,AH$1:AH536,0,-1))+1)</f>
        <v>13</v>
      </c>
      <c r="AJ537" s="62">
        <f t="array" ref="AJ537">SUM(IF(ISNUMBER(FIND("TmDo",$BE$1:$AAQ$1)),IF(IFERROR(ISNUMBER(VALUE(SUBSTITUTE($BE537:$AAQ537,"B",""))),FALSE),IF(ISNUMBER(VALUE(SUBSTITUTE($BE537:$AAQ537,"B",""))),1,0),0)))</f>
        <v>2</v>
      </c>
      <c r="AK537" t="str">
        <f t="shared" si="624"/>
        <v>13A</v>
      </c>
      <c r="AL537" t="str">
        <f t="shared" si="625"/>
        <v>13B</v>
      </c>
      <c r="AM537" t="s">
        <v>163</v>
      </c>
      <c r="AP537" t="s">
        <v>2716</v>
      </c>
      <c r="AQ537" t="s">
        <v>2745</v>
      </c>
      <c r="AT537" t="s">
        <v>139</v>
      </c>
      <c r="AU537" t="s">
        <v>140</v>
      </c>
      <c r="BD537" s="16"/>
      <c r="BE537" s="27" t="str">
        <f t="shared" si="665"/>
        <v>XT15</v>
      </c>
      <c r="BF537" t="str">
        <f t="shared" si="666"/>
        <v>C18</v>
      </c>
      <c r="BG537" t="str">
        <f t="shared" si="667"/>
        <v>B18</v>
      </c>
      <c r="BH537" t="str">
        <f t="shared" si="668"/>
        <v>C19</v>
      </c>
      <c r="BI537" t="str">
        <f t="shared" si="669"/>
        <v>B19</v>
      </c>
      <c r="BJ537" t="str">
        <f t="shared" si="670"/>
        <v>C20</v>
      </c>
      <c r="BK537" t="str">
        <f t="shared" si="671"/>
        <v>B20</v>
      </c>
      <c r="BP537" t="str">
        <f t="shared" si="672"/>
        <v>14A</v>
      </c>
      <c r="BQ537" t="str">
        <f t="shared" si="673"/>
        <v>14B</v>
      </c>
      <c r="BR537" t="str">
        <f t="shared" si="674"/>
        <v>15A</v>
      </c>
      <c r="BS537" t="str">
        <f t="shared" si="675"/>
        <v>15B</v>
      </c>
      <c r="BT537" t="str">
        <f t="shared" si="676"/>
        <v>DI3-C17</v>
      </c>
      <c r="BU537" t="str">
        <f t="shared" si="676"/>
        <v>DI3-B17</v>
      </c>
      <c r="BV537" t="str">
        <f t="shared" si="677"/>
        <v>DI3-C18</v>
      </c>
      <c r="BW537" t="str">
        <f t="shared" si="677"/>
        <v>DI3-B18</v>
      </c>
      <c r="BX537" t="str">
        <f t="shared" si="677"/>
        <v>DI3-C19</v>
      </c>
      <c r="BY537" t="str">
        <f t="shared" si="677"/>
        <v>DI3-B19</v>
      </c>
      <c r="BZ537" t="str">
        <f t="shared" si="677"/>
        <v>DI3-C20</v>
      </c>
      <c r="CA537" t="str">
        <f t="shared" si="677"/>
        <v>DI3-B20</v>
      </c>
      <c r="CB537" t="str">
        <f t="shared" si="677"/>
        <v>DI3-</v>
      </c>
      <c r="CC537" t="str">
        <f t="shared" si="677"/>
        <v>DI3-</v>
      </c>
      <c r="CD537" t="str">
        <f t="shared" si="677"/>
        <v>DI3-</v>
      </c>
      <c r="CE537" t="str">
        <f t="shared" si="677"/>
        <v>DI3-</v>
      </c>
      <c r="CF537" t="str">
        <f t="shared" ref="CF537:CG539" si="704">CONCATENATE("DO",REPLACE($AH537,1,3,""),"-",AK537)</f>
        <v>DO2-13A</v>
      </c>
      <c r="CG537" t="str">
        <f t="shared" si="704"/>
        <v>DO2-13B</v>
      </c>
      <c r="CH537" t="str">
        <f t="shared" si="679"/>
        <v>DO2-14A</v>
      </c>
      <c r="CI537" t="str">
        <f t="shared" si="679"/>
        <v>DO2-14B</v>
      </c>
      <c r="CJ537" t="str">
        <f t="shared" si="679"/>
        <v>DO2-15A</v>
      </c>
      <c r="CK537" t="str">
        <f t="shared" si="679"/>
        <v>DO2-15B</v>
      </c>
      <c r="CL537" t="str">
        <f t="shared" si="680"/>
        <v>K15-10</v>
      </c>
      <c r="CM537" t="str">
        <f t="shared" si="681"/>
        <v>K15-03</v>
      </c>
      <c r="CN537" t="str">
        <f t="shared" si="682"/>
        <v>K15-04</v>
      </c>
      <c r="CO537" t="str">
        <f t="shared" si="683"/>
        <v>K15-01</v>
      </c>
      <c r="CP537" t="str">
        <f t="shared" si="684"/>
        <v>K15-08</v>
      </c>
      <c r="CQ537" t="str">
        <f t="shared" si="685"/>
        <v>K15-02</v>
      </c>
      <c r="CR537" t="str">
        <f t="shared" si="686"/>
        <v>K15-09</v>
      </c>
      <c r="CS537" t="str">
        <f t="shared" si="687"/>
        <v>K15-05</v>
      </c>
      <c r="CT537" t="str">
        <f t="shared" si="688"/>
        <v>K15-11</v>
      </c>
      <c r="CU537" t="str">
        <f t="shared" si="689"/>
        <v>N2-M15-A9</v>
      </c>
      <c r="CV537" t="str">
        <f t="shared" si="690"/>
        <v>N2-M15-A7</v>
      </c>
      <c r="CW537" t="str">
        <f t="shared" si="691"/>
        <v>N2-M15-A8</v>
      </c>
      <c r="CX537" t="str">
        <f t="shared" si="692"/>
        <v>N2-M15-A6</v>
      </c>
      <c r="CY537" t="str">
        <f t="shared" si="693"/>
        <v>N2-M15-A30</v>
      </c>
      <c r="CZ537" t="str">
        <f t="shared" si="694"/>
        <v>N2-M15-N</v>
      </c>
      <c r="DA537" t="str">
        <f t="shared" si="695"/>
        <v>N2-A220-M15</v>
      </c>
      <c r="DB537" t="str">
        <f t="shared" si="696"/>
        <v>N2-M15-XM01</v>
      </c>
      <c r="DC537" t="str">
        <f t="shared" si="697"/>
        <v>N2-M15-A1</v>
      </c>
      <c r="DD537" t="str">
        <f t="shared" si="698"/>
        <v>N2-M15-A5</v>
      </c>
      <c r="DE537" t="str">
        <f t="shared" si="699"/>
        <v>N2-M15-A11</v>
      </c>
      <c r="DF537" t="str">
        <f t="shared" si="700"/>
        <v>N2-M15-A12</v>
      </c>
      <c r="DG537" t="str">
        <f t="shared" si="702"/>
        <v>N2-M15-A19</v>
      </c>
      <c r="DH537" t="str">
        <f t="shared" si="703"/>
        <v>N2-M15-A20</v>
      </c>
      <c r="DI537" t="s">
        <v>142</v>
      </c>
      <c r="DJ537" t="s">
        <v>143</v>
      </c>
      <c r="DK537">
        <v>11</v>
      </c>
      <c r="DL537">
        <v>14</v>
      </c>
      <c r="DM537">
        <v>12</v>
      </c>
      <c r="DN537" t="s">
        <v>144</v>
      </c>
      <c r="DO537" t="s">
        <v>145</v>
      </c>
      <c r="DP537">
        <v>1</v>
      </c>
      <c r="DQ537">
        <v>2</v>
      </c>
      <c r="DR537">
        <v>3</v>
      </c>
      <c r="DS537">
        <v>4</v>
      </c>
      <c r="DT537">
        <v>5</v>
      </c>
      <c r="DU537">
        <v>6</v>
      </c>
      <c r="DV537">
        <v>7</v>
      </c>
      <c r="DW537">
        <v>8</v>
      </c>
      <c r="DX537">
        <v>9</v>
      </c>
      <c r="DY537">
        <v>10</v>
      </c>
      <c r="DZ537">
        <v>11</v>
      </c>
      <c r="EA537">
        <v>12</v>
      </c>
      <c r="EB537">
        <v>13</v>
      </c>
      <c r="EC537">
        <v>14</v>
      </c>
      <c r="ED537">
        <v>1</v>
      </c>
      <c r="EE537">
        <v>3</v>
      </c>
      <c r="EF537">
        <v>4</v>
      </c>
      <c r="EG537">
        <v>7</v>
      </c>
      <c r="EH537">
        <v>8</v>
      </c>
      <c r="EI537">
        <v>9</v>
      </c>
      <c r="EJ537">
        <v>10</v>
      </c>
      <c r="EK537">
        <v>13</v>
      </c>
      <c r="EL537">
        <v>15</v>
      </c>
      <c r="EM537">
        <v>16</v>
      </c>
      <c r="EN537">
        <v>16</v>
      </c>
      <c r="EO537">
        <v>22</v>
      </c>
      <c r="EP537">
        <v>23</v>
      </c>
      <c r="EQ537" s="16">
        <v>24</v>
      </c>
      <c r="MA537" t="str">
        <f t="shared" si="593"/>
        <v>DI3-B17</v>
      </c>
    </row>
    <row r="538" spans="1:339" x14ac:dyDescent="0.25">
      <c r="A538" s="83" t="s">
        <v>2768</v>
      </c>
      <c r="B538" s="83" t="s">
        <v>2766</v>
      </c>
      <c r="C538" s="3"/>
      <c r="O538" s="2"/>
      <c r="P538" t="s">
        <v>2727</v>
      </c>
      <c r="Q538" s="1"/>
      <c r="S538" s="1" t="s">
        <v>130</v>
      </c>
      <c r="T538" s="14" t="s">
        <v>2713</v>
      </c>
      <c r="U538" s="59">
        <f t="shared" si="701"/>
        <v>16</v>
      </c>
      <c r="V538" s="15" t="s">
        <v>2760</v>
      </c>
      <c r="W538" s="15"/>
      <c r="AC538" t="str">
        <f>IF(AD537+AE537&gt;29,REPLACE(AC537,LEN(AC537),1,VALUE(RIGHT(AC537,1))+1),AC537)</f>
        <v>A5.3</v>
      </c>
      <c r="AD538" s="43">
        <f t="array" ref="AD538">IF(COUNTIFS(AC$523:AC538,AC538)=1,"1",VALUE(SUBSTITUTE(INDEX(AD:AD,_xlfn.XMATCH(AC538,AC$1:AC537,0,-1)),"A",""))+INDEX(AE:AE,_xlfn.XMATCH(AC538,AC$1:AC537,0,-1))+1)</f>
        <v>21</v>
      </c>
      <c r="AE538" s="43">
        <f t="array" ref="AE538">SUM(IF(ISNUMBER(FIND("TmDi",$BE$1:$AAQ$1)),IF(IFERROR(ISNUMBER(VALUE(SUBSTITUTE($BE538:$AAQ538,"B",""))),FALSE),IF(ISNUMBER(VALUE(SUBSTITUTE($BE538:$AAQ538,"B",""))),1,0),0)))</f>
        <v>3</v>
      </c>
      <c r="AF538" t="str">
        <f t="shared" si="440"/>
        <v>C21</v>
      </c>
      <c r="AG538" t="str">
        <f t="shared" si="441"/>
        <v>B21</v>
      </c>
      <c r="AH538" t="str">
        <f>IF(AI537+AJ537&gt;27,REPLACE(AH537,LEN(AH537),1,VALUE(RIGHT(AH537,1))+1),AH537)</f>
        <v>A6.2</v>
      </c>
      <c r="AI538" s="69">
        <f t="array" ref="AI538">IF(COUNTIFS(AH$523:AH538,AH538)=1,"1",VALUE(SUBSTITUTE(INDEX(AI:AI,_xlfn.XMATCH(AH538,AH$1:AH537,0,-1)),"A",""))+INDEX(AJ:AJ,_xlfn.XMATCH(AH538,AH$1:AH537,0,-1))+1)</f>
        <v>16</v>
      </c>
      <c r="AJ538" s="62">
        <f t="array" ref="AJ538">SUM(IF(ISNUMBER(FIND("TmDo",$BE$1:$AAQ$1)),IF(IFERROR(ISNUMBER(VALUE(SUBSTITUTE($BE538:$AAQ538,"B",""))),FALSE),IF(ISNUMBER(VALUE(SUBSTITUTE($BE538:$AAQ538,"B",""))),1,0),0)))</f>
        <v>2</v>
      </c>
      <c r="AK538" t="str">
        <f t="shared" si="624"/>
        <v>16A</v>
      </c>
      <c r="AL538" t="str">
        <f t="shared" si="625"/>
        <v>16B</v>
      </c>
      <c r="AM538" t="s">
        <v>166</v>
      </c>
      <c r="AP538" t="s">
        <v>2716</v>
      </c>
      <c r="AQ538" t="s">
        <v>2745</v>
      </c>
      <c r="AT538" t="s">
        <v>139</v>
      </c>
      <c r="AU538" t="s">
        <v>140</v>
      </c>
      <c r="BD538" s="16"/>
      <c r="BE538" s="27" t="str">
        <f t="shared" si="665"/>
        <v>XT16</v>
      </c>
      <c r="BF538" t="str">
        <f t="shared" si="666"/>
        <v>C22</v>
      </c>
      <c r="BG538" t="str">
        <f t="shared" si="667"/>
        <v>B22</v>
      </c>
      <c r="BH538" t="str">
        <f t="shared" si="668"/>
        <v>C23</v>
      </c>
      <c r="BI538" t="str">
        <f t="shared" si="669"/>
        <v>B23</v>
      </c>
      <c r="BJ538" t="str">
        <f t="shared" si="670"/>
        <v>C24</v>
      </c>
      <c r="BK538" t="str">
        <f t="shared" si="671"/>
        <v>B24</v>
      </c>
      <c r="BP538" t="str">
        <f t="shared" si="672"/>
        <v>17A</v>
      </c>
      <c r="BQ538" t="str">
        <f t="shared" si="673"/>
        <v>17B</v>
      </c>
      <c r="BR538" t="str">
        <f t="shared" si="674"/>
        <v>18A</v>
      </c>
      <c r="BS538" t="str">
        <f t="shared" si="675"/>
        <v>18B</v>
      </c>
      <c r="BT538" t="str">
        <f t="shared" si="676"/>
        <v>DI3-C21</v>
      </c>
      <c r="BU538" t="str">
        <f t="shared" si="676"/>
        <v>DI3-B21</v>
      </c>
      <c r="BV538" t="str">
        <f t="shared" si="677"/>
        <v>DI3-C22</v>
      </c>
      <c r="BW538" t="str">
        <f t="shared" si="677"/>
        <v>DI3-B22</v>
      </c>
      <c r="BX538" t="str">
        <f t="shared" si="677"/>
        <v>DI3-C23</v>
      </c>
      <c r="BY538" t="str">
        <f t="shared" si="677"/>
        <v>DI3-B23</v>
      </c>
      <c r="BZ538" t="str">
        <f t="shared" si="677"/>
        <v>DI3-C24</v>
      </c>
      <c r="CA538" t="str">
        <f t="shared" si="677"/>
        <v>DI3-B24</v>
      </c>
      <c r="CB538" t="str">
        <f t="shared" si="677"/>
        <v>DI3-</v>
      </c>
      <c r="CC538" t="str">
        <f t="shared" si="677"/>
        <v>DI3-</v>
      </c>
      <c r="CD538" t="str">
        <f t="shared" si="677"/>
        <v>DI3-</v>
      </c>
      <c r="CE538" t="str">
        <f t="shared" si="677"/>
        <v>DI3-</v>
      </c>
      <c r="CF538" t="str">
        <f t="shared" si="704"/>
        <v>DO2-16A</v>
      </c>
      <c r="CG538" t="str">
        <f t="shared" si="704"/>
        <v>DO2-16B</v>
      </c>
      <c r="CH538" t="str">
        <f t="shared" si="679"/>
        <v>DO2-17A</v>
      </c>
      <c r="CI538" t="str">
        <f t="shared" si="679"/>
        <v>DO2-17B</v>
      </c>
      <c r="CJ538" t="str">
        <f t="shared" si="679"/>
        <v>DO2-18A</v>
      </c>
      <c r="CK538" t="str">
        <f t="shared" si="679"/>
        <v>DO2-18B</v>
      </c>
      <c r="CL538" t="str">
        <f t="shared" si="680"/>
        <v>K16-10</v>
      </c>
      <c r="CM538" t="str">
        <f t="shared" si="681"/>
        <v>K16-03</v>
      </c>
      <c r="CN538" t="str">
        <f t="shared" si="682"/>
        <v>K16-04</v>
      </c>
      <c r="CO538" t="str">
        <f t="shared" si="683"/>
        <v>K16-01</v>
      </c>
      <c r="CP538" t="str">
        <f t="shared" si="684"/>
        <v>K16-08</v>
      </c>
      <c r="CQ538" t="str">
        <f t="shared" si="685"/>
        <v>K16-02</v>
      </c>
      <c r="CR538" t="str">
        <f t="shared" si="686"/>
        <v>K16-09</v>
      </c>
      <c r="CS538" t="str">
        <f t="shared" si="687"/>
        <v>K16-05</v>
      </c>
      <c r="CT538" t="str">
        <f t="shared" si="688"/>
        <v>K16-11</v>
      </c>
      <c r="CU538" t="str">
        <f t="shared" si="689"/>
        <v>N2-M16-A9</v>
      </c>
      <c r="CV538" t="str">
        <f t="shared" si="690"/>
        <v>N2-M16-A7</v>
      </c>
      <c r="CW538" t="str">
        <f t="shared" si="691"/>
        <v>N2-M16-A8</v>
      </c>
      <c r="CX538" t="str">
        <f t="shared" si="692"/>
        <v>N2-M16-A6</v>
      </c>
      <c r="CY538" t="str">
        <f t="shared" si="693"/>
        <v>N2-M16-A30</v>
      </c>
      <c r="CZ538" t="str">
        <f t="shared" si="694"/>
        <v>N2-M16-N</v>
      </c>
      <c r="DA538" t="str">
        <f t="shared" si="695"/>
        <v>N2-A220-M16</v>
      </c>
      <c r="DB538" t="str">
        <f t="shared" si="696"/>
        <v>N2-M16-XM01</v>
      </c>
      <c r="DC538" t="str">
        <f t="shared" si="697"/>
        <v>N2-M16-A1</v>
      </c>
      <c r="DD538" t="str">
        <f t="shared" si="698"/>
        <v>N2-M16-A5</v>
      </c>
      <c r="DE538" t="str">
        <f t="shared" si="699"/>
        <v>N2-M16-A11</v>
      </c>
      <c r="DF538" t="str">
        <f t="shared" si="700"/>
        <v>N2-M16-A12</v>
      </c>
      <c r="DG538" t="str">
        <f t="shared" si="702"/>
        <v>N2-M16-A19</v>
      </c>
      <c r="DH538" t="str">
        <f t="shared" si="703"/>
        <v>N2-M16-A20</v>
      </c>
      <c r="DI538" t="s">
        <v>142</v>
      </c>
      <c r="DJ538" t="s">
        <v>143</v>
      </c>
      <c r="DK538">
        <v>11</v>
      </c>
      <c r="DL538">
        <v>14</v>
      </c>
      <c r="DM538">
        <v>12</v>
      </c>
      <c r="DN538" t="s">
        <v>144</v>
      </c>
      <c r="DO538" t="s">
        <v>145</v>
      </c>
      <c r="DP538">
        <v>1</v>
      </c>
      <c r="DQ538">
        <v>2</v>
      </c>
      <c r="DR538">
        <v>3</v>
      </c>
      <c r="DS538">
        <v>4</v>
      </c>
      <c r="DT538">
        <v>5</v>
      </c>
      <c r="DU538">
        <v>6</v>
      </c>
      <c r="DV538">
        <v>7</v>
      </c>
      <c r="DW538">
        <v>8</v>
      </c>
      <c r="DX538">
        <v>9</v>
      </c>
      <c r="DY538">
        <v>10</v>
      </c>
      <c r="DZ538">
        <v>11</v>
      </c>
      <c r="EA538">
        <v>12</v>
      </c>
      <c r="EB538">
        <v>13</v>
      </c>
      <c r="EC538">
        <v>14</v>
      </c>
      <c r="ED538">
        <v>1</v>
      </c>
      <c r="EE538">
        <v>3</v>
      </c>
      <c r="EF538">
        <v>4</v>
      </c>
      <c r="EG538">
        <v>7</v>
      </c>
      <c r="EH538">
        <v>8</v>
      </c>
      <c r="EI538">
        <v>9</v>
      </c>
      <c r="EJ538">
        <v>10</v>
      </c>
      <c r="EK538">
        <v>13</v>
      </c>
      <c r="EL538">
        <v>15</v>
      </c>
      <c r="EM538">
        <v>16</v>
      </c>
      <c r="EN538">
        <v>16</v>
      </c>
      <c r="EO538">
        <v>22</v>
      </c>
      <c r="EP538">
        <v>23</v>
      </c>
      <c r="EQ538" s="16">
        <v>24</v>
      </c>
      <c r="MA538" t="str">
        <f t="shared" si="593"/>
        <v>DI3-B21</v>
      </c>
    </row>
    <row r="539" spans="1:339" ht="15.75" thickBot="1" x14ac:dyDescent="0.3">
      <c r="A539" s="83" t="s">
        <v>2769</v>
      </c>
      <c r="B539" s="83" t="s">
        <v>2767</v>
      </c>
      <c r="C539" s="3"/>
      <c r="O539" s="2"/>
      <c r="P539" t="s">
        <v>2727</v>
      </c>
      <c r="Q539" s="1"/>
      <c r="S539" s="1" t="s">
        <v>130</v>
      </c>
      <c r="T539" s="14" t="s">
        <v>2713</v>
      </c>
      <c r="U539" s="59">
        <f t="shared" si="701"/>
        <v>17</v>
      </c>
      <c r="V539" s="15" t="s">
        <v>2761</v>
      </c>
      <c r="W539" s="15"/>
      <c r="AC539" t="str">
        <f>IF(AD538+AE538&gt;29,REPLACE(AC538,LEN(AC538),1,VALUE(RIGHT(AC538,1))+1),AC538)</f>
        <v>A5.3</v>
      </c>
      <c r="AD539" s="43">
        <f t="array" ref="AD539">IF(COUNTIFS(AC$523:AC539,AC539)=1,"1",VALUE(SUBSTITUTE(INDEX(AD:AD,_xlfn.XMATCH(AC539,AC$1:AC538,0,-1)),"A",""))+INDEX(AE:AE,_xlfn.XMATCH(AC539,AC$1:AC538,0,-1))+1)</f>
        <v>25</v>
      </c>
      <c r="AE539" s="43">
        <f t="array" ref="AE539">SUM(IF(ISNUMBER(FIND("TmDi",$BE$1:$AAQ$1)),IF(IFERROR(ISNUMBER(VALUE(SUBSTITUTE($BE539:$AAQ539,"B",""))),FALSE),IF(ISNUMBER(VALUE(SUBSTITUTE($BE539:$AAQ539,"B",""))),1,0),0)))</f>
        <v>3</v>
      </c>
      <c r="AF539" t="str">
        <f t="shared" si="440"/>
        <v>C25</v>
      </c>
      <c r="AG539" t="str">
        <f t="shared" si="441"/>
        <v>B25</v>
      </c>
      <c r="AH539" t="str">
        <f>IF(AI538+AJ538&gt;27,REPLACE(AH538,LEN(AH538),1,VALUE(RIGHT(AH538,1))+1),AH538)</f>
        <v>A6.2</v>
      </c>
      <c r="AI539" s="69">
        <f t="array" ref="AI539">IF(COUNTIFS(AH$523:AH539,AH539)=1,"1",VALUE(SUBSTITUTE(INDEX(AI:AI,_xlfn.XMATCH(AH539,AH$1:AH538,0,-1)),"A",""))+INDEX(AJ:AJ,_xlfn.XMATCH(AH539,AH$1:AH538,0,-1))+1)</f>
        <v>19</v>
      </c>
      <c r="AJ539" s="62">
        <f t="array" ref="AJ539">SUM(IF(ISNUMBER(FIND("TmDo",$BE$1:$AAQ$1)),IF(IFERROR(ISNUMBER(VALUE(SUBSTITUTE($BE539:$AAQ539,"B",""))),FALSE),IF(ISNUMBER(VALUE(SUBSTITUTE($BE539:$AAQ539,"B",""))),1,0),0)))</f>
        <v>2</v>
      </c>
      <c r="AK539" t="str">
        <f t="shared" si="624"/>
        <v>19A</v>
      </c>
      <c r="AL539" t="str">
        <f t="shared" si="625"/>
        <v>19B</v>
      </c>
      <c r="AM539" t="s">
        <v>169</v>
      </c>
      <c r="AP539" t="s">
        <v>2716</v>
      </c>
      <c r="AQ539" t="s">
        <v>2745</v>
      </c>
      <c r="AT539" t="s">
        <v>139</v>
      </c>
      <c r="AU539" t="s">
        <v>140</v>
      </c>
      <c r="BD539" s="16"/>
      <c r="BE539" s="27" t="str">
        <f t="shared" si="665"/>
        <v>XT17</v>
      </c>
      <c r="BF539" t="str">
        <f>CONCATENATE("C",REPLACE($AF539,1,1,"")+1)</f>
        <v>C26</v>
      </c>
      <c r="BG539" t="str">
        <f>CONCATENATE("B",REPLACE($AG539,1,1,"")+1)</f>
        <v>B26</v>
      </c>
      <c r="BH539" t="str">
        <f t="shared" si="668"/>
        <v>C27</v>
      </c>
      <c r="BI539" t="str">
        <f t="shared" si="669"/>
        <v>B27</v>
      </c>
      <c r="BJ539" t="str">
        <f t="shared" si="670"/>
        <v>C28</v>
      </c>
      <c r="BK539" t="str">
        <f t="shared" si="671"/>
        <v>B28</v>
      </c>
      <c r="BP539" t="str">
        <f>CONCATENATE(REPLACE($AK539,LEN($AK539),1,"")+1,"A")</f>
        <v>20A</v>
      </c>
      <c r="BQ539" t="str">
        <f>CONCATENATE(REPLACE($AL539,LEN($AL539),1,"")+1,"B")</f>
        <v>20B</v>
      </c>
      <c r="BR539" t="str">
        <f t="shared" si="674"/>
        <v>21A</v>
      </c>
      <c r="BS539" t="str">
        <f t="shared" si="675"/>
        <v>21B</v>
      </c>
      <c r="BT539" t="str">
        <f>CONCATENATE("DI",REPLACE($AC539,1,3,""),"-",$AF539)</f>
        <v>DI3-C25</v>
      </c>
      <c r="BU539" t="str">
        <f>CONCATENATE("DI",REPLACE($AC539,1,3,""),"-",$AG539)</f>
        <v>DI3-B25</v>
      </c>
      <c r="BV539" t="str">
        <f t="shared" si="677"/>
        <v>DI3-C26</v>
      </c>
      <c r="BW539" t="str">
        <f t="shared" si="677"/>
        <v>DI3-B26</v>
      </c>
      <c r="BX539" t="str">
        <f t="shared" si="677"/>
        <v>DI3-C27</v>
      </c>
      <c r="BY539" t="str">
        <f t="shared" si="677"/>
        <v>DI3-B27</v>
      </c>
      <c r="BZ539" t="str">
        <f t="shared" si="677"/>
        <v>DI3-C28</v>
      </c>
      <c r="CA539" t="str">
        <f t="shared" si="677"/>
        <v>DI3-B28</v>
      </c>
      <c r="CB539" t="str">
        <f t="shared" si="677"/>
        <v>DI3-</v>
      </c>
      <c r="CC539" t="str">
        <f t="shared" si="677"/>
        <v>DI3-</v>
      </c>
      <c r="CD539" t="str">
        <f t="shared" si="677"/>
        <v>DI3-</v>
      </c>
      <c r="CE539" t="str">
        <f t="shared" si="677"/>
        <v>DI3-</v>
      </c>
      <c r="CF539" t="str">
        <f t="shared" si="704"/>
        <v>DO2-19A</v>
      </c>
      <c r="CG539" t="str">
        <f t="shared" si="704"/>
        <v>DO2-19B</v>
      </c>
      <c r="CH539" t="str">
        <f t="shared" si="679"/>
        <v>DO2-20A</v>
      </c>
      <c r="CI539" t="str">
        <f t="shared" si="679"/>
        <v>DO2-20B</v>
      </c>
      <c r="CJ539" t="str">
        <f t="shared" si="679"/>
        <v>DO2-21A</v>
      </c>
      <c r="CK539" t="str">
        <f t="shared" si="679"/>
        <v>DO2-21B</v>
      </c>
      <c r="CL539" t="str">
        <f t="shared" si="680"/>
        <v>K17-10</v>
      </c>
      <c r="CM539" t="str">
        <f t="shared" si="681"/>
        <v>K17-03</v>
      </c>
      <c r="CN539" t="str">
        <f t="shared" si="682"/>
        <v>K17-04</v>
      </c>
      <c r="CO539" t="str">
        <f t="shared" si="683"/>
        <v>K17-01</v>
      </c>
      <c r="CP539" t="str">
        <f t="shared" si="684"/>
        <v>K17-08</v>
      </c>
      <c r="CQ539" t="str">
        <f t="shared" si="685"/>
        <v>K17-02</v>
      </c>
      <c r="CR539" t="str">
        <f t="shared" si="686"/>
        <v>K17-09</v>
      </c>
      <c r="CS539" t="str">
        <f t="shared" si="687"/>
        <v>K17-05</v>
      </c>
      <c r="CT539" t="str">
        <f t="shared" si="688"/>
        <v>K17-11</v>
      </c>
      <c r="CU539" t="str">
        <f t="shared" si="689"/>
        <v>N2-M17-A9</v>
      </c>
      <c r="CV539" t="str">
        <f t="shared" si="690"/>
        <v>N2-M17-A7</v>
      </c>
      <c r="CW539" t="str">
        <f t="shared" si="691"/>
        <v>N2-M17-A8</v>
      </c>
      <c r="CX539" t="str">
        <f t="shared" si="692"/>
        <v>N2-M17-A6</v>
      </c>
      <c r="CY539" t="str">
        <f t="shared" si="693"/>
        <v>N2-M17-A30</v>
      </c>
      <c r="CZ539" t="str">
        <f t="shared" si="694"/>
        <v>N2-M17-N</v>
      </c>
      <c r="DA539" t="str">
        <f t="shared" si="695"/>
        <v>N2-A220-M17</v>
      </c>
      <c r="DB539" t="str">
        <f t="shared" si="696"/>
        <v>N2-M17-XM01</v>
      </c>
      <c r="DC539" t="str">
        <f t="shared" si="697"/>
        <v>N2-M17-A1</v>
      </c>
      <c r="DD539" t="str">
        <f t="shared" si="698"/>
        <v>N2-M17-A5</v>
      </c>
      <c r="DE539" t="str">
        <f t="shared" si="699"/>
        <v>N2-M17-A11</v>
      </c>
      <c r="DF539" t="str">
        <f t="shared" si="700"/>
        <v>N2-M17-A12</v>
      </c>
      <c r="DG539" t="str">
        <f t="shared" si="702"/>
        <v>N2-M17-A19</v>
      </c>
      <c r="DH539" t="str">
        <f t="shared" si="703"/>
        <v>N2-M17-A20</v>
      </c>
      <c r="DI539" t="s">
        <v>142</v>
      </c>
      <c r="DJ539" t="s">
        <v>143</v>
      </c>
      <c r="DK539">
        <v>11</v>
      </c>
      <c r="DL539">
        <v>14</v>
      </c>
      <c r="DM539">
        <v>12</v>
      </c>
      <c r="DN539" t="s">
        <v>144</v>
      </c>
      <c r="DO539" t="s">
        <v>145</v>
      </c>
      <c r="DP539">
        <v>1</v>
      </c>
      <c r="DQ539">
        <v>2</v>
      </c>
      <c r="DR539">
        <v>3</v>
      </c>
      <c r="DS539">
        <v>4</v>
      </c>
      <c r="DT539">
        <v>5</v>
      </c>
      <c r="DU539">
        <v>6</v>
      </c>
      <c r="DV539">
        <v>7</v>
      </c>
      <c r="DW539">
        <v>8</v>
      </c>
      <c r="DX539">
        <v>9</v>
      </c>
      <c r="DY539">
        <v>10</v>
      </c>
      <c r="DZ539">
        <v>11</v>
      </c>
      <c r="EA539">
        <v>12</v>
      </c>
      <c r="EB539">
        <v>13</v>
      </c>
      <c r="EC539">
        <v>14</v>
      </c>
      <c r="ED539">
        <v>1</v>
      </c>
      <c r="EE539">
        <v>3</v>
      </c>
      <c r="EF539">
        <v>4</v>
      </c>
      <c r="EG539">
        <v>7</v>
      </c>
      <c r="EH539">
        <v>8</v>
      </c>
      <c r="EI539">
        <v>9</v>
      </c>
      <c r="EJ539">
        <v>10</v>
      </c>
      <c r="EK539">
        <v>13</v>
      </c>
      <c r="EL539">
        <v>15</v>
      </c>
      <c r="EM539">
        <v>16</v>
      </c>
      <c r="EN539">
        <v>16</v>
      </c>
      <c r="EO539">
        <v>22</v>
      </c>
      <c r="EP539">
        <v>23</v>
      </c>
      <c r="EQ539" s="16">
        <v>24</v>
      </c>
      <c r="MA539" t="str">
        <f t="shared" si="593"/>
        <v>DI3-B25</v>
      </c>
    </row>
    <row r="540" spans="1:339" x14ac:dyDescent="0.25">
      <c r="A540" s="83" t="s">
        <v>2772</v>
      </c>
      <c r="B540" s="83" t="s">
        <v>2771</v>
      </c>
      <c r="C540" t="s">
        <v>498</v>
      </c>
      <c r="P540" t="s">
        <v>482</v>
      </c>
      <c r="T540" s="14" t="s">
        <v>2713</v>
      </c>
      <c r="U540">
        <v>18</v>
      </c>
      <c r="V540" s="15" t="s">
        <v>2770</v>
      </c>
      <c r="X540" t="s">
        <v>2015</v>
      </c>
      <c r="Y540" s="43" t="str">
        <f t="array" ref="Y540">IF(COUNTIFS($X$523:$X540,$X540)=1,"1",VALUE(SUBSTITUTE(INDEX(Y:Y,_xlfn.XMATCH($X540,$X$1:$X539,0,-1)),"A",""))+INDEX(Z:Z,_xlfn.XMATCH($X540,$X$1:$X539,0,-1))+1)</f>
        <v>1</v>
      </c>
      <c r="Z540" s="43">
        <f t="array" ref="Z540">SUM(IF(ISNUMBER(FIND("TmAi",$BE$1:$AAQ$1)),IF(IFERROR(ISODD(SUBSTITUTE($BE540:$AAQ540,"A","")),FALSE),IF(ISODD(SUBSTITUTE($BE540:$AAQ540,"A","")),1,0),0)))</f>
        <v>0</v>
      </c>
      <c r="AA540" t="str">
        <f t="shared" ref="AA540:AA552" si="705">CONCATENATE($Y540*2-1,"B")</f>
        <v>1B</v>
      </c>
      <c r="AB540" t="str">
        <f t="shared" ref="AB540:AB552" si="706">CONCATENATE($Y540*2,"B")</f>
        <v>2B</v>
      </c>
      <c r="AP540" t="s">
        <v>2716</v>
      </c>
      <c r="AS540" t="s">
        <v>396</v>
      </c>
      <c r="JZ540" s="25" t="str">
        <f>CONCATENATE("XT",U540)</f>
        <v>XT18</v>
      </c>
      <c r="KA540" s="12"/>
      <c r="KB540" s="12"/>
      <c r="KC540" s="12" t="str">
        <f>CONCATENATE(T540,"-AI",REPLACE($X540,1,3,""),"-",AA540)</f>
        <v>N2-AI2-1B</v>
      </c>
      <c r="KD540" s="12" t="str">
        <f>CONCATENATE(T540,"-AI",REPLACE($X540,1,3,""),"-",AB540)</f>
        <v>N2-AI2-2B</v>
      </c>
      <c r="KE540" s="12"/>
      <c r="KF540" s="12"/>
      <c r="KG540" s="12"/>
      <c r="KH540" s="12"/>
      <c r="KI540" s="12">
        <f t="array" ref="KI540">IF(COUNTIFS($U$523:$U540,$U540)=1,1,INDEX(KI:KI,_xlfn.XMATCH(U540,U$1:U539,0,-1))+COUNT(KI539:KM539))</f>
        <v>1</v>
      </c>
      <c r="KJ540" s="12">
        <f>KI540+1</f>
        <v>2</v>
      </c>
      <c r="KK540" s="12">
        <f>KJ540+1</f>
        <v>3</v>
      </c>
      <c r="KL540" s="12"/>
      <c r="KM540" s="12"/>
      <c r="KN540" s="12">
        <v>1</v>
      </c>
      <c r="KO540" s="12">
        <v>2</v>
      </c>
      <c r="KP540" s="12"/>
      <c r="KQ540" s="12"/>
      <c r="KR540" s="12"/>
      <c r="KS540" s="13"/>
      <c r="MA540" t="str">
        <f t="shared" si="593"/>
        <v>DI-</v>
      </c>
    </row>
    <row r="541" spans="1:339" x14ac:dyDescent="0.25">
      <c r="A541" s="83" t="s">
        <v>2774</v>
      </c>
      <c r="B541" s="83" t="s">
        <v>2773</v>
      </c>
      <c r="C541" t="s">
        <v>498</v>
      </c>
      <c r="P541" t="s">
        <v>482</v>
      </c>
      <c r="T541" s="14" t="s">
        <v>2713</v>
      </c>
      <c r="U541">
        <v>18</v>
      </c>
      <c r="V541" s="15" t="s">
        <v>2775</v>
      </c>
      <c r="X541" t="str">
        <f>IF(COUNTIF(X$523:X540,X540)&gt;7,REPLACE(X540,LEN(X540),1,VALUE(RIGHT(X540,1))+1),X540)</f>
        <v>A3.2</v>
      </c>
      <c r="Y541" s="43">
        <f t="array" ref="Y541">IF(COUNTIFS($X$523:$X541,$X541)=1,"1",VALUE(SUBSTITUTE(INDEX(Y:Y,_xlfn.XMATCH($X541,$X$1:$X540,0,-1)),"A",""))+INDEX(Z:Z,_xlfn.XMATCH($X541,$X$1:$X540,0,-1))+1)</f>
        <v>2</v>
      </c>
      <c r="Z541" s="43">
        <f t="array" ref="Z541">SUM(IF(ISNUMBER(FIND("TmAi",$BE$1:$AAQ$1)),IF(IFERROR(ISODD(SUBSTITUTE($BE541:$AAQ541,"A","")),FALSE),IF(ISODD(SUBSTITUTE($BE541:$AAQ541,"A","")),1,0),0)))</f>
        <v>0</v>
      </c>
      <c r="AA541" t="str">
        <f t="shared" si="705"/>
        <v>3B</v>
      </c>
      <c r="AB541" t="str">
        <f t="shared" si="706"/>
        <v>4B</v>
      </c>
      <c r="AP541" t="s">
        <v>2716</v>
      </c>
      <c r="AS541" t="s">
        <v>396</v>
      </c>
      <c r="JZ541" s="27" t="str">
        <f t="shared" ref="JZ541:JZ550" si="707">CONCATENATE("XT",U541)</f>
        <v>XT18</v>
      </c>
      <c r="KC541" t="str">
        <f t="shared" ref="KC541:KC550" si="708">CONCATENATE(T541,"-AI",REPLACE($X541,1,3,""),"-",AA541)</f>
        <v>N2-AI2-3B</v>
      </c>
      <c r="KD541" t="str">
        <f t="shared" ref="KD541:KD550" si="709">CONCATENATE(T541,"-AI",REPLACE($X541,1,3,""),"-",AB541)</f>
        <v>N2-AI2-4B</v>
      </c>
      <c r="KI541">
        <f t="array" ref="KI541">IF(COUNTIFS($U$523:$U541,$U541)=1,1,INDEX(KI:KI,_xlfn.XMATCH(U541,U$1:U540,0,-1))+COUNT(KI540:KM540))</f>
        <v>4</v>
      </c>
      <c r="KJ541">
        <f t="shared" ref="KJ541:KJ550" si="710">KI541+1</f>
        <v>5</v>
      </c>
      <c r="KK541">
        <f t="shared" ref="KK541:KK550" si="711">KJ541+1</f>
        <v>6</v>
      </c>
      <c r="KN541">
        <v>1</v>
      </c>
      <c r="KO541">
        <v>2</v>
      </c>
      <c r="KS541" s="16"/>
      <c r="MA541" t="str">
        <f t="shared" ref="MA541:MA601" si="712">CONCATENATE("DI",REPLACE($AC541,1,3,""),"-",$AG541)</f>
        <v>DI-</v>
      </c>
    </row>
    <row r="542" spans="1:339" x14ac:dyDescent="0.25">
      <c r="A542" s="83" t="s">
        <v>2777</v>
      </c>
      <c r="B542" s="83" t="s">
        <v>2776</v>
      </c>
      <c r="C542" t="s">
        <v>498</v>
      </c>
      <c r="P542" t="s">
        <v>482</v>
      </c>
      <c r="T542" s="14" t="s">
        <v>2713</v>
      </c>
      <c r="U542">
        <v>18</v>
      </c>
      <c r="V542" s="15" t="s">
        <v>2780</v>
      </c>
      <c r="X542" t="str">
        <f>IF(COUNTIF(X$523:X541,X541)&gt;7,REPLACE(X541,LEN(X541),1,VALUE(RIGHT(X541,1))+1),X541)</f>
        <v>A3.2</v>
      </c>
      <c r="Y542" s="43">
        <f t="array" ref="Y542">IF(COUNTIFS($X$523:$X542,$X542)=1,"1",VALUE(SUBSTITUTE(INDEX(Y:Y,_xlfn.XMATCH($X542,$X$1:$X541,0,-1)),"A",""))+INDEX(Z:Z,_xlfn.XMATCH($X542,$X$1:$X541,0,-1))+1)</f>
        <v>3</v>
      </c>
      <c r="Z542" s="43">
        <f t="array" ref="Z542">SUM(IF(ISNUMBER(FIND("TmAi",$BE$1:$AAQ$1)),IF(IFERROR(ISODD(SUBSTITUTE($BE542:$AAQ542,"A","")),FALSE),IF(ISODD(SUBSTITUTE($BE542:$AAQ542,"A","")),1,0),0)))</f>
        <v>0</v>
      </c>
      <c r="AA542" t="str">
        <f t="shared" si="705"/>
        <v>5B</v>
      </c>
      <c r="AB542" t="str">
        <f t="shared" si="706"/>
        <v>6B</v>
      </c>
      <c r="AP542" t="s">
        <v>2716</v>
      </c>
      <c r="AS542" t="s">
        <v>396</v>
      </c>
      <c r="JZ542" s="27" t="str">
        <f t="shared" si="707"/>
        <v>XT18</v>
      </c>
      <c r="KC542" t="str">
        <f t="shared" si="708"/>
        <v>N2-AI2-5B</v>
      </c>
      <c r="KD542" t="str">
        <f t="shared" si="709"/>
        <v>N2-AI2-6B</v>
      </c>
      <c r="KI542">
        <f t="array" ref="KI542">IF(COUNTIFS($U$523:$U542,$U542)=1,1,INDEX(KI:KI,_xlfn.XMATCH(U542,U$1:U541,0,-1))+COUNT(KI541:KM541))</f>
        <v>7</v>
      </c>
      <c r="KJ542">
        <f t="shared" si="710"/>
        <v>8</v>
      </c>
      <c r="KK542">
        <f t="shared" si="711"/>
        <v>9</v>
      </c>
      <c r="KN542">
        <v>1</v>
      </c>
      <c r="KO542">
        <v>2</v>
      </c>
      <c r="KS542" s="16"/>
      <c r="MA542" t="str">
        <f t="shared" si="712"/>
        <v>DI-</v>
      </c>
    </row>
    <row r="543" spans="1:339" x14ac:dyDescent="0.25">
      <c r="A543" s="83" t="s">
        <v>2779</v>
      </c>
      <c r="B543" s="83" t="s">
        <v>2778</v>
      </c>
      <c r="C543" t="s">
        <v>498</v>
      </c>
      <c r="P543" t="s">
        <v>482</v>
      </c>
      <c r="T543" s="14" t="s">
        <v>2713</v>
      </c>
      <c r="U543">
        <v>18</v>
      </c>
      <c r="V543" s="15" t="s">
        <v>2781</v>
      </c>
      <c r="X543" t="str">
        <f>IF(COUNTIF(X$523:X542,X542)&gt;7,REPLACE(X542,LEN(X542),1,VALUE(RIGHT(X542,1))+1),X542)</f>
        <v>A3.2</v>
      </c>
      <c r="Y543" s="43">
        <f t="array" ref="Y543">IF(COUNTIFS($X$523:$X543,$X543)=1,"1",VALUE(SUBSTITUTE(INDEX(Y:Y,_xlfn.XMATCH($X543,$X$1:$X542,0,-1)),"A",""))+INDEX(Z:Z,_xlfn.XMATCH($X543,$X$1:$X542,0,-1))+1)</f>
        <v>4</v>
      </c>
      <c r="Z543" s="43">
        <f t="array" ref="Z543">SUM(IF(ISNUMBER(FIND("TmAi",$BE$1:$AAQ$1)),IF(IFERROR(ISODD(SUBSTITUTE($BE543:$AAQ543,"A","")),FALSE),IF(ISODD(SUBSTITUTE($BE543:$AAQ543,"A","")),1,0),0)))</f>
        <v>0</v>
      </c>
      <c r="AA543" t="str">
        <f t="shared" si="705"/>
        <v>7B</v>
      </c>
      <c r="AB543" t="str">
        <f t="shared" si="706"/>
        <v>8B</v>
      </c>
      <c r="AP543" t="s">
        <v>2716</v>
      </c>
      <c r="AS543" t="s">
        <v>396</v>
      </c>
      <c r="JZ543" s="27" t="str">
        <f t="shared" si="707"/>
        <v>XT18</v>
      </c>
      <c r="KC543" t="str">
        <f t="shared" si="708"/>
        <v>N2-AI2-7B</v>
      </c>
      <c r="KD543" t="str">
        <f t="shared" si="709"/>
        <v>N2-AI2-8B</v>
      </c>
      <c r="KI543">
        <f t="array" ref="KI543">IF(COUNTIFS($U$523:$U543,$U543)=1,1,INDEX(KI:KI,_xlfn.XMATCH(U543,U$1:U542,0,-1))+COUNT(KI542:KM542))</f>
        <v>10</v>
      </c>
      <c r="KJ543">
        <f t="shared" si="710"/>
        <v>11</v>
      </c>
      <c r="KK543">
        <f t="shared" si="711"/>
        <v>12</v>
      </c>
      <c r="KN543">
        <v>1</v>
      </c>
      <c r="KO543">
        <v>2</v>
      </c>
      <c r="KS543" s="16"/>
      <c r="MA543" t="str">
        <f t="shared" si="712"/>
        <v>DI-</v>
      </c>
    </row>
    <row r="544" spans="1:339" x14ac:dyDescent="0.25">
      <c r="A544" s="83" t="s">
        <v>2786</v>
      </c>
      <c r="B544" s="83" t="s">
        <v>2784</v>
      </c>
      <c r="C544" t="s">
        <v>498</v>
      </c>
      <c r="P544" t="s">
        <v>482</v>
      </c>
      <c r="T544" s="14" t="s">
        <v>2713</v>
      </c>
      <c r="U544">
        <v>18</v>
      </c>
      <c r="V544" s="15" t="s">
        <v>2782</v>
      </c>
      <c r="X544" t="str">
        <f>IF(COUNTIF(X$523:X543,X543)&gt;7,REPLACE(X543,LEN(X543),1,VALUE(RIGHT(X543,1))+1),X543)</f>
        <v>A3.2</v>
      </c>
      <c r="Y544" s="43">
        <f t="array" ref="Y544">IF(COUNTIFS($X$523:$X544,$X544)=1,"1",VALUE(SUBSTITUTE(INDEX(Y:Y,_xlfn.XMATCH($X544,$X$1:$X543,0,-1)),"A",""))+INDEX(Z:Z,_xlfn.XMATCH($X544,$X$1:$X543,0,-1))+1)</f>
        <v>5</v>
      </c>
      <c r="Z544" s="43">
        <f t="array" ref="Z544">SUM(IF(ISNUMBER(FIND("TmAi",$BE$1:$AAQ$1)),IF(IFERROR(ISODD(SUBSTITUTE($BE544:$AAQ544,"A","")),FALSE),IF(ISODD(SUBSTITUTE($BE544:$AAQ544,"A","")),1,0),0)))</f>
        <v>0</v>
      </c>
      <c r="AA544" t="str">
        <f t="shared" si="705"/>
        <v>9B</v>
      </c>
      <c r="AB544" t="str">
        <f t="shared" si="706"/>
        <v>10B</v>
      </c>
      <c r="AP544" t="s">
        <v>2716</v>
      </c>
      <c r="AS544" t="s">
        <v>396</v>
      </c>
      <c r="JZ544" s="27" t="str">
        <f t="shared" si="707"/>
        <v>XT18</v>
      </c>
      <c r="KC544" t="str">
        <f t="shared" si="708"/>
        <v>N2-AI2-9B</v>
      </c>
      <c r="KD544" t="str">
        <f t="shared" si="709"/>
        <v>N2-AI2-10B</v>
      </c>
      <c r="KI544">
        <f t="array" ref="KI544">IF(COUNTIFS($U$523:$U544,$U544)=1,1,INDEX(KI:KI,_xlfn.XMATCH(U544,U$1:U543,0,-1))+COUNT(KI543:KM543))</f>
        <v>13</v>
      </c>
      <c r="KJ544">
        <f t="shared" si="710"/>
        <v>14</v>
      </c>
      <c r="KK544">
        <f t="shared" si="711"/>
        <v>15</v>
      </c>
      <c r="KN544">
        <v>1</v>
      </c>
      <c r="KO544">
        <v>2</v>
      </c>
      <c r="KS544" s="16"/>
      <c r="MA544" t="str">
        <f t="shared" si="712"/>
        <v>DI-</v>
      </c>
    </row>
    <row r="545" spans="1:789" x14ac:dyDescent="0.25">
      <c r="A545" s="83" t="s">
        <v>2787</v>
      </c>
      <c r="B545" s="83" t="s">
        <v>2785</v>
      </c>
      <c r="C545" t="s">
        <v>498</v>
      </c>
      <c r="P545" t="s">
        <v>482</v>
      </c>
      <c r="T545" s="14" t="s">
        <v>2713</v>
      </c>
      <c r="U545">
        <v>18</v>
      </c>
      <c r="V545" s="15" t="s">
        <v>2783</v>
      </c>
      <c r="X545" t="str">
        <f>IF(COUNTIF(X$523:X544,X544)&gt;7,REPLACE(X544,LEN(X544),1,VALUE(RIGHT(X544,1))+1),X544)</f>
        <v>A3.2</v>
      </c>
      <c r="Y545" s="43">
        <f t="array" ref="Y545">IF(COUNTIFS($X$523:$X545,$X545)=1,"1",VALUE(SUBSTITUTE(INDEX(Y:Y,_xlfn.XMATCH($X545,$X$1:$X544,0,-1)),"A",""))+INDEX(Z:Z,_xlfn.XMATCH($X545,$X$1:$X544,0,-1))+1)</f>
        <v>6</v>
      </c>
      <c r="Z545" s="43">
        <f t="array" ref="Z545">SUM(IF(ISNUMBER(FIND("TmAi",$BE$1:$AAQ$1)),IF(IFERROR(ISODD(SUBSTITUTE($BE545:$AAQ545,"A","")),FALSE),IF(ISODD(SUBSTITUTE($BE545:$AAQ545,"A","")),1,0),0)))</f>
        <v>0</v>
      </c>
      <c r="AA545" t="str">
        <f t="shared" si="705"/>
        <v>11B</v>
      </c>
      <c r="AB545" t="str">
        <f t="shared" si="706"/>
        <v>12B</v>
      </c>
      <c r="AP545" t="s">
        <v>2716</v>
      </c>
      <c r="AS545" t="s">
        <v>396</v>
      </c>
      <c r="JZ545" s="27" t="str">
        <f t="shared" si="707"/>
        <v>XT18</v>
      </c>
      <c r="KC545" t="str">
        <f t="shared" si="708"/>
        <v>N2-AI2-11B</v>
      </c>
      <c r="KD545" t="str">
        <f t="shared" si="709"/>
        <v>N2-AI2-12B</v>
      </c>
      <c r="KI545">
        <f t="array" ref="KI545">IF(COUNTIFS($U$523:$U545,$U545)=1,1,INDEX(KI:KI,_xlfn.XMATCH(U545,U$1:U544,0,-1))+COUNT(KI544:KM544))</f>
        <v>16</v>
      </c>
      <c r="KJ545">
        <f t="shared" si="710"/>
        <v>17</v>
      </c>
      <c r="KK545">
        <f t="shared" si="711"/>
        <v>18</v>
      </c>
      <c r="KN545">
        <v>1</v>
      </c>
      <c r="KO545">
        <v>2</v>
      </c>
      <c r="KS545" s="16"/>
      <c r="MA545" t="str">
        <f t="shared" si="712"/>
        <v>DI-</v>
      </c>
    </row>
    <row r="546" spans="1:789" x14ac:dyDescent="0.25">
      <c r="A546" s="83" t="s">
        <v>2796</v>
      </c>
      <c r="B546" s="83" t="s">
        <v>2788</v>
      </c>
      <c r="C546" t="s">
        <v>498</v>
      </c>
      <c r="P546" t="s">
        <v>482</v>
      </c>
      <c r="T546" s="14" t="s">
        <v>2713</v>
      </c>
      <c r="U546">
        <v>18</v>
      </c>
      <c r="V546" s="15" t="s">
        <v>2792</v>
      </c>
      <c r="X546" t="str">
        <f>IF(COUNTIF(X$523:X545,X545)&gt;7,REPLACE(X545,LEN(X545),1,VALUE(RIGHT(X545,1))+1),X545)</f>
        <v>A3.2</v>
      </c>
      <c r="Y546" s="43">
        <f t="array" ref="Y546">IF(COUNTIFS($X$523:$X546,$X546)=1,"1",VALUE(SUBSTITUTE(INDEX(Y:Y,_xlfn.XMATCH($X546,$X$1:$X545,0,-1)),"A",""))+INDEX(Z:Z,_xlfn.XMATCH($X546,$X$1:$X545,0,-1))+1)</f>
        <v>7</v>
      </c>
      <c r="Z546" s="43">
        <f t="array" ref="Z546">SUM(IF(ISNUMBER(FIND("TmAi",$BE$1:$AAQ$1)),IF(IFERROR(ISODD(SUBSTITUTE($BE546:$AAQ546,"A","")),FALSE),IF(ISODD(SUBSTITUTE($BE546:$AAQ546,"A","")),1,0),0)))</f>
        <v>0</v>
      </c>
      <c r="AA546" t="str">
        <f t="shared" si="705"/>
        <v>13B</v>
      </c>
      <c r="AB546" t="str">
        <f t="shared" si="706"/>
        <v>14B</v>
      </c>
      <c r="AP546" t="s">
        <v>2716</v>
      </c>
      <c r="AS546" t="s">
        <v>396</v>
      </c>
      <c r="JZ546" s="27" t="str">
        <f t="shared" si="707"/>
        <v>XT18</v>
      </c>
      <c r="KC546" t="str">
        <f t="shared" si="708"/>
        <v>N2-AI2-13B</v>
      </c>
      <c r="KD546" t="str">
        <f t="shared" si="709"/>
        <v>N2-AI2-14B</v>
      </c>
      <c r="KI546">
        <f t="array" ref="KI546">IF(COUNTIFS($U$523:$U546,$U546)=1,1,INDEX(KI:KI,_xlfn.XMATCH(U546,U$1:U545,0,-1))+COUNT(KI545:KM545))</f>
        <v>19</v>
      </c>
      <c r="KJ546">
        <f t="shared" si="710"/>
        <v>20</v>
      </c>
      <c r="KK546">
        <f t="shared" si="711"/>
        <v>21</v>
      </c>
      <c r="KN546">
        <v>1</v>
      </c>
      <c r="KO546">
        <v>2</v>
      </c>
      <c r="KS546" s="16"/>
      <c r="MA546" t="str">
        <f t="shared" si="712"/>
        <v>DI-</v>
      </c>
    </row>
    <row r="547" spans="1:789" x14ac:dyDescent="0.25">
      <c r="A547" s="83" t="s">
        <v>2797</v>
      </c>
      <c r="B547" s="83" t="s">
        <v>2789</v>
      </c>
      <c r="C547" t="s">
        <v>498</v>
      </c>
      <c r="P547" t="s">
        <v>482</v>
      </c>
      <c r="T547" s="14" t="s">
        <v>2713</v>
      </c>
      <c r="U547">
        <v>18</v>
      </c>
      <c r="V547" s="15" t="s">
        <v>2793</v>
      </c>
      <c r="X547" t="str">
        <f>IF(COUNTIF(X$523:X546,X546)&gt;7,REPLACE(X546,LEN(X546),1,VALUE(RIGHT(X546,1))+1),X546)</f>
        <v>A3.2</v>
      </c>
      <c r="Y547" s="43">
        <f t="array" ref="Y547">IF(COUNTIFS($X$523:$X547,$X547)=1,"1",VALUE(SUBSTITUTE(INDEX(Y:Y,_xlfn.XMATCH($X547,$X$1:$X546,0,-1)),"A",""))+INDEX(Z:Z,_xlfn.XMATCH($X547,$X$1:$X546,0,-1))+1)</f>
        <v>8</v>
      </c>
      <c r="Z547" s="43">
        <f t="array" ref="Z547">SUM(IF(ISNUMBER(FIND("TmAi",$BE$1:$AAQ$1)),IF(IFERROR(ISODD(SUBSTITUTE($BE547:$AAQ547,"A","")),FALSE),IF(ISODD(SUBSTITUTE($BE547:$AAQ547,"A","")),1,0),0)))</f>
        <v>0</v>
      </c>
      <c r="AA547" t="str">
        <f t="shared" si="705"/>
        <v>15B</v>
      </c>
      <c r="AB547" t="str">
        <f t="shared" si="706"/>
        <v>16B</v>
      </c>
      <c r="AP547" t="s">
        <v>2716</v>
      </c>
      <c r="AS547" t="s">
        <v>396</v>
      </c>
      <c r="JZ547" s="27" t="str">
        <f t="shared" si="707"/>
        <v>XT18</v>
      </c>
      <c r="KC547" t="str">
        <f t="shared" si="708"/>
        <v>N2-AI2-15B</v>
      </c>
      <c r="KD547" t="str">
        <f t="shared" si="709"/>
        <v>N2-AI2-16B</v>
      </c>
      <c r="KI547">
        <f t="array" ref="KI547">IF(COUNTIFS($U$523:$U547,$U547)=1,1,INDEX(KI:KI,_xlfn.XMATCH(U547,U$1:U546,0,-1))+COUNT(KI546:KM546))</f>
        <v>22</v>
      </c>
      <c r="KJ547">
        <f t="shared" si="710"/>
        <v>23</v>
      </c>
      <c r="KK547">
        <f t="shared" si="711"/>
        <v>24</v>
      </c>
      <c r="KN547">
        <v>1</v>
      </c>
      <c r="KO547">
        <v>2</v>
      </c>
      <c r="KS547" s="16"/>
      <c r="MA547" t="str">
        <f t="shared" si="712"/>
        <v>DI-</v>
      </c>
    </row>
    <row r="548" spans="1:789" x14ac:dyDescent="0.25">
      <c r="A548" s="83" t="s">
        <v>2798</v>
      </c>
      <c r="B548" s="83" t="s">
        <v>2790</v>
      </c>
      <c r="C548" t="s">
        <v>498</v>
      </c>
      <c r="P548" t="s">
        <v>482</v>
      </c>
      <c r="T548" s="14" t="s">
        <v>2713</v>
      </c>
      <c r="U548">
        <v>18</v>
      </c>
      <c r="V548" s="15" t="s">
        <v>2794</v>
      </c>
      <c r="X548" t="str">
        <f>IF(COUNTIF(X$523:X547,X547)&gt;7,REPLACE(X547,LEN(X547),1,VALUE(RIGHT(X547,1))+1),X547)</f>
        <v>A3.3</v>
      </c>
      <c r="Y548" s="43" t="str">
        <f t="array" ref="Y548">IF(COUNTIFS($X$523:$X548,$X548)=1,"1",VALUE(SUBSTITUTE(INDEX(Y:Y,_xlfn.XMATCH($X548,$X$1:$X547,0,-1)),"A",""))+INDEX(Z:Z,_xlfn.XMATCH($X548,$X$1:$X547,0,-1))+1)</f>
        <v>1</v>
      </c>
      <c r="Z548" s="43">
        <f t="array" ref="Z548">SUM(IF(ISNUMBER(FIND("TmAi",$BE$1:$AAQ$1)),IF(IFERROR(ISODD(SUBSTITUTE($BE548:$AAQ548,"A","")),FALSE),IF(ISODD(SUBSTITUTE($BE548:$AAQ548,"A","")),1,0),0)))</f>
        <v>0</v>
      </c>
      <c r="AA548" t="str">
        <f t="shared" si="705"/>
        <v>1B</v>
      </c>
      <c r="AB548" t="str">
        <f t="shared" si="706"/>
        <v>2B</v>
      </c>
      <c r="AP548" t="s">
        <v>2716</v>
      </c>
      <c r="AS548" t="s">
        <v>396</v>
      </c>
      <c r="JZ548" s="27" t="str">
        <f t="shared" si="707"/>
        <v>XT18</v>
      </c>
      <c r="KC548" t="str">
        <f t="shared" si="708"/>
        <v>N2-AI3-1B</v>
      </c>
      <c r="KD548" t="str">
        <f t="shared" si="709"/>
        <v>N2-AI3-2B</v>
      </c>
      <c r="KI548">
        <f t="array" ref="KI548">IF(COUNTIFS($U$523:$U548,$U548)=1,1,INDEX(KI:KI,_xlfn.XMATCH(U548,U$1:U547,0,-1))+COUNT(KI547:KM547))</f>
        <v>25</v>
      </c>
      <c r="KJ548">
        <f t="shared" si="710"/>
        <v>26</v>
      </c>
      <c r="KK548">
        <f t="shared" si="711"/>
        <v>27</v>
      </c>
      <c r="KN548">
        <v>1</v>
      </c>
      <c r="KO548">
        <v>2</v>
      </c>
      <c r="KS548" s="16"/>
      <c r="MA548" t="str">
        <f t="shared" si="712"/>
        <v>DI-</v>
      </c>
    </row>
    <row r="549" spans="1:789" x14ac:dyDescent="0.25">
      <c r="A549" s="83" t="s">
        <v>2799</v>
      </c>
      <c r="B549" s="83" t="s">
        <v>2791</v>
      </c>
      <c r="C549" t="s">
        <v>498</v>
      </c>
      <c r="P549" t="s">
        <v>482</v>
      </c>
      <c r="T549" s="14" t="s">
        <v>2713</v>
      </c>
      <c r="U549">
        <v>18</v>
      </c>
      <c r="V549" s="15" t="s">
        <v>2795</v>
      </c>
      <c r="X549" t="str">
        <f>IF(COUNTIF(X$523:X548,X548)&gt;7,REPLACE(X548,LEN(X548),1,VALUE(RIGHT(X548,1))+1),X548)</f>
        <v>A3.3</v>
      </c>
      <c r="Y549" s="43">
        <f t="array" ref="Y549">IF(COUNTIFS($X$523:$X549,$X549)=1,"1",VALUE(SUBSTITUTE(INDEX(Y:Y,_xlfn.XMATCH($X549,$X$1:$X548,0,-1)),"A",""))+INDEX(Z:Z,_xlfn.XMATCH($X549,$X$1:$X548,0,-1))+1)</f>
        <v>2</v>
      </c>
      <c r="Z549" s="43">
        <f t="array" ref="Z549">SUM(IF(ISNUMBER(FIND("TmAi",$BE$1:$AAQ$1)),IF(IFERROR(ISODD(SUBSTITUTE($BE549:$AAQ549,"A","")),FALSE),IF(ISODD(SUBSTITUTE($BE549:$AAQ549,"A","")),1,0),0)))</f>
        <v>0</v>
      </c>
      <c r="AA549" t="str">
        <f t="shared" si="705"/>
        <v>3B</v>
      </c>
      <c r="AB549" t="str">
        <f t="shared" si="706"/>
        <v>4B</v>
      </c>
      <c r="AP549" t="s">
        <v>2716</v>
      </c>
      <c r="AS549" t="s">
        <v>396</v>
      </c>
      <c r="JZ549" s="27" t="str">
        <f t="shared" si="707"/>
        <v>XT18</v>
      </c>
      <c r="KC549" t="str">
        <f t="shared" si="708"/>
        <v>N2-AI3-3B</v>
      </c>
      <c r="KD549" t="str">
        <f t="shared" si="709"/>
        <v>N2-AI3-4B</v>
      </c>
      <c r="KI549">
        <f t="array" ref="KI549">IF(COUNTIFS($U$523:$U549,$U549)=1,1,INDEX(KI:KI,_xlfn.XMATCH(U549,U$1:U548,0,-1))+COUNT(KI548:KM548))</f>
        <v>28</v>
      </c>
      <c r="KJ549">
        <f t="shared" si="710"/>
        <v>29</v>
      </c>
      <c r="KK549">
        <f t="shared" si="711"/>
        <v>30</v>
      </c>
      <c r="KN549">
        <v>1</v>
      </c>
      <c r="KO549">
        <v>2</v>
      </c>
      <c r="KS549" s="16"/>
      <c r="MA549" t="str">
        <f t="shared" si="712"/>
        <v>DI-</v>
      </c>
    </row>
    <row r="550" spans="1:789" x14ac:dyDescent="0.25">
      <c r="A550" s="83" t="s">
        <v>2804</v>
      </c>
      <c r="B550" s="83" t="s">
        <v>2803</v>
      </c>
      <c r="C550" t="s">
        <v>492</v>
      </c>
      <c r="P550" t="s">
        <v>482</v>
      </c>
      <c r="T550" s="14" t="s">
        <v>2713</v>
      </c>
      <c r="U550">
        <v>18</v>
      </c>
      <c r="V550" s="15" t="s">
        <v>2800</v>
      </c>
      <c r="X550" t="str">
        <f>IF(COUNTIF(X$523:X549,X549)&gt;7,REPLACE(X549,LEN(X549),1,VALUE(RIGHT(X549,1))+1),X549)</f>
        <v>A3.3</v>
      </c>
      <c r="Y550" s="43">
        <f t="array" ref="Y550">IF(COUNTIFS($X$523:$X550,$X550)=1,"1",VALUE(SUBSTITUTE(INDEX(Y:Y,_xlfn.XMATCH($X550,$X$1:$X549,0,-1)),"A",""))+INDEX(Z:Z,_xlfn.XMATCH($X550,$X$1:$X549,0,-1))+1)</f>
        <v>3</v>
      </c>
      <c r="Z550" s="43">
        <f t="array" ref="Z550">SUM(IF(ISNUMBER(FIND("TmAi",$BE$1:$AAQ$1)),IF(IFERROR(ISODD(SUBSTITUTE($BE550:$AAQ550,"A","")),FALSE),IF(ISODD(SUBSTITUTE($BE550:$AAQ550,"A","")),1,0),0)))</f>
        <v>0</v>
      </c>
      <c r="AA550" t="str">
        <f t="shared" si="705"/>
        <v>5B</v>
      </c>
      <c r="AB550" t="str">
        <f t="shared" si="706"/>
        <v>6B</v>
      </c>
      <c r="AP550" t="s">
        <v>2716</v>
      </c>
      <c r="AS550" t="s">
        <v>396</v>
      </c>
      <c r="JZ550" s="27" t="str">
        <f t="shared" si="707"/>
        <v>XT18</v>
      </c>
      <c r="KC550" t="str">
        <f t="shared" si="708"/>
        <v>N2-AI3-5B</v>
      </c>
      <c r="KD550" t="str">
        <f t="shared" si="709"/>
        <v>N2-AI3-6B</v>
      </c>
      <c r="KI550">
        <f t="array" ref="KI550">IF(COUNTIFS($U$523:$U550,$U550)=1,1,INDEX(KI:KI,_xlfn.XMATCH(U550,U$1:U549,0,-1))+COUNT(KI549:KM549))</f>
        <v>31</v>
      </c>
      <c r="KJ550">
        <f t="shared" si="710"/>
        <v>32</v>
      </c>
      <c r="KK550">
        <f t="shared" si="711"/>
        <v>33</v>
      </c>
      <c r="KN550">
        <v>1</v>
      </c>
      <c r="KO550">
        <v>2</v>
      </c>
      <c r="KS550" s="16"/>
      <c r="MA550" t="str">
        <f t="shared" si="712"/>
        <v>DI-</v>
      </c>
    </row>
    <row r="551" spans="1:789" x14ac:dyDescent="0.25">
      <c r="A551" s="83" t="s">
        <v>2806</v>
      </c>
      <c r="B551" s="83" t="s">
        <v>2805</v>
      </c>
      <c r="C551" t="s">
        <v>492</v>
      </c>
      <c r="P551" t="s">
        <v>482</v>
      </c>
      <c r="T551" s="14" t="s">
        <v>2713</v>
      </c>
      <c r="U551">
        <v>18</v>
      </c>
      <c r="V551" s="15" t="s">
        <v>2801</v>
      </c>
      <c r="X551" t="str">
        <f>IF(COUNTIF(X$523:X550,X550)&gt;7,REPLACE(X550,LEN(X550),1,VALUE(RIGHT(X550,1))+1),X550)</f>
        <v>A3.3</v>
      </c>
      <c r="Y551" s="43">
        <f t="array" ref="Y551">IF(COUNTIFS($X$523:$X551,$X551)=1,"1",VALUE(SUBSTITUTE(INDEX(Y:Y,_xlfn.XMATCH($X551,$X$1:$X550,0,-1)),"A",""))+INDEX(Z:Z,_xlfn.XMATCH($X551,$X$1:$X550,0,-1))+1)</f>
        <v>4</v>
      </c>
      <c r="Z551" s="43">
        <f t="array" ref="Z551">SUM(IF(ISNUMBER(FIND("TmAi",$BE$1:$AAQ$1)),IF(IFERROR(ISODD(SUBSTITUTE($BE551:$AAQ551,"A","")),FALSE),IF(ISODD(SUBSTITUTE($BE551:$AAQ551,"A","")),1,0),0)))</f>
        <v>0</v>
      </c>
      <c r="AA551" t="str">
        <f t="shared" si="705"/>
        <v>7B</v>
      </c>
      <c r="AB551" t="str">
        <f t="shared" si="706"/>
        <v>8B</v>
      </c>
      <c r="AP551" t="s">
        <v>2716</v>
      </c>
      <c r="AS551" t="s">
        <v>396</v>
      </c>
      <c r="JZ551" s="27" t="str">
        <f>CONCATENATE("XT",U551)</f>
        <v>XT18</v>
      </c>
      <c r="KC551" t="str">
        <f>CONCATENATE(T551,"-AI",REPLACE($X551,1,3,""),"-",AA551)</f>
        <v>N2-AI3-7B</v>
      </c>
      <c r="KD551" t="str">
        <f>CONCATENATE(T551,"-AI",REPLACE($X551,1,3,""),"-",AB551)</f>
        <v>N2-AI3-8B</v>
      </c>
      <c r="KI551">
        <f t="array" ref="KI551">IF(COUNTIFS($U$523:$U551,$U551)=1,1,INDEX(KI:KI,_xlfn.XMATCH(U551,U$1:U550,0,-1))+COUNT(KI550:KM550))</f>
        <v>34</v>
      </c>
      <c r="KJ551">
        <f>KI551+1</f>
        <v>35</v>
      </c>
      <c r="KK551">
        <f>KJ551+1</f>
        <v>36</v>
      </c>
      <c r="KN551">
        <v>1</v>
      </c>
      <c r="KO551">
        <v>2</v>
      </c>
      <c r="KS551" s="16"/>
      <c r="MA551" t="str">
        <f t="shared" si="712"/>
        <v>DI-</v>
      </c>
    </row>
    <row r="552" spans="1:789" ht="15.75" thickBot="1" x14ac:dyDescent="0.3">
      <c r="A552" s="83" t="s">
        <v>2808</v>
      </c>
      <c r="B552" s="83" t="s">
        <v>2807</v>
      </c>
      <c r="C552" t="s">
        <v>492</v>
      </c>
      <c r="P552" t="s">
        <v>482</v>
      </c>
      <c r="T552" s="14" t="s">
        <v>2713</v>
      </c>
      <c r="U552">
        <v>18</v>
      </c>
      <c r="V552" s="15" t="s">
        <v>2802</v>
      </c>
      <c r="X552" t="str">
        <f>IF(COUNTIF(X$523:X551,X551)&gt;7,REPLACE(X551,LEN(X551),1,VALUE(RIGHT(X551,1))+1),X551)</f>
        <v>A3.3</v>
      </c>
      <c r="Y552" s="43">
        <f t="array" ref="Y552">IF(COUNTIFS($X$523:$X552,$X552)=1,"1",VALUE(SUBSTITUTE(INDEX(Y:Y,_xlfn.XMATCH($X552,$X$1:$X551,0,-1)),"A",""))+INDEX(Z:Z,_xlfn.XMATCH($X552,$X$1:$X551,0,-1))+1)</f>
        <v>5</v>
      </c>
      <c r="Z552" s="43">
        <f t="array" ref="Z552">SUM(IF(ISNUMBER(FIND("TmAi",$BE$1:$AAQ$1)),IF(IFERROR(ISODD(SUBSTITUTE($BE552:$AAQ552,"A","")),FALSE),IF(ISODD(SUBSTITUTE($BE552:$AAQ552,"A","")),1,0),0)))</f>
        <v>0</v>
      </c>
      <c r="AA552" t="str">
        <f t="shared" si="705"/>
        <v>9B</v>
      </c>
      <c r="AB552" t="str">
        <f t="shared" si="706"/>
        <v>10B</v>
      </c>
      <c r="AP552" t="s">
        <v>2716</v>
      </c>
      <c r="AS552" t="s">
        <v>396</v>
      </c>
      <c r="JZ552" s="27" t="str">
        <f>CONCATENATE("XT",$U552)</f>
        <v>XT18</v>
      </c>
      <c r="KC552" t="str">
        <f>CONCATENATE($T552,"-AI",REPLACE($X552,1,3,""),"-",$AA552)</f>
        <v>N2-AI3-9B</v>
      </c>
      <c r="KD552" t="str">
        <f>CONCATENATE($T552,"-AI",REPLACE($X552,1,3,""),"-",$AB552)</f>
        <v>N2-AI3-10B</v>
      </c>
      <c r="KI552">
        <f t="array" ref="KI552">IF(COUNTIFS($U$523:$U552,$U552)=1,1,INDEX(KI:KI,_xlfn.XMATCH(U552,U$1:U551,0,-1))+COUNT(KI551:KM551))</f>
        <v>37</v>
      </c>
      <c r="KJ552">
        <f>KI552+1</f>
        <v>38</v>
      </c>
      <c r="KK552">
        <f>KJ552+1</f>
        <v>39</v>
      </c>
      <c r="KN552">
        <v>1</v>
      </c>
      <c r="KO552">
        <v>2</v>
      </c>
      <c r="KS552" s="16"/>
      <c r="MA552" t="str">
        <f t="shared" si="712"/>
        <v>DI-</v>
      </c>
    </row>
    <row r="553" spans="1:789" ht="15.75" thickBot="1" x14ac:dyDescent="0.3">
      <c r="A553" s="83" t="s">
        <v>2809</v>
      </c>
      <c r="B553" s="83" t="s">
        <v>2810</v>
      </c>
      <c r="P553" t="s">
        <v>2811</v>
      </c>
      <c r="T553" s="14" t="s">
        <v>2713</v>
      </c>
      <c r="U553">
        <v>19</v>
      </c>
      <c r="V553" s="15" t="s">
        <v>2812</v>
      </c>
      <c r="AH553" t="s">
        <v>268</v>
      </c>
      <c r="AI553" s="69" t="str">
        <f t="array" ref="AI553">IF(COUNTIFS(AH$523:AH553,AH553)=1,"1",VALUE(SUBSTITUTE(INDEX(AI:AI,_xlfn.XMATCH(AH553,AH$1:AH552,0,-1)),"A",""))+INDEX(AJ:AJ,_xlfn.XMATCH(AH553,AH$1:AH552,0,-1))+1)</f>
        <v>1</v>
      </c>
      <c r="AJ553" s="62">
        <f t="array" ref="AJ553">SUM(IF(ISNUMBER(FIND("TmDo",$BE$1:$AAQ$1)),IF(IFERROR(ISNUMBER(VALUE(SUBSTITUTE($BE553:$AAQ553,"B",""))),FALSE),IF(ISNUMBER(VALUE(SUBSTITUTE($BE553:$AAQ553,"B",""))),1,0),0)))</f>
        <v>9</v>
      </c>
      <c r="AK553" t="str">
        <f>CONCATENATE($AI553,"A")</f>
        <v>1A</v>
      </c>
      <c r="AL553" t="str">
        <f>CONCATENATE($AI553,"B")</f>
        <v>1B</v>
      </c>
      <c r="AM553" t="s">
        <v>2004</v>
      </c>
      <c r="AP553" t="s">
        <v>2716</v>
      </c>
      <c r="AQ553" t="s">
        <v>2813</v>
      </c>
      <c r="AU553" t="s">
        <v>140</v>
      </c>
      <c r="JZ553" s="27"/>
      <c r="KS553" s="16"/>
      <c r="MA553" t="str">
        <f t="shared" si="712"/>
        <v>DI-</v>
      </c>
      <c r="WR553" s="25" t="str">
        <f>CONCATENATE("XT",$U553)</f>
        <v>XT19</v>
      </c>
      <c r="WS553" s="12">
        <v>1</v>
      </c>
      <c r="WT553" s="12">
        <f>WS553+1</f>
        <v>2</v>
      </c>
      <c r="WU553" s="12">
        <f t="shared" ref="WU553:XL553" si="713">WT553+1</f>
        <v>3</v>
      </c>
      <c r="WV553" s="12">
        <f t="shared" si="713"/>
        <v>4</v>
      </c>
      <c r="WW553" s="12">
        <f t="shared" si="713"/>
        <v>5</v>
      </c>
      <c r="WX553" s="12">
        <f t="shared" si="713"/>
        <v>6</v>
      </c>
      <c r="WY553" s="12">
        <f t="shared" si="713"/>
        <v>7</v>
      </c>
      <c r="WZ553" s="12">
        <f t="shared" si="713"/>
        <v>8</v>
      </c>
      <c r="XA553" s="12">
        <f t="shared" si="713"/>
        <v>9</v>
      </c>
      <c r="XB553" s="12">
        <f t="shared" si="713"/>
        <v>10</v>
      </c>
      <c r="XC553" s="12">
        <f t="shared" si="713"/>
        <v>11</v>
      </c>
      <c r="XD553" s="12">
        <f t="shared" si="713"/>
        <v>12</v>
      </c>
      <c r="XE553" s="12">
        <f t="shared" si="713"/>
        <v>13</v>
      </c>
      <c r="XF553" s="12">
        <f t="shared" si="713"/>
        <v>14</v>
      </c>
      <c r="XG553" s="12">
        <f t="shared" si="713"/>
        <v>15</v>
      </c>
      <c r="XH553" s="12">
        <f t="shared" si="713"/>
        <v>16</v>
      </c>
      <c r="XI553" s="12">
        <f t="shared" si="713"/>
        <v>17</v>
      </c>
      <c r="XJ553" s="12">
        <f t="shared" si="713"/>
        <v>18</v>
      </c>
      <c r="XK553" s="12">
        <f t="shared" si="713"/>
        <v>19</v>
      </c>
      <c r="XL553" s="12">
        <f t="shared" si="713"/>
        <v>20</v>
      </c>
      <c r="XM553" s="12" t="str">
        <f>CONCATENATE(REPLACE($AK553,LEN($AK553),1,"")+1,"A")</f>
        <v>2A</v>
      </c>
      <c r="XN553" s="12" t="str">
        <f>CONCATENATE(REPLACE($AL553,LEN($AL553),1,"")+1,"B")</f>
        <v>2B</v>
      </c>
      <c r="XO553" s="12" t="str">
        <f>CONCATENATE(REPLACE(XM553,LEN(XM553),1,"")+1,"A")</f>
        <v>3A</v>
      </c>
      <c r="XP553" s="12" t="str">
        <f>CONCATENATE(REPLACE(XN553,LEN(XN553),1,"")+1,"B")</f>
        <v>3B</v>
      </c>
      <c r="XQ553" s="12" t="str">
        <f>CONCATENATE(REPLACE(XO553,LEN(XO553),1,"")+1,"A")</f>
        <v>4A</v>
      </c>
      <c r="XR553" s="12" t="str">
        <f>CONCATENATE(REPLACE(XP553,LEN(XP553),1,"")+1,"B")</f>
        <v>4B</v>
      </c>
      <c r="XS553" s="12" t="str">
        <f>CONCATENATE(REPLACE(XQ553,LEN(XQ553),1,"")+1,"A")</f>
        <v>5A</v>
      </c>
      <c r="XT553" s="12" t="str">
        <f>CONCATENATE(REPLACE(XR553,LEN(XR553),1,"")+1,"B")</f>
        <v>5B</v>
      </c>
      <c r="XU553" s="12" t="str">
        <f>CONCATENATE(REPLACE(XS553,LEN(XS553),1,"")+1,"A")</f>
        <v>6A</v>
      </c>
      <c r="XV553" s="12" t="str">
        <f>CONCATENATE(REPLACE(XT553,LEN(XT553),1,"")+1,"B")</f>
        <v>6B</v>
      </c>
      <c r="XW553" s="12" t="str">
        <f>CONCATENATE(REPLACE(XU553,LEN(XU553),1,"")+1,"A")</f>
        <v>7A</v>
      </c>
      <c r="XX553" s="12" t="str">
        <f>CONCATENATE(REPLACE(XV553,LEN(XV553),1,"")+1,"B")</f>
        <v>7B</v>
      </c>
      <c r="XY553" s="12" t="str">
        <f>CONCATENATE(REPLACE(XW553,LEN(XW553),1,"")+1,"A")</f>
        <v>8A</v>
      </c>
      <c r="XZ553" s="12" t="str">
        <f>CONCATENATE(REPLACE(XX553,LEN(XX553),1,"")+1,"B")</f>
        <v>8B</v>
      </c>
      <c r="YA553" s="12" t="str">
        <f>CONCATENATE(REPLACE(XY553,LEN(XY553),1,"")+1,"A")</f>
        <v>9A</v>
      </c>
      <c r="YB553" s="12" t="str">
        <f>CONCATENATE(REPLACE(XZ553,LEN(XZ553),1,"")+1,"B")</f>
        <v>9B</v>
      </c>
      <c r="YC553" s="12" t="str">
        <f>CONCATENATE(REPLACE(YA553,LEN(YA553),1,"")+1,"A")</f>
        <v>10A</v>
      </c>
      <c r="YD553" s="12" t="str">
        <f>CONCATENATE(REPLACE(YB553,LEN(YB553),1,"")+1,"B")</f>
        <v>10B</v>
      </c>
      <c r="YE553" s="12" t="str">
        <f>CONCATENATE("DO",REPLACE($AH553,1,3,""),"-",$AK553)</f>
        <v>DO3-1A</v>
      </c>
      <c r="YF553" s="12" t="str">
        <f>CONCATENATE("DO",REPLACE($AH553,1,3,""),"-",$AL553)</f>
        <v>DO3-1B</v>
      </c>
      <c r="YG553" s="12" t="str">
        <f>CONCATENATE("DO",REPLACE($AH553,1,3,""),"-",XM553)</f>
        <v>DO3-2A</v>
      </c>
      <c r="YH553" s="12" t="str">
        <f>CONCATENATE("DO",REPLACE($AH553,1,3,""),"-",XN553)</f>
        <v>DO3-2B</v>
      </c>
      <c r="YI553" s="12" t="str">
        <f t="shared" ref="YI553:YX553" si="714">CONCATENATE("DO",REPLACE($AH553,1,3,""),"-",XO553)</f>
        <v>DO3-3A</v>
      </c>
      <c r="YJ553" s="12" t="str">
        <f t="shared" si="714"/>
        <v>DO3-3B</v>
      </c>
      <c r="YK553" s="12" t="str">
        <f t="shared" si="714"/>
        <v>DO3-4A</v>
      </c>
      <c r="YL553" s="12" t="str">
        <f t="shared" si="714"/>
        <v>DO3-4B</v>
      </c>
      <c r="YM553" s="12" t="str">
        <f t="shared" si="714"/>
        <v>DO3-5A</v>
      </c>
      <c r="YN553" s="12" t="str">
        <f t="shared" si="714"/>
        <v>DO3-5B</v>
      </c>
      <c r="YO553" s="12" t="str">
        <f t="shared" si="714"/>
        <v>DO3-6A</v>
      </c>
      <c r="YP553" s="12" t="str">
        <f t="shared" si="714"/>
        <v>DO3-6B</v>
      </c>
      <c r="YQ553" s="12" t="str">
        <f t="shared" si="714"/>
        <v>DO3-7A</v>
      </c>
      <c r="YR553" s="12" t="str">
        <f t="shared" si="714"/>
        <v>DO3-7B</v>
      </c>
      <c r="YS553" s="12" t="str">
        <f t="shared" si="714"/>
        <v>DO3-8A</v>
      </c>
      <c r="YT553" s="12" t="str">
        <f t="shared" si="714"/>
        <v>DO3-8B</v>
      </c>
      <c r="YU553" s="12" t="str">
        <f t="shared" si="714"/>
        <v>DO3-9A</v>
      </c>
      <c r="YV553" s="12" t="str">
        <f t="shared" si="714"/>
        <v>DO3-9B</v>
      </c>
      <c r="YW553" s="12" t="str">
        <f t="shared" si="714"/>
        <v>DO3-10A</v>
      </c>
      <c r="YX553" s="12" t="str">
        <f t="shared" si="714"/>
        <v>DO3-10B</v>
      </c>
      <c r="YY553" s="12" t="str">
        <f>CONCATENATE("K",$U553,"-01")</f>
        <v>K19-01</v>
      </c>
      <c r="YZ553" s="12" t="str">
        <f>CONCATENATE("K",$U553,"-02")</f>
        <v>K19-02</v>
      </c>
      <c r="ZA553" s="12" t="str">
        <f>CONCATENATE("K",$U553,"-03")</f>
        <v>K19-03</v>
      </c>
      <c r="ZB553" s="12" t="str">
        <f>CONCATENATE("K",$U553,"-04")</f>
        <v>K19-04</v>
      </c>
      <c r="ZC553" s="12" t="str">
        <f>CONCATENATE("K",$U553,"-05")</f>
        <v>K19-05</v>
      </c>
      <c r="ZD553" s="12" t="str">
        <f>CONCATENATE("K",$U553,"-06")</f>
        <v>K19-06</v>
      </c>
      <c r="ZE553" s="12" t="str">
        <f>CONCATENATE("K",$U553,"-07")</f>
        <v>K19-07</v>
      </c>
      <c r="ZF553" s="12" t="str">
        <f>CONCATENATE("K",$U553,"-08")</f>
        <v>K19-08</v>
      </c>
      <c r="ZG553" s="12" t="str">
        <f>CONCATENATE("K",$U553,"-09")</f>
        <v>K19-09</v>
      </c>
      <c r="ZH553" s="12" t="str">
        <f>CONCATENATE("K",$U553,"-10")</f>
        <v>K19-10</v>
      </c>
      <c r="ZI553" s="65" t="s">
        <v>2849</v>
      </c>
      <c r="ZJ553" s="65" t="s">
        <v>2850</v>
      </c>
      <c r="ZK553" s="65" t="s">
        <v>2851</v>
      </c>
      <c r="ZL553" s="65" t="s">
        <v>2852</v>
      </c>
      <c r="ZM553" s="65" t="s">
        <v>2853</v>
      </c>
      <c r="ZN553" s="65" t="s">
        <v>2854</v>
      </c>
      <c r="ZO553" s="65" t="s">
        <v>2855</v>
      </c>
      <c r="ZP553" s="65" t="s">
        <v>2856</v>
      </c>
      <c r="ZQ553" s="65" t="s">
        <v>2857</v>
      </c>
      <c r="ZR553" s="65" t="s">
        <v>2858</v>
      </c>
      <c r="ZS553" s="65" t="s">
        <v>2859</v>
      </c>
      <c r="ZT553" s="65" t="s">
        <v>2860</v>
      </c>
      <c r="ZU553" s="65" t="s">
        <v>2861</v>
      </c>
      <c r="ZV553" s="65" t="s">
        <v>2862</v>
      </c>
      <c r="ZW553" s="65" t="s">
        <v>2863</v>
      </c>
      <c r="ZX553" s="65" t="s">
        <v>2864</v>
      </c>
      <c r="ZY553" s="65" t="s">
        <v>2865</v>
      </c>
      <c r="ZZ553" s="65" t="s">
        <v>2866</v>
      </c>
      <c r="AAA553" s="65" t="s">
        <v>2867</v>
      </c>
      <c r="AAB553" s="65" t="s">
        <v>2868</v>
      </c>
      <c r="AAC553" s="12" t="s">
        <v>2877</v>
      </c>
      <c r="AAD553" s="12" t="s">
        <v>2878</v>
      </c>
      <c r="AAE553" s="12" t="s">
        <v>2879</v>
      </c>
      <c r="AAF553" s="12" t="s">
        <v>2880</v>
      </c>
      <c r="AAG553" s="12" t="s">
        <v>2881</v>
      </c>
      <c r="AAH553" s="12" t="s">
        <v>2882</v>
      </c>
      <c r="AAI553" s="12" t="s">
        <v>2883</v>
      </c>
      <c r="AAJ553" s="12" t="s">
        <v>2884</v>
      </c>
      <c r="AAK553" s="12" t="s">
        <v>2885</v>
      </c>
      <c r="AAL553" s="12" t="s">
        <v>2886</v>
      </c>
      <c r="AAM553" s="12" t="s">
        <v>2004</v>
      </c>
      <c r="AAN553" s="12">
        <v>1</v>
      </c>
      <c r="AAO553" s="12">
        <f>AAN553+1</f>
        <v>2</v>
      </c>
      <c r="AAP553" s="12">
        <f t="shared" ref="AAP553:ABG553" si="715">AAO553+1</f>
        <v>3</v>
      </c>
      <c r="AAQ553" s="12">
        <f t="shared" si="715"/>
        <v>4</v>
      </c>
      <c r="AAR553" s="12">
        <f t="shared" si="715"/>
        <v>5</v>
      </c>
      <c r="AAS553" s="12">
        <f t="shared" si="715"/>
        <v>6</v>
      </c>
      <c r="AAT553" s="12">
        <f t="shared" si="715"/>
        <v>7</v>
      </c>
      <c r="AAU553" s="12">
        <f t="shared" si="715"/>
        <v>8</v>
      </c>
      <c r="AAV553" s="12">
        <f t="shared" si="715"/>
        <v>9</v>
      </c>
      <c r="AAW553" s="12">
        <f t="shared" si="715"/>
        <v>10</v>
      </c>
      <c r="AAX553" s="12">
        <f t="shared" si="715"/>
        <v>11</v>
      </c>
      <c r="AAY553" s="12">
        <f t="shared" si="715"/>
        <v>12</v>
      </c>
      <c r="AAZ553" s="12">
        <f t="shared" si="715"/>
        <v>13</v>
      </c>
      <c r="ABA553" s="12">
        <f t="shared" si="715"/>
        <v>14</v>
      </c>
      <c r="ABB553" s="12">
        <f t="shared" si="715"/>
        <v>15</v>
      </c>
      <c r="ABC553" s="12">
        <f t="shared" si="715"/>
        <v>16</v>
      </c>
      <c r="ABD553" s="12">
        <f t="shared" si="715"/>
        <v>17</v>
      </c>
      <c r="ABE553" s="12">
        <f t="shared" si="715"/>
        <v>18</v>
      </c>
      <c r="ABF553" s="12">
        <f t="shared" si="715"/>
        <v>19</v>
      </c>
      <c r="ABG553" s="13">
        <f t="shared" si="715"/>
        <v>20</v>
      </c>
      <c r="ACU553" s="39" t="s">
        <v>142</v>
      </c>
      <c r="ACV553" s="23" t="s">
        <v>143</v>
      </c>
      <c r="ACW553" s="23">
        <v>11</v>
      </c>
      <c r="ACX553" s="24">
        <v>14</v>
      </c>
    </row>
    <row r="554" spans="1:789" ht="15.75" thickBot="1" x14ac:dyDescent="0.3">
      <c r="A554" s="83" t="s">
        <v>2893</v>
      </c>
      <c r="B554" s="83" t="s">
        <v>2894</v>
      </c>
      <c r="P554" t="s">
        <v>2895</v>
      </c>
      <c r="T554" s="14" t="s">
        <v>2713</v>
      </c>
      <c r="U554">
        <v>19</v>
      </c>
      <c r="V554" s="15" t="s">
        <v>2896</v>
      </c>
      <c r="AC554" t="s">
        <v>263</v>
      </c>
      <c r="AD554" s="43" t="str">
        <f t="array" ref="AD554">IF(COUNTIFS(AC$523:AC554,AC554)=1,"1",VALUE(SUBSTITUTE(INDEX(AD:AD,_xlfn.XMATCH(AC554,AC$1:AC553,0,-1)),"A",""))+INDEX(AE:AE,_xlfn.XMATCH(AC554,AC$1:AC553,0,-1))+1)</f>
        <v>1</v>
      </c>
      <c r="AE554" s="43">
        <f t="array" ref="AE554">SUM(IF(ISNUMBER(FIND("TmDi",$BE$1:$ADI$1)),IF(IFERROR(ISNUMBER(VALUE(SUBSTITUTE($BE554:$ADI554,"B",""))),FALSE),IF(ISNUMBER(VALUE(SUBSTITUTE($BE554:$ADI554,"B",""))),1,0),0)))</f>
        <v>3</v>
      </c>
      <c r="AF554" t="str">
        <f>CONCATENATE("C",$AD554)</f>
        <v>C1</v>
      </c>
      <c r="AG554" t="str">
        <f>CONCATENATE("B",$AD554)</f>
        <v>B1</v>
      </c>
      <c r="AP554" t="s">
        <v>2716</v>
      </c>
      <c r="AQ554" t="s">
        <v>2813</v>
      </c>
      <c r="AT554" t="s">
        <v>139</v>
      </c>
      <c r="JZ554" s="27"/>
      <c r="KS554" s="16"/>
      <c r="MA554" t="str">
        <f t="shared" si="712"/>
        <v>DI4-B1</v>
      </c>
      <c r="ABH554" s="39" t="s">
        <v>2897</v>
      </c>
      <c r="ABI554" s="23" t="s">
        <v>2899</v>
      </c>
      <c r="ABJ554" s="23" t="s">
        <v>2898</v>
      </c>
      <c r="ABK554" s="23" t="s">
        <v>2900</v>
      </c>
      <c r="ABL554" s="23" t="str">
        <f>CONCATENATE("XT",$U554)</f>
        <v>XT19</v>
      </c>
      <c r="ABM554" s="23">
        <v>21</v>
      </c>
      <c r="ABN554" s="23">
        <f t="shared" ref="ABN554:ABT554" si="716">ABM554+1</f>
        <v>22</v>
      </c>
      <c r="ABO554" s="23">
        <f t="shared" si="716"/>
        <v>23</v>
      </c>
      <c r="ABP554" s="23">
        <f t="shared" si="716"/>
        <v>24</v>
      </c>
      <c r="ABQ554" s="23">
        <f t="shared" si="716"/>
        <v>25</v>
      </c>
      <c r="ABR554" s="23">
        <f t="shared" si="716"/>
        <v>26</v>
      </c>
      <c r="ABS554" s="23">
        <f t="shared" si="716"/>
        <v>27</v>
      </c>
      <c r="ABT554" s="23">
        <f t="shared" si="716"/>
        <v>28</v>
      </c>
      <c r="ABU554" s="23" t="str">
        <f>CONCATENATE("C",REPLACE($AF554,1,1,"")+1)</f>
        <v>C2</v>
      </c>
      <c r="ABV554" s="23" t="str">
        <f>CONCATENATE("B",REPLACE($AG554,1,1,"")+1)</f>
        <v>B2</v>
      </c>
      <c r="ABW554" s="23" t="str">
        <f>CONCATENATE("C",REPLACE(ABU554,1,1,"")+1)</f>
        <v>C3</v>
      </c>
      <c r="ABX554" s="23" t="str">
        <f>CONCATENATE("B",REPLACE(ABV554,1,1,"")+1)</f>
        <v>B3</v>
      </c>
      <c r="ABY554" s="23" t="str">
        <f>CONCATENATE("C",REPLACE(ABW554,1,1,"")+1)</f>
        <v>C4</v>
      </c>
      <c r="ABZ554" s="23" t="str">
        <f>CONCATENATE("B",REPLACE(ABX554,1,1,"")+1)</f>
        <v>B4</v>
      </c>
      <c r="ACA554" s="23" t="str">
        <f>CONCATENATE("DI",REPLACE($AC554,1,3,""),"-",$AF554)</f>
        <v>DI4-C1</v>
      </c>
      <c r="ACB554" s="23" t="str">
        <f>CONCATENATE("DI",REPLACE($AC554,1,3,""),"-",$AG554)</f>
        <v>DI4-B1</v>
      </c>
      <c r="ACC554" s="23" t="str">
        <f t="shared" ref="ACC554:ACH554" si="717">CONCATENATE("DI",REPLACE($AC554,1,3,""),"-",ABU554)</f>
        <v>DI4-C2</v>
      </c>
      <c r="ACD554" s="23" t="str">
        <f t="shared" si="717"/>
        <v>DI4-B2</v>
      </c>
      <c r="ACE554" s="23" t="str">
        <f t="shared" si="717"/>
        <v>DI4-C3</v>
      </c>
      <c r="ACF554" s="23" t="str">
        <f t="shared" si="717"/>
        <v>DI4-B3</v>
      </c>
      <c r="ACG554" s="23" t="str">
        <f t="shared" si="717"/>
        <v>DI4-C4</v>
      </c>
      <c r="ACH554" s="23" t="str">
        <f t="shared" si="717"/>
        <v>DI4-B4</v>
      </c>
      <c r="ACI554" s="66" t="s">
        <v>2901</v>
      </c>
      <c r="ACJ554" s="66" t="s">
        <v>2902</v>
      </c>
      <c r="ACK554" s="66" t="s">
        <v>2903</v>
      </c>
      <c r="ACL554" s="66" t="s">
        <v>2904</v>
      </c>
      <c r="ACM554" s="66" t="s">
        <v>2906</v>
      </c>
      <c r="ACN554" s="66" t="s">
        <v>2907</v>
      </c>
      <c r="ACO554" s="66" t="s">
        <v>2908</v>
      </c>
      <c r="ACP554" s="66" t="s">
        <v>2909</v>
      </c>
      <c r="ACQ554" s="23" t="str">
        <f>CONCATENATE("K",$U554,"-11")</f>
        <v>K19-11</v>
      </c>
      <c r="ACR554" s="23" t="str">
        <f>CONCATENATE("K",$U554,"-12")</f>
        <v>K19-12</v>
      </c>
      <c r="ACS554" s="23" t="str">
        <f>CONCATENATE("K",$U554,"-13")</f>
        <v>K19-13</v>
      </c>
      <c r="ACT554" s="23" t="str">
        <f>CONCATENATE("K",$U554,"-14")</f>
        <v>K19-14</v>
      </c>
      <c r="ACU554" s="23" t="s">
        <v>142</v>
      </c>
      <c r="ACV554" s="23" t="s">
        <v>143</v>
      </c>
      <c r="ACW554" s="23">
        <v>11</v>
      </c>
      <c r="ACX554" s="23">
        <v>14</v>
      </c>
      <c r="ACY554" s="23" t="s">
        <v>414</v>
      </c>
      <c r="ACZ554" s="23" t="s">
        <v>413</v>
      </c>
      <c r="ADA554" s="23" t="s">
        <v>2004</v>
      </c>
      <c r="ADB554" s="23">
        <v>21</v>
      </c>
      <c r="ADC554" s="23">
        <v>22</v>
      </c>
      <c r="ADD554" s="23">
        <v>23</v>
      </c>
      <c r="ADE554" s="23">
        <v>24</v>
      </c>
      <c r="ADF554" s="23">
        <v>25</v>
      </c>
      <c r="ADG554" s="23">
        <v>26</v>
      </c>
      <c r="ADH554" s="23">
        <v>27</v>
      </c>
      <c r="ADI554" s="24">
        <v>28</v>
      </c>
    </row>
    <row r="555" spans="1:789" ht="30.75" thickBot="1" x14ac:dyDescent="0.3">
      <c r="A555" s="83" t="s">
        <v>2911</v>
      </c>
      <c r="B555" s="83" t="s">
        <v>2910</v>
      </c>
      <c r="P555" t="s">
        <v>1939</v>
      </c>
      <c r="T555" s="14" t="s">
        <v>2713</v>
      </c>
      <c r="U555">
        <v>19</v>
      </c>
      <c r="V555" t="s">
        <v>2928</v>
      </c>
      <c r="AP555" t="s">
        <v>2716</v>
      </c>
      <c r="AQ555" t="s">
        <v>2813</v>
      </c>
      <c r="JZ555" s="27"/>
      <c r="KS555" s="16"/>
      <c r="MA555" t="str">
        <f t="shared" si="712"/>
        <v>DI-</v>
      </c>
      <c r="TX555" s="63" t="s">
        <v>1947</v>
      </c>
      <c r="TY555" s="23" t="s">
        <v>1948</v>
      </c>
      <c r="TZ555" s="23" t="s">
        <v>1949</v>
      </c>
      <c r="UA555" s="23" t="s">
        <v>1950</v>
      </c>
      <c r="UB555" s="23" t="s">
        <v>1951</v>
      </c>
      <c r="UC555" s="23" t="s">
        <v>2912</v>
      </c>
      <c r="UD555" s="23" t="s">
        <v>2913</v>
      </c>
      <c r="UE555" s="23" t="s">
        <v>2914</v>
      </c>
      <c r="UF555" s="23" t="str">
        <f>CONCATENATE("XT",$U555)</f>
        <v>XT19</v>
      </c>
      <c r="UG555" s="23">
        <v>29</v>
      </c>
      <c r="UH555" s="23">
        <f>UG555+1</f>
        <v>30</v>
      </c>
      <c r="UI555" s="23">
        <f>UH555+1</f>
        <v>31</v>
      </c>
      <c r="UJ555" s="23" t="s">
        <v>2915</v>
      </c>
      <c r="UK555" s="23" t="s">
        <v>2916</v>
      </c>
      <c r="UL555" s="23" t="s">
        <v>2917</v>
      </c>
      <c r="UM555" s="24" t="s">
        <v>2918</v>
      </c>
    </row>
    <row r="556" spans="1:789" ht="15.75" thickBot="1" x14ac:dyDescent="0.3">
      <c r="A556" s="83" t="s">
        <v>2922</v>
      </c>
      <c r="B556" s="83" t="s">
        <v>2919</v>
      </c>
      <c r="P556" t="s">
        <v>2811</v>
      </c>
      <c r="T556" s="14" t="s">
        <v>2713</v>
      </c>
      <c r="U556">
        <v>20</v>
      </c>
      <c r="V556" s="15" t="s">
        <v>2925</v>
      </c>
      <c r="AH556" t="s">
        <v>268</v>
      </c>
      <c r="AI556" s="69">
        <f t="array" ref="AI556">IF(COUNTIFS(AH$523:AH556,AH556)=1,"1",VALUE(SUBSTITUTE(INDEX(AI:AI,_xlfn.XMATCH(AH556,AH$1:AH555,0,-1)),"A",""))+INDEX(AJ:AJ,_xlfn.XMATCH(AH556,AH$1:AH555,0,-1))+1)</f>
        <v>11</v>
      </c>
      <c r="AJ556" s="62">
        <f t="array" ref="AJ556">SUM(IF(ISNUMBER(FIND("TmDo",$BE$1:$AAQ$1)),IF(IFERROR(ISNUMBER(VALUE(SUBSTITUTE($BE556:$AAQ556,"B",""))),FALSE),IF(ISNUMBER(VALUE(SUBSTITUTE($BE556:$AAQ556,"B",""))),1,0),0)))</f>
        <v>9</v>
      </c>
      <c r="AK556" t="str">
        <f>CONCATENATE($AI556,"A")</f>
        <v>11A</v>
      </c>
      <c r="AL556" t="str">
        <f>CONCATENATE($AI556,"B")</f>
        <v>11B</v>
      </c>
      <c r="AM556" t="s">
        <v>2004</v>
      </c>
      <c r="AP556" t="s">
        <v>2716</v>
      </c>
      <c r="AQ556" t="s">
        <v>2931</v>
      </c>
      <c r="AU556" t="s">
        <v>140</v>
      </c>
      <c r="JZ556" s="27"/>
      <c r="KS556" s="16"/>
      <c r="MA556" t="str">
        <f t="shared" si="712"/>
        <v>DI-</v>
      </c>
      <c r="WR556" s="25" t="str">
        <f>CONCATENATE("XT",$U556)</f>
        <v>XT20</v>
      </c>
      <c r="WS556" s="12">
        <v>1</v>
      </c>
      <c r="WT556" s="12">
        <f>WS556+1</f>
        <v>2</v>
      </c>
      <c r="WU556" s="12">
        <f t="shared" ref="WU556:XL556" si="718">WT556+1</f>
        <v>3</v>
      </c>
      <c r="WV556" s="12">
        <f t="shared" si="718"/>
        <v>4</v>
      </c>
      <c r="WW556" s="12">
        <f t="shared" si="718"/>
        <v>5</v>
      </c>
      <c r="WX556" s="12">
        <f t="shared" si="718"/>
        <v>6</v>
      </c>
      <c r="WY556" s="12">
        <f t="shared" si="718"/>
        <v>7</v>
      </c>
      <c r="WZ556" s="12">
        <f t="shared" si="718"/>
        <v>8</v>
      </c>
      <c r="XA556" s="12">
        <f t="shared" si="718"/>
        <v>9</v>
      </c>
      <c r="XB556" s="12">
        <f t="shared" si="718"/>
        <v>10</v>
      </c>
      <c r="XC556" s="12">
        <f t="shared" si="718"/>
        <v>11</v>
      </c>
      <c r="XD556" s="12">
        <f t="shared" si="718"/>
        <v>12</v>
      </c>
      <c r="XE556" s="12">
        <f t="shared" si="718"/>
        <v>13</v>
      </c>
      <c r="XF556" s="12">
        <f t="shared" si="718"/>
        <v>14</v>
      </c>
      <c r="XG556" s="12">
        <f t="shared" si="718"/>
        <v>15</v>
      </c>
      <c r="XH556" s="12">
        <f t="shared" si="718"/>
        <v>16</v>
      </c>
      <c r="XI556" s="12">
        <f t="shared" si="718"/>
        <v>17</v>
      </c>
      <c r="XJ556" s="12">
        <f t="shared" si="718"/>
        <v>18</v>
      </c>
      <c r="XK556" s="12">
        <f t="shared" si="718"/>
        <v>19</v>
      </c>
      <c r="XL556" s="12">
        <f t="shared" si="718"/>
        <v>20</v>
      </c>
      <c r="XM556" s="12" t="str">
        <f>CONCATENATE(REPLACE($AK556,LEN($AK556),1,"")+1,"A")</f>
        <v>12A</v>
      </c>
      <c r="XN556" s="12" t="str">
        <f>CONCATENATE(REPLACE($AL556,LEN($AL556),1,"")+1,"B")</f>
        <v>12B</v>
      </c>
      <c r="XO556" s="12" t="str">
        <f>CONCATENATE(REPLACE(XM556,LEN(XM556),1,"")+1,"A")</f>
        <v>13A</v>
      </c>
      <c r="XP556" s="12" t="str">
        <f>CONCATENATE(REPLACE(XN556,LEN(XN556),1,"")+1,"B")</f>
        <v>13B</v>
      </c>
      <c r="XQ556" s="12" t="str">
        <f>CONCATENATE(REPLACE(XO556,LEN(XO556),1,"")+1,"A")</f>
        <v>14A</v>
      </c>
      <c r="XR556" s="12" t="str">
        <f>CONCATENATE(REPLACE(XP556,LEN(XP556),1,"")+1,"B")</f>
        <v>14B</v>
      </c>
      <c r="XS556" s="12" t="str">
        <f>CONCATENATE(REPLACE(XQ556,LEN(XQ556),1,"")+1,"A")</f>
        <v>15A</v>
      </c>
      <c r="XT556" s="12" t="str">
        <f>CONCATENATE(REPLACE(XR556,LEN(XR556),1,"")+1,"B")</f>
        <v>15B</v>
      </c>
      <c r="XU556" s="12" t="str">
        <f>CONCATENATE(REPLACE(XS556,LEN(XS556),1,"")+1,"A")</f>
        <v>16A</v>
      </c>
      <c r="XV556" s="12" t="str">
        <f>CONCATENATE(REPLACE(XT556,LEN(XT556),1,"")+1,"B")</f>
        <v>16B</v>
      </c>
      <c r="XW556" s="12" t="str">
        <f>CONCATENATE(REPLACE(XU556,LEN(XU556),1,"")+1,"A")</f>
        <v>17A</v>
      </c>
      <c r="XX556" s="12" t="str">
        <f>CONCATENATE(REPLACE(XV556,LEN(XV556),1,"")+1,"B")</f>
        <v>17B</v>
      </c>
      <c r="XY556" s="12" t="str">
        <f>CONCATENATE(REPLACE(XW556,LEN(XW556),1,"")+1,"A")</f>
        <v>18A</v>
      </c>
      <c r="XZ556" s="12" t="str">
        <f>CONCATENATE(REPLACE(XX556,LEN(XX556),1,"")+1,"B")</f>
        <v>18B</v>
      </c>
      <c r="YA556" s="12" t="str">
        <f>CONCATENATE(REPLACE(XY556,LEN(XY556),1,"")+1,"A")</f>
        <v>19A</v>
      </c>
      <c r="YB556" s="12" t="str">
        <f>CONCATENATE(REPLACE(XZ556,LEN(XZ556),1,"")+1,"B")</f>
        <v>19B</v>
      </c>
      <c r="YC556" s="12" t="str">
        <f>CONCATENATE(REPLACE(YA556,LEN(YA556),1,"")+1,"A")</f>
        <v>20A</v>
      </c>
      <c r="YD556" s="12" t="str">
        <f>CONCATENATE(REPLACE(YB556,LEN(YB556),1,"")+1,"B")</f>
        <v>20B</v>
      </c>
      <c r="YE556" s="12" t="str">
        <f>CONCATENATE("DO",REPLACE($AH556,1,3,""),"-",$AK556)</f>
        <v>DO3-11A</v>
      </c>
      <c r="YF556" s="12" t="str">
        <f>CONCATENATE("DO",REPLACE($AH556,1,3,""),"-",$AL556)</f>
        <v>DO3-11B</v>
      </c>
      <c r="YG556" s="12" t="str">
        <f t="shared" ref="YG556:YX556" si="719">CONCATENATE("DO",REPLACE($AH556,1,3,""),"-",XM556)</f>
        <v>DO3-12A</v>
      </c>
      <c r="YH556" s="12" t="str">
        <f t="shared" si="719"/>
        <v>DO3-12B</v>
      </c>
      <c r="YI556" s="12" t="str">
        <f t="shared" si="719"/>
        <v>DO3-13A</v>
      </c>
      <c r="YJ556" s="12" t="str">
        <f t="shared" si="719"/>
        <v>DO3-13B</v>
      </c>
      <c r="YK556" s="12" t="str">
        <f t="shared" si="719"/>
        <v>DO3-14A</v>
      </c>
      <c r="YL556" s="12" t="str">
        <f t="shared" si="719"/>
        <v>DO3-14B</v>
      </c>
      <c r="YM556" s="12" t="str">
        <f t="shared" si="719"/>
        <v>DO3-15A</v>
      </c>
      <c r="YN556" s="12" t="str">
        <f t="shared" si="719"/>
        <v>DO3-15B</v>
      </c>
      <c r="YO556" s="12" t="str">
        <f t="shared" si="719"/>
        <v>DO3-16A</v>
      </c>
      <c r="YP556" s="12" t="str">
        <f t="shared" si="719"/>
        <v>DO3-16B</v>
      </c>
      <c r="YQ556" s="12" t="str">
        <f t="shared" si="719"/>
        <v>DO3-17A</v>
      </c>
      <c r="YR556" s="12" t="str">
        <f t="shared" si="719"/>
        <v>DO3-17B</v>
      </c>
      <c r="YS556" s="12" t="str">
        <f t="shared" si="719"/>
        <v>DO3-18A</v>
      </c>
      <c r="YT556" s="12" t="str">
        <f t="shared" si="719"/>
        <v>DO3-18B</v>
      </c>
      <c r="YU556" s="12" t="str">
        <f t="shared" si="719"/>
        <v>DO3-19A</v>
      </c>
      <c r="YV556" s="12" t="str">
        <f t="shared" si="719"/>
        <v>DO3-19B</v>
      </c>
      <c r="YW556" s="12" t="str">
        <f t="shared" si="719"/>
        <v>DO3-20A</v>
      </c>
      <c r="YX556" s="12" t="str">
        <f t="shared" si="719"/>
        <v>DO3-20B</v>
      </c>
      <c r="YY556" s="12" t="str">
        <f>CONCATENATE("K",$U556,"-01")</f>
        <v>K20-01</v>
      </c>
      <c r="YZ556" s="12" t="str">
        <f>CONCATENATE("K",$U556,"-02")</f>
        <v>K20-02</v>
      </c>
      <c r="ZA556" s="12" t="str">
        <f>CONCATENATE("K",$U556,"-03")</f>
        <v>K20-03</v>
      </c>
      <c r="ZB556" s="12" t="str">
        <f>CONCATENATE("K",$U556,"-04")</f>
        <v>K20-04</v>
      </c>
      <c r="ZC556" s="12" t="str">
        <f>CONCATENATE("K",$U556,"-05")</f>
        <v>K20-05</v>
      </c>
      <c r="ZD556" s="12" t="str">
        <f>CONCATENATE("K",$U556,"-06")</f>
        <v>K20-06</v>
      </c>
      <c r="ZE556" s="12" t="str">
        <f>CONCATENATE("K",$U556,"-07")</f>
        <v>K20-07</v>
      </c>
      <c r="ZF556" s="12" t="str">
        <f>CONCATENATE("K",$U556,"-08")</f>
        <v>K20-08</v>
      </c>
      <c r="ZG556" s="12" t="str">
        <f>CONCATENATE("K",$U556,"-09")</f>
        <v>K20-09</v>
      </c>
      <c r="ZH556" s="12" t="str">
        <f>CONCATENATE("K",$U556,"-10")</f>
        <v>K20-10</v>
      </c>
      <c r="ZI556" s="65" t="s">
        <v>2849</v>
      </c>
      <c r="ZJ556" s="65" t="s">
        <v>2850</v>
      </c>
      <c r="ZK556" s="65" t="s">
        <v>2851</v>
      </c>
      <c r="ZL556" s="65" t="s">
        <v>2852</v>
      </c>
      <c r="ZM556" s="65" t="s">
        <v>2853</v>
      </c>
      <c r="ZN556" s="65" t="s">
        <v>2854</v>
      </c>
      <c r="ZO556" s="65" t="s">
        <v>2855</v>
      </c>
      <c r="ZP556" s="65" t="s">
        <v>2856</v>
      </c>
      <c r="ZQ556" s="65" t="s">
        <v>2857</v>
      </c>
      <c r="ZR556" s="65" t="s">
        <v>2858</v>
      </c>
      <c r="ZS556" s="65" t="s">
        <v>2859</v>
      </c>
      <c r="ZT556" s="65" t="s">
        <v>2860</v>
      </c>
      <c r="ZU556" s="65" t="s">
        <v>2861</v>
      </c>
      <c r="ZV556" s="65" t="s">
        <v>2862</v>
      </c>
      <c r="ZW556" s="65" t="s">
        <v>2863</v>
      </c>
      <c r="ZX556" s="65" t="s">
        <v>2864</v>
      </c>
      <c r="ZY556" s="65" t="s">
        <v>2865</v>
      </c>
      <c r="ZZ556" s="65" t="s">
        <v>2866</v>
      </c>
      <c r="AAA556" s="65" t="s">
        <v>2867</v>
      </c>
      <c r="AAB556" s="65" t="s">
        <v>2868</v>
      </c>
      <c r="AAC556" s="12" t="s">
        <v>2937</v>
      </c>
      <c r="AAD556" s="12" t="s">
        <v>2938</v>
      </c>
      <c r="AAE556" s="12" t="s">
        <v>2939</v>
      </c>
      <c r="AAF556" s="12" t="s">
        <v>2940</v>
      </c>
      <c r="AAG556" s="12" t="s">
        <v>2934</v>
      </c>
      <c r="AAH556" s="12" t="s">
        <v>2935</v>
      </c>
      <c r="AAI556" s="12" t="s">
        <v>2883</v>
      </c>
      <c r="AAJ556" s="12" t="s">
        <v>2884</v>
      </c>
      <c r="AAK556" s="12" t="s">
        <v>2941</v>
      </c>
      <c r="AAL556" s="12" t="s">
        <v>2936</v>
      </c>
      <c r="AAM556" s="12" t="s">
        <v>2004</v>
      </c>
      <c r="AAN556" s="12">
        <v>1</v>
      </c>
      <c r="AAO556" s="12">
        <f>AAN556+1</f>
        <v>2</v>
      </c>
      <c r="AAP556" s="12">
        <f t="shared" ref="AAP556:ABG556" si="720">AAO556+1</f>
        <v>3</v>
      </c>
      <c r="AAQ556" s="12">
        <f t="shared" si="720"/>
        <v>4</v>
      </c>
      <c r="AAR556" s="12">
        <f t="shared" si="720"/>
        <v>5</v>
      </c>
      <c r="AAS556" s="12">
        <f t="shared" si="720"/>
        <v>6</v>
      </c>
      <c r="AAT556" s="12">
        <f t="shared" si="720"/>
        <v>7</v>
      </c>
      <c r="AAU556" s="12">
        <f t="shared" si="720"/>
        <v>8</v>
      </c>
      <c r="AAV556" s="12">
        <f t="shared" si="720"/>
        <v>9</v>
      </c>
      <c r="AAW556" s="12">
        <f t="shared" si="720"/>
        <v>10</v>
      </c>
      <c r="AAX556" s="12">
        <f t="shared" si="720"/>
        <v>11</v>
      </c>
      <c r="AAY556" s="12">
        <f t="shared" si="720"/>
        <v>12</v>
      </c>
      <c r="AAZ556" s="12">
        <f t="shared" si="720"/>
        <v>13</v>
      </c>
      <c r="ABA556" s="12">
        <f t="shared" si="720"/>
        <v>14</v>
      </c>
      <c r="ABB556" s="12">
        <f t="shared" si="720"/>
        <v>15</v>
      </c>
      <c r="ABC556" s="12">
        <f t="shared" si="720"/>
        <v>16</v>
      </c>
      <c r="ABD556" s="12">
        <f t="shared" si="720"/>
        <v>17</v>
      </c>
      <c r="ABE556" s="12">
        <f t="shared" si="720"/>
        <v>18</v>
      </c>
      <c r="ABF556" s="12">
        <f t="shared" si="720"/>
        <v>19</v>
      </c>
      <c r="ABG556" s="13">
        <f t="shared" si="720"/>
        <v>20</v>
      </c>
      <c r="ACU556" s="39" t="s">
        <v>142</v>
      </c>
      <c r="ACV556" s="23" t="s">
        <v>143</v>
      </c>
      <c r="ACW556" s="23">
        <v>11</v>
      </c>
      <c r="ACX556" s="24">
        <v>14</v>
      </c>
    </row>
    <row r="557" spans="1:789" ht="15.75" thickBot="1" x14ac:dyDescent="0.3">
      <c r="A557" s="83" t="s">
        <v>2923</v>
      </c>
      <c r="B557" s="83" t="s">
        <v>2920</v>
      </c>
      <c r="P557" t="s">
        <v>2895</v>
      </c>
      <c r="T557" s="14" t="s">
        <v>2713</v>
      </c>
      <c r="U557">
        <v>20</v>
      </c>
      <c r="V557" s="15" t="s">
        <v>2926</v>
      </c>
      <c r="AC557" t="s">
        <v>263</v>
      </c>
      <c r="AD557" s="43">
        <f t="array" ref="AD557">IF(COUNTIFS(AC$523:AC557,AC557)=1,"1",VALUE(SUBSTITUTE(INDEX(AD:AD,_xlfn.XMATCH(AC557,AC$1:AC556,0,-1)),"A",""))+INDEX(AE:AE,_xlfn.XMATCH(AC557,AC$1:AC556,0,-1))+1)</f>
        <v>5</v>
      </c>
      <c r="AE557" s="43">
        <f t="array" ref="AE557">SUM(IF(ISNUMBER(FIND("TmDi",$BE$1:$ADI$1)),IF(IFERROR(ISNUMBER(VALUE(SUBSTITUTE($BE557:$ADI557,"B",""))),FALSE),IF(ISNUMBER(VALUE(SUBSTITUTE($BE557:$ADI557,"B",""))),1,0),0)))</f>
        <v>3</v>
      </c>
      <c r="AF557" t="str">
        <f>CONCATENATE("C",$AD557)</f>
        <v>C5</v>
      </c>
      <c r="AG557" t="str">
        <f>CONCATENATE("B",$AD557)</f>
        <v>B5</v>
      </c>
      <c r="AP557" t="s">
        <v>2716</v>
      </c>
      <c r="AQ557" t="s">
        <v>2931</v>
      </c>
      <c r="AT557" t="s">
        <v>139</v>
      </c>
      <c r="JZ557" s="27"/>
      <c r="KS557" s="16"/>
      <c r="MA557" t="str">
        <f t="shared" si="712"/>
        <v>DI4-B5</v>
      </c>
      <c r="ABH557" s="39" t="s">
        <v>2929</v>
      </c>
      <c r="ABI557" s="23" t="s">
        <v>2930</v>
      </c>
      <c r="ABJ557" s="23" t="s">
        <v>2932</v>
      </c>
      <c r="ABK557" s="23" t="s">
        <v>2933</v>
      </c>
      <c r="ABL557" s="23" t="str">
        <f>CONCATENATE("XT",$U557)</f>
        <v>XT20</v>
      </c>
      <c r="ABM557" s="23">
        <v>21</v>
      </c>
      <c r="ABN557" s="23">
        <f t="shared" ref="ABN557:ABT557" si="721">ABM557+1</f>
        <v>22</v>
      </c>
      <c r="ABO557" s="23">
        <f t="shared" si="721"/>
        <v>23</v>
      </c>
      <c r="ABP557" s="23">
        <f t="shared" si="721"/>
        <v>24</v>
      </c>
      <c r="ABQ557" s="23">
        <f t="shared" si="721"/>
        <v>25</v>
      </c>
      <c r="ABR557" s="23">
        <f t="shared" si="721"/>
        <v>26</v>
      </c>
      <c r="ABS557" s="23">
        <f t="shared" si="721"/>
        <v>27</v>
      </c>
      <c r="ABT557" s="23">
        <f t="shared" si="721"/>
        <v>28</v>
      </c>
      <c r="ABU557" s="23" t="str">
        <f>CONCATENATE("C",REPLACE($AF557,1,1,"")+1)</f>
        <v>C6</v>
      </c>
      <c r="ABV557" s="23" t="str">
        <f>CONCATENATE("B",REPLACE($AG557,1,1,"")+1)</f>
        <v>B6</v>
      </c>
      <c r="ABW557" s="23" t="str">
        <f>CONCATENATE("C",REPLACE(ABU557,1,1,"")+1)</f>
        <v>C7</v>
      </c>
      <c r="ABX557" s="23" t="str">
        <f>CONCATENATE("B",REPLACE(ABV557,1,1,"")+1)</f>
        <v>B7</v>
      </c>
      <c r="ABY557" s="23" t="str">
        <f>CONCATENATE("C",REPLACE(ABW557,1,1,"")+1)</f>
        <v>C8</v>
      </c>
      <c r="ABZ557" s="23" t="str">
        <f>CONCATENATE("B",REPLACE(ABX557,1,1,"")+1)</f>
        <v>B8</v>
      </c>
      <c r="ACA557" s="23" t="str">
        <f>CONCATENATE("DI",REPLACE($AC557,1,3,""),"-",$AF557)</f>
        <v>DI4-C5</v>
      </c>
      <c r="ACB557" s="23" t="str">
        <f>CONCATENATE("DI",REPLACE($AC557,1,3,""),"-",$AG557)</f>
        <v>DI4-B5</v>
      </c>
      <c r="ACC557" s="23" t="str">
        <f t="shared" ref="ACC557:ACH557" si="722">CONCATENATE("DI",REPLACE($AC557,1,3,""),"-",ABU557)</f>
        <v>DI4-C6</v>
      </c>
      <c r="ACD557" s="23" t="str">
        <f t="shared" si="722"/>
        <v>DI4-B6</v>
      </c>
      <c r="ACE557" s="23" t="str">
        <f t="shared" si="722"/>
        <v>DI4-C7</v>
      </c>
      <c r="ACF557" s="23" t="str">
        <f t="shared" si="722"/>
        <v>DI4-B7</v>
      </c>
      <c r="ACG557" s="23" t="str">
        <f t="shared" si="722"/>
        <v>DI4-C8</v>
      </c>
      <c r="ACH557" s="23" t="str">
        <f t="shared" si="722"/>
        <v>DI4-B8</v>
      </c>
      <c r="ACI557" s="66" t="s">
        <v>2901</v>
      </c>
      <c r="ACJ557" s="66" t="s">
        <v>2902</v>
      </c>
      <c r="ACK557" s="66" t="s">
        <v>2903</v>
      </c>
      <c r="ACL557" s="66" t="s">
        <v>2904</v>
      </c>
      <c r="ACM557" s="66" t="s">
        <v>2906</v>
      </c>
      <c r="ACN557" s="66" t="s">
        <v>2907</v>
      </c>
      <c r="ACO557" s="66" t="s">
        <v>2908</v>
      </c>
      <c r="ACP557" s="66" t="s">
        <v>2909</v>
      </c>
      <c r="ACQ557" s="23" t="str">
        <f>CONCATENATE("K",$U557,"-11")</f>
        <v>K20-11</v>
      </c>
      <c r="ACR557" s="23" t="str">
        <f>CONCATENATE("K",$U557,"-12")</f>
        <v>K20-12</v>
      </c>
      <c r="ACS557" s="23" t="str">
        <f>CONCATENATE("K",$U557,"-13")</f>
        <v>K20-13</v>
      </c>
      <c r="ACT557" s="23" t="str">
        <f>CONCATENATE("K",$U557,"-14")</f>
        <v>K20-14</v>
      </c>
      <c r="ACU557" s="23" t="s">
        <v>142</v>
      </c>
      <c r="ACV557" s="23" t="s">
        <v>143</v>
      </c>
      <c r="ACW557" s="23">
        <v>11</v>
      </c>
      <c r="ACX557" s="23">
        <v>14</v>
      </c>
      <c r="ACY557" s="23" t="s">
        <v>414</v>
      </c>
      <c r="ACZ557" s="23" t="s">
        <v>413</v>
      </c>
      <c r="ADA557" s="23" t="s">
        <v>2004</v>
      </c>
      <c r="ADB557" s="23">
        <v>21</v>
      </c>
      <c r="ADC557" s="23">
        <v>22</v>
      </c>
      <c r="ADD557" s="23">
        <v>23</v>
      </c>
      <c r="ADE557" s="23">
        <v>24</v>
      </c>
      <c r="ADF557" s="23">
        <v>25</v>
      </c>
      <c r="ADG557" s="23">
        <v>26</v>
      </c>
      <c r="ADH557" s="23">
        <v>27</v>
      </c>
      <c r="ADI557" s="24">
        <v>28</v>
      </c>
    </row>
    <row r="558" spans="1:789" ht="30.75" thickBot="1" x14ac:dyDescent="0.3">
      <c r="A558" s="83" t="s">
        <v>2924</v>
      </c>
      <c r="B558" s="83" t="s">
        <v>2921</v>
      </c>
      <c r="P558" t="s">
        <v>1939</v>
      </c>
      <c r="T558" s="14" t="s">
        <v>2713</v>
      </c>
      <c r="U558">
        <v>20</v>
      </c>
      <c r="V558" t="s">
        <v>2927</v>
      </c>
      <c r="AP558" t="s">
        <v>2716</v>
      </c>
      <c r="AQ558" t="s">
        <v>2813</v>
      </c>
      <c r="JZ558" s="27"/>
      <c r="KS558" s="16"/>
      <c r="MA558" t="str">
        <f t="shared" si="712"/>
        <v>DI-</v>
      </c>
      <c r="TX558" s="63" t="s">
        <v>1958</v>
      </c>
      <c r="TY558" s="23" t="s">
        <v>1948</v>
      </c>
      <c r="TZ558" s="23" t="s">
        <v>1949</v>
      </c>
      <c r="UA558" s="23" t="s">
        <v>1950</v>
      </c>
      <c r="UB558" s="23" t="s">
        <v>1951</v>
      </c>
      <c r="UC558" s="23" t="s">
        <v>2912</v>
      </c>
      <c r="UD558" s="23" t="s">
        <v>2913</v>
      </c>
      <c r="UE558" s="23" t="s">
        <v>2914</v>
      </c>
      <c r="UF558" s="23" t="str">
        <f>CONCATENATE("XT",$U558)</f>
        <v>XT20</v>
      </c>
      <c r="UG558" s="23">
        <v>29</v>
      </c>
      <c r="UH558" s="23">
        <f>UG558+1</f>
        <v>30</v>
      </c>
      <c r="UI558" s="23">
        <f>UH558+1</f>
        <v>31</v>
      </c>
      <c r="UJ558" s="23" t="s">
        <v>2915</v>
      </c>
      <c r="UK558" s="23" t="s">
        <v>2916</v>
      </c>
      <c r="UL558" s="23" t="s">
        <v>2917</v>
      </c>
      <c r="UM558" s="24" t="s">
        <v>2918</v>
      </c>
    </row>
    <row r="559" spans="1:789" x14ac:dyDescent="0.25">
      <c r="A559" s="83" t="s">
        <v>2943</v>
      </c>
      <c r="B559" s="83" t="s">
        <v>2942</v>
      </c>
      <c r="C559" t="s">
        <v>498</v>
      </c>
      <c r="P559" t="s">
        <v>482</v>
      </c>
      <c r="T559" s="14" t="s">
        <v>2713</v>
      </c>
      <c r="U559">
        <v>18</v>
      </c>
      <c r="V559" s="15" t="s">
        <v>2944</v>
      </c>
      <c r="X559" t="s">
        <v>509</v>
      </c>
      <c r="Y559" s="43" t="str">
        <f t="array" ref="Y559">IF(COUNTIFS($X$523:$X559,$X559)=1,"1",VALUE(SUBSTITUTE(INDEX(Y:Y,_xlfn.XMATCH($X559,$X$1:$X558,0,-1)),"A",""))+INDEX(Z:Z,_xlfn.XMATCH($X559,$X$1:$X558,0,-1))+1)</f>
        <v>1</v>
      </c>
      <c r="Z559" s="43">
        <f t="array" ref="Z559">SUM(IF(ISNUMBER(FIND("TmAi",$BE$1:$AAQ$1)),IF(IFERROR(ISODD(SUBSTITUTE($BE559:$AAQ559,"A","")),FALSE),IF(ISODD(SUBSTITUTE($BE559:$AAQ559,"A","")),1,0),0)))</f>
        <v>0</v>
      </c>
      <c r="AA559" t="str">
        <f>CONCATENATE($Y559*2-1,"B")</f>
        <v>1B</v>
      </c>
      <c r="AB559" t="str">
        <f>CONCATENATE($Y559*2,"B")</f>
        <v>2B</v>
      </c>
      <c r="AP559" t="s">
        <v>2716</v>
      </c>
      <c r="AS559" t="s">
        <v>396</v>
      </c>
      <c r="JZ559" s="27" t="str">
        <f>CONCATENATE("XT",U559)</f>
        <v>XT18</v>
      </c>
      <c r="KC559" t="str">
        <f>CONCATENATE($T559,"-AI",REPLACE($X559,1,3,""),"-",$AA559)</f>
        <v>N2-AI4-1B</v>
      </c>
      <c r="KD559" t="str">
        <f>CONCATENATE($T559,"-AI",REPLACE($X559,1,3,""),"-",$AB559)</f>
        <v>N2-AI4-2B</v>
      </c>
      <c r="KI559">
        <f t="array" ref="KI559">IF(COUNTIFS($U$523:$U559,$U559)=1,1,INDEX(KI:KI,_xlfn.XMATCH(U559,U$1:U558,0,-1))+COUNT(KI552:KM552))</f>
        <v>40</v>
      </c>
      <c r="KJ559">
        <f t="shared" ref="KJ559:KK561" si="723">KI559+1</f>
        <v>41</v>
      </c>
      <c r="KK559">
        <f t="shared" si="723"/>
        <v>42</v>
      </c>
      <c r="KN559">
        <v>1</v>
      </c>
      <c r="KO559">
        <v>2</v>
      </c>
      <c r="KS559" s="16"/>
      <c r="MA559" t="str">
        <f t="shared" si="712"/>
        <v>DI-</v>
      </c>
    </row>
    <row r="560" spans="1:789" x14ac:dyDescent="0.25">
      <c r="A560" s="83" t="s">
        <v>2946</v>
      </c>
      <c r="B560" s="83" t="s">
        <v>2945</v>
      </c>
      <c r="C560" t="s">
        <v>498</v>
      </c>
      <c r="P560" t="s">
        <v>482</v>
      </c>
      <c r="T560" s="14" t="s">
        <v>2713</v>
      </c>
      <c r="U560">
        <v>18</v>
      </c>
      <c r="V560" s="15" t="s">
        <v>2947</v>
      </c>
      <c r="X560" t="str">
        <f>IF(COUNTIF(X$523:X559,X559)&gt;7,REPLACE(X559,LEN(X559),1,VALUE(RIGHT(X559,1))+1),X559)</f>
        <v>A3.4</v>
      </c>
      <c r="Y560" s="43">
        <f t="array" ref="Y560">IF(COUNTIFS($X$523:$X560,$X560)=1,"1",VALUE(SUBSTITUTE(INDEX(Y:Y,_xlfn.XMATCH($X560,$X$1:$X559,0,-1)),"A",""))+INDEX(Z:Z,_xlfn.XMATCH($X560,$X$1:$X559,0,-1))+1)</f>
        <v>2</v>
      </c>
      <c r="Z560" s="43">
        <f t="array" ref="Z560">SUM(IF(ISNUMBER(FIND("TmAi",$BE$1:$AAQ$1)),IF(IFERROR(ISODD(SUBSTITUTE($BE560:$AAQ560,"A","")),FALSE),IF(ISODD(SUBSTITUTE($BE560:$AAQ560,"A","")),1,0),0)))</f>
        <v>0</v>
      </c>
      <c r="AA560" t="str">
        <f>CONCATENATE($Y560*2-1,"B")</f>
        <v>3B</v>
      </c>
      <c r="AB560" t="str">
        <f>CONCATENATE($Y560*2,"B")</f>
        <v>4B</v>
      </c>
      <c r="AP560" t="s">
        <v>2716</v>
      </c>
      <c r="AS560" t="s">
        <v>396</v>
      </c>
      <c r="JZ560" s="27" t="str">
        <f>CONCATENATE("XT",U560)</f>
        <v>XT18</v>
      </c>
      <c r="KC560" t="str">
        <f>CONCATENATE($T560,"-AI",REPLACE($X560,1,3,""),"-",$AA560)</f>
        <v>N2-AI4-3B</v>
      </c>
      <c r="KD560" t="str">
        <f>CONCATENATE($T560,"-AI",REPLACE($X560,1,3,""),"-",$AB560)</f>
        <v>N2-AI4-4B</v>
      </c>
      <c r="KI560">
        <f t="array" ref="KI560">IF(COUNTIFS($U$523:$U560,$U560)=1,1,INDEX(KI:KI,_xlfn.XMATCH(U560,U$1:U559,0,-1))+COUNT(KI559:KM559))</f>
        <v>43</v>
      </c>
      <c r="KJ560">
        <f t="shared" si="723"/>
        <v>44</v>
      </c>
      <c r="KK560">
        <f t="shared" si="723"/>
        <v>45</v>
      </c>
      <c r="KN560">
        <v>1</v>
      </c>
      <c r="KO560">
        <v>2</v>
      </c>
      <c r="KS560" s="16"/>
      <c r="MA560" t="str">
        <f t="shared" si="712"/>
        <v>DI-</v>
      </c>
    </row>
    <row r="561" spans="1:812" ht="15.75" thickBot="1" x14ac:dyDescent="0.3">
      <c r="A561" s="83" t="s">
        <v>2949</v>
      </c>
      <c r="B561" s="83" t="s">
        <v>2948</v>
      </c>
      <c r="C561" t="s">
        <v>531</v>
      </c>
      <c r="P561" t="s">
        <v>503</v>
      </c>
      <c r="T561" s="14" t="s">
        <v>2713</v>
      </c>
      <c r="U561">
        <v>18</v>
      </c>
      <c r="V561" t="s">
        <v>2950</v>
      </c>
      <c r="X561" t="str">
        <f>IF(COUNTIF(X$523:X560,X560)&gt;7,REPLACE(X560,LEN(X560),1,VALUE(RIGHT(X560,1))+1),X560)</f>
        <v>A3.4</v>
      </c>
      <c r="Y561" s="43">
        <f t="array" ref="Y561">IF(COUNTIFS($X$2:$X561,$X561)=1,"1",VALUE(SUBSTITUTE(INDEX(Y:Y,_xlfn.XMATCH($X561,$X$1:$X560,0,-1)),"A",""))+INDEX(Z:Z,_xlfn.XMATCH($X561,$X$1:$X560,0,-1))+1)</f>
        <v>3</v>
      </c>
      <c r="Z561" s="46">
        <f t="array" ref="Z561">SUM(IF(ISNUMBER(FIND("TmAi",$BE$1:$AAQ$1)),IF(IFERROR(ISODD(SUBSTITUTE($BE561:$AAQ561,"A","")),FALSE),IF(ISODD(SUBSTITUTE($BE561:$AAQ561,"A","")),1,0),0)))</f>
        <v>0</v>
      </c>
      <c r="AA561" t="str">
        <f>CONCATENATE($Y561*2-1,"A")</f>
        <v>5A</v>
      </c>
      <c r="AB561" t="str">
        <f>CONCATENATE($Y561*2-1,"B")</f>
        <v>5B</v>
      </c>
      <c r="AP561" t="s">
        <v>2716</v>
      </c>
      <c r="AS561" t="s">
        <v>396</v>
      </c>
      <c r="JZ561" s="28" t="str">
        <f>CONCATENATE("XT",U561)</f>
        <v>XT18</v>
      </c>
      <c r="KA561" s="19"/>
      <c r="KB561" s="19"/>
      <c r="KC561" t="str">
        <f>CONCATENATE($T561,"-AI",REPLACE($X561,1,3,""),"-",$AA561)</f>
        <v>N2-AI4-5A</v>
      </c>
      <c r="KD561" t="str">
        <f>CONCATENATE($T561,"-AI",REPLACE($X561,1,3,""),"-",$AB561)</f>
        <v>N2-AI4-5B</v>
      </c>
      <c r="KE561" s="19"/>
      <c r="KF561" s="19"/>
      <c r="KG561" s="19" t="s">
        <v>488</v>
      </c>
      <c r="KH561" s="19" t="s">
        <v>487</v>
      </c>
      <c r="KI561" s="19">
        <f t="array" ref="KI561">IF(COUNTIFS($U$2:$U561,$U561)=1,1,INDEX(KI:KI,_xlfn.XMATCH(U561,U$1:U560,0,-1))+COUNT(KI548:KM548))</f>
        <v>46</v>
      </c>
      <c r="KJ561" s="19">
        <f t="shared" si="723"/>
        <v>47</v>
      </c>
      <c r="KK561" s="19">
        <f t="shared" si="723"/>
        <v>48</v>
      </c>
      <c r="KL561" s="19">
        <f>KK561+1</f>
        <v>49</v>
      </c>
      <c r="KM561" s="19">
        <f>KL561+1</f>
        <v>50</v>
      </c>
      <c r="KN561" s="19" t="s">
        <v>547</v>
      </c>
      <c r="KO561" s="19" t="s">
        <v>548</v>
      </c>
      <c r="KP561" s="19" t="s">
        <v>547</v>
      </c>
      <c r="KQ561" s="19" t="s">
        <v>548</v>
      </c>
      <c r="KR561" s="19" t="s">
        <v>551</v>
      </c>
      <c r="KS561" s="20" t="s">
        <v>552</v>
      </c>
      <c r="MA561" t="str">
        <f t="shared" si="712"/>
        <v>DI-</v>
      </c>
    </row>
    <row r="562" spans="1:812" ht="15.75" thickBot="1" x14ac:dyDescent="0.3">
      <c r="A562" s="83" t="s">
        <v>2949</v>
      </c>
      <c r="B562" s="83" t="s">
        <v>2948</v>
      </c>
      <c r="C562" t="s">
        <v>531</v>
      </c>
      <c r="P562" t="s">
        <v>503</v>
      </c>
      <c r="T562" s="14" t="s">
        <v>2713</v>
      </c>
      <c r="U562">
        <v>18</v>
      </c>
      <c r="V562" t="s">
        <v>2950</v>
      </c>
      <c r="X562" t="str">
        <f>IF(COUNTIF(X$523:X561,X561)&gt;7,REPLACE(X561,LEN(X561),1,VALUE(RIGHT(X561,1))+1),X561)</f>
        <v>A3.4</v>
      </c>
      <c r="Y562" s="43">
        <f t="array" ref="Y562">IF(COUNTIFS($X$2:$X562,$X562)=1,"1",VALUE(SUBSTITUTE(INDEX(Y:Y,_xlfn.XMATCH($X562,$X$1:$X561,0,-1)),"A",""))+INDEX(Z:Z,_xlfn.XMATCH($X562,$X$1:$X561,0,-1))+1)</f>
        <v>4</v>
      </c>
      <c r="Z562" s="46">
        <f t="array" ref="Z562">SUM(IF(ISNUMBER(FIND("TmAi",$BE$1:$AAQ$1)),IF(IFERROR(ISODD(SUBSTITUTE($BE562:$AAQ562,"A","")),FALSE),IF(ISODD(SUBSTITUTE($BE562:$AAQ562,"A","")),1,0),0)))</f>
        <v>0</v>
      </c>
      <c r="AA562" t="str">
        <f>CONCATENATE($Y562*2-1,"A")</f>
        <v>7A</v>
      </c>
      <c r="AB562" t="str">
        <f>CONCATENATE($Y562*2-1,"B")</f>
        <v>7B</v>
      </c>
      <c r="AP562" t="s">
        <v>2716</v>
      </c>
      <c r="AS562" t="s">
        <v>396</v>
      </c>
      <c r="JZ562" s="28" t="str">
        <f>CONCATENATE("XT",U562)</f>
        <v>XT18</v>
      </c>
      <c r="KA562" s="19"/>
      <c r="KB562" s="19"/>
      <c r="KC562" t="str">
        <f>CONCATENATE($T562,"-AI",REPLACE($X562,1,3,""),"-",$AA562)</f>
        <v>N2-AI4-7A</v>
      </c>
      <c r="KD562" t="str">
        <f>CONCATENATE($T562,"-AI",REPLACE($X562,1,3,""),"-",$AB562)</f>
        <v>N2-AI4-7B</v>
      </c>
      <c r="KE562" s="19"/>
      <c r="KF562" s="19"/>
      <c r="KG562" s="19" t="s">
        <v>488</v>
      </c>
      <c r="KH562" s="19" t="s">
        <v>487</v>
      </c>
      <c r="KI562" s="19">
        <f t="array" ref="KI562">IF(COUNTIFS($U$2:$U562,$U562)=1,1,INDEX(KI:KI,_xlfn.XMATCH(U562,U$1:U561,0,-1))+COUNT(KI549:KM549))</f>
        <v>49</v>
      </c>
      <c r="KJ562" s="19">
        <f t="shared" ref="KJ562" si="724">KI562+1</f>
        <v>50</v>
      </c>
      <c r="KK562" s="19">
        <f t="shared" ref="KK562" si="725">KJ562+1</f>
        <v>51</v>
      </c>
      <c r="KL562" s="19">
        <f>KK562+1</f>
        <v>52</v>
      </c>
      <c r="KM562" s="19">
        <f>KL562+1</f>
        <v>53</v>
      </c>
      <c r="KN562" s="19" t="s">
        <v>547</v>
      </c>
      <c r="KO562" s="19" t="s">
        <v>548</v>
      </c>
      <c r="KP562" s="19" t="s">
        <v>547</v>
      </c>
      <c r="KQ562" s="19" t="s">
        <v>548</v>
      </c>
      <c r="KR562" s="19" t="s">
        <v>551</v>
      </c>
      <c r="KS562" s="20" t="s">
        <v>552</v>
      </c>
      <c r="MA562" t="str">
        <f t="shared" si="712"/>
        <v>DI-</v>
      </c>
    </row>
    <row r="563" spans="1:812" ht="15.75" thickBot="1" x14ac:dyDescent="0.3">
      <c r="A563" s="83" t="s">
        <v>2955</v>
      </c>
      <c r="B563" s="89" t="s">
        <v>2954</v>
      </c>
      <c r="P563" t="s">
        <v>1378</v>
      </c>
      <c r="T563" s="14" t="s">
        <v>2713</v>
      </c>
      <c r="U563">
        <v>21</v>
      </c>
      <c r="V563" t="s">
        <v>2956</v>
      </c>
      <c r="AC563" t="s">
        <v>263</v>
      </c>
      <c r="AD563" s="43">
        <v>17</v>
      </c>
      <c r="AE563" s="43">
        <f t="array" ref="AE563">SUM(IF(ISNUMBER(FIND("TmDi",$BE$1:$AAQ$1)),IF(IFERROR(ISNUMBER(VALUE(SUBSTITUTE($BE563:$AAQ563,"B",""))),FALSE),IF(ISNUMBER(VALUE(SUBSTITUTE($BE563:$AAQ563,"B",""))),1,0),0)))</f>
        <v>0</v>
      </c>
      <c r="AF563" t="str">
        <f t="shared" ref="AF563:AF572" si="726">CONCATENATE("C",$AD563)</f>
        <v>C17</v>
      </c>
      <c r="AG563" t="str">
        <f t="shared" ref="AG563:AG572" si="727">CONCATENATE("B",$AD563)</f>
        <v>B17</v>
      </c>
      <c r="AP563" t="s">
        <v>2716</v>
      </c>
      <c r="AQ563" t="s">
        <v>2957</v>
      </c>
      <c r="AT563" t="s">
        <v>854</v>
      </c>
      <c r="LU563" s="25" t="s">
        <v>2051</v>
      </c>
      <c r="LV563" s="12">
        <v>5</v>
      </c>
      <c r="LW563" s="12">
        <v>11</v>
      </c>
      <c r="LX563" s="12"/>
      <c r="LY563" s="12" t="str">
        <f>CONCATENATE("XT",U563)</f>
        <v>XT21</v>
      </c>
      <c r="LZ563" s="12" t="str">
        <f>CONCATENATE("DI",REPLACE($AC563,1,3,""),"-",$AG563)</f>
        <v>DI4-B17</v>
      </c>
      <c r="MA563" s="12" t="str">
        <f t="shared" si="712"/>
        <v>DI4-B17</v>
      </c>
      <c r="MB563" s="12" t="s">
        <v>2053</v>
      </c>
      <c r="MC563" s="12" t="s">
        <v>2052</v>
      </c>
      <c r="MD563" s="12">
        <v>11</v>
      </c>
      <c r="ME563" s="12">
        <v>14</v>
      </c>
      <c r="MF563" s="12" t="s">
        <v>142</v>
      </c>
      <c r="MG563" s="12" t="s">
        <v>143</v>
      </c>
      <c r="MH563" s="12" t="s">
        <v>488</v>
      </c>
      <c r="MI563" s="12" t="s">
        <v>487</v>
      </c>
      <c r="MJ563" s="12" t="s">
        <v>414</v>
      </c>
      <c r="MK563" s="12" t="s">
        <v>413</v>
      </c>
      <c r="ML563" s="12">
        <v>1</v>
      </c>
      <c r="MM563" s="12">
        <f>ML563+1</f>
        <v>2</v>
      </c>
      <c r="MN563" s="12"/>
      <c r="MO563" s="12"/>
      <c r="MP563" s="12"/>
      <c r="MQ563" s="12"/>
      <c r="MR563" s="12">
        <v>3</v>
      </c>
      <c r="MS563" s="12">
        <v>7</v>
      </c>
      <c r="MT563" s="13"/>
    </row>
    <row r="564" spans="1:812" ht="15.75" thickBot="1" x14ac:dyDescent="0.3">
      <c r="A564" s="83" t="s">
        <v>3286</v>
      </c>
      <c r="B564" s="83" t="s">
        <v>3325</v>
      </c>
      <c r="P564" t="s">
        <v>3130</v>
      </c>
      <c r="T564" s="14" t="s">
        <v>3128</v>
      </c>
      <c r="U564">
        <v>22</v>
      </c>
      <c r="V564" s="15"/>
      <c r="W564" t="s">
        <v>3288</v>
      </c>
      <c r="X564" t="s">
        <v>2324</v>
      </c>
      <c r="Y564" s="43" t="str">
        <f t="array" ref="Y564">IF(COUNTIFS($X564:$X$573,$X564)=1,"1",VALUE(SUBSTITUTE(INDEX(Y:Y,_xlfn.XMATCH($X564,$X$1:$X563,0,-1)),"A",""))+INDEX(Z:Z,_xlfn.XMATCH($X564,$X$1:$X563,0,-1))+1)</f>
        <v>1</v>
      </c>
      <c r="Z564" s="43">
        <f t="array" ref="Z564">SUM(IF(ISNUMBER(FIND("TmAi",$BE$1:$AAQ$1)),IF(IFERROR(ISODD(SUBSTITUTE($BE564:$AAQ564,"A","")),FALSE),IF(ISODD(SUBSTITUTE($BE564:$AAQ564,"A","")),1,0),0)))</f>
        <v>10</v>
      </c>
      <c r="AA564" t="str">
        <f>CONCATENATE($Y564*2-1,"A")</f>
        <v>1A</v>
      </c>
      <c r="AB564" t="str">
        <f>CONCATENATE($Y564*2-1,"B")</f>
        <v>1B</v>
      </c>
      <c r="AP564" t="s">
        <v>2716</v>
      </c>
      <c r="AS564" t="s">
        <v>396</v>
      </c>
      <c r="JZ564" s="27"/>
      <c r="KS564" s="16"/>
      <c r="MA564" t="str">
        <f t="shared" si="712"/>
        <v>DI-</v>
      </c>
      <c r="QE564" s="25" t="str">
        <f>REPLACE(X564,FIND(".",X564)+1,3,MID(X564,FIND(".",X564)+1,3)+1)</f>
        <v>A3.6</v>
      </c>
      <c r="QF564" s="12" t="str">
        <f>CONCATENATE(VALUE(SUBSTITUTE($AB564,"B",""))+2,"B")</f>
        <v>3B</v>
      </c>
      <c r="QG564" s="12" t="str">
        <f>CONCATENATE(VALUE(SUBSTITUTE($AA564,"A",""))+2,"A")</f>
        <v>3A</v>
      </c>
      <c r="QH564" s="12" t="str">
        <f>CONCATENATE(VALUE(SUBSTITUTE(QF564,"B",""))+2,"B")</f>
        <v>5B</v>
      </c>
      <c r="QI564" s="12" t="str">
        <f>CONCATENATE(VALUE(SUBSTITUTE(QG564,"A",""))+2,"A")</f>
        <v>5A</v>
      </c>
      <c r="QJ564" s="12" t="str">
        <f>CONCATENATE(VALUE(SUBSTITUTE(QH564,"B",""))+2,"B")</f>
        <v>7B</v>
      </c>
      <c r="QK564" s="12" t="str">
        <f>CONCATENATE(VALUE(SUBSTITUTE(QI564,"A",""))+2,"A")</f>
        <v>7A</v>
      </c>
      <c r="QL564" s="12" t="str">
        <f>CONCATENATE(VALUE(SUBSTITUTE(QJ564,"B",""))+2,"B")</f>
        <v>9B</v>
      </c>
      <c r="QM564" s="12" t="str">
        <f>CONCATENATE(VALUE(SUBSTITUTE(QK564,"A",""))+2,"A")</f>
        <v>9A</v>
      </c>
      <c r="QN564" s="12" t="str">
        <f>CONCATENATE(VALUE(SUBSTITUTE(QL564,"B",""))+2,"B")</f>
        <v>11B</v>
      </c>
      <c r="QO564" s="12" t="str">
        <f>CONCATENATE(VALUE(SUBSTITUTE(QM564,"A",""))+2,"A")</f>
        <v>11A</v>
      </c>
      <c r="QP564" s="12" t="s">
        <v>135</v>
      </c>
      <c r="QQ564" s="12" t="s">
        <v>136</v>
      </c>
      <c r="QR564" s="12" t="str">
        <f>CONCATENATE(VALUE(SUBSTITUTE(QP564,"B",""))+2,"B")</f>
        <v>3B</v>
      </c>
      <c r="QS564" s="12" t="str">
        <f>CONCATENATE(VALUE(SUBSTITUTE(QQ564,"A",""))+2,"A")</f>
        <v>3A</v>
      </c>
      <c r="QT564" s="12" t="str">
        <f>CONCATENATE(VALUE(SUBSTITUTE(QR564,"B",""))+2,"B")</f>
        <v>5B</v>
      </c>
      <c r="QU564" s="12" t="str">
        <f>CONCATENATE(VALUE(SUBSTITUTE(QS564,"A",""))+2,"A")</f>
        <v>5A</v>
      </c>
      <c r="QV564" s="12" t="str">
        <f>CONCATENATE(VALUE(SUBSTITUTE(QT564,"B",""))+2,"B")</f>
        <v>7B</v>
      </c>
      <c r="QW564" s="12" t="str">
        <f>CONCATENATE(VALUE(SUBSTITUTE(QU564,"A",""))+2,"A")</f>
        <v>7A</v>
      </c>
      <c r="QX564" s="12" t="str">
        <f>CONCATENATE(VALUE(SUBSTITUTE(QV564,"B",""))+2,"B")</f>
        <v>9B</v>
      </c>
      <c r="QY564" s="12" t="str">
        <f>CONCATENATE(VALUE(SUBSTITUTE(QW564,"A",""))+2,"A")</f>
        <v>9A</v>
      </c>
      <c r="QZ564" s="12"/>
      <c r="RA564" s="12"/>
      <c r="RB564" s="12" t="str">
        <f>CONCATENATE($T564,"-AI",REPLACE($X564,1,3,""),"-",AB564)</f>
        <v>E3-AI5-1B</v>
      </c>
      <c r="RC564" s="12" t="str">
        <f>CONCATENATE($T564,"-AI",REPLACE($X564,1,3,""),"-",AA564)</f>
        <v>E3-AI5-1A</v>
      </c>
      <c r="RD564" s="12" t="str">
        <f t="shared" ref="RD564:RM565" si="728">CONCATENATE($T564,"-AI",REPLACE($X564,1,3,""),"-",QF564)</f>
        <v>E3-AI5-3B</v>
      </c>
      <c r="RE564" s="12" t="str">
        <f t="shared" si="728"/>
        <v>E3-AI5-3A</v>
      </c>
      <c r="RF564" s="12" t="str">
        <f t="shared" si="728"/>
        <v>E3-AI5-5B</v>
      </c>
      <c r="RG564" s="12" t="str">
        <f t="shared" si="728"/>
        <v>E3-AI5-5A</v>
      </c>
      <c r="RH564" s="12" t="str">
        <f t="shared" si="728"/>
        <v>E3-AI5-7B</v>
      </c>
      <c r="RI564" s="12" t="str">
        <f t="shared" si="728"/>
        <v>E3-AI5-7A</v>
      </c>
      <c r="RJ564" s="12" t="str">
        <f t="shared" si="728"/>
        <v>E3-AI5-9B</v>
      </c>
      <c r="RK564" s="12" t="str">
        <f t="shared" si="728"/>
        <v>E3-AI5-9A</v>
      </c>
      <c r="RL564" s="12" t="str">
        <f t="shared" si="728"/>
        <v>E3-AI5-11B</v>
      </c>
      <c r="RM564" s="12" t="str">
        <f t="shared" si="728"/>
        <v>E3-AI5-11A</v>
      </c>
      <c r="RN564" s="12" t="str">
        <f t="shared" ref="RN564:RW565" si="729">CONCATENATE($T564,"-AI",REPLACE($QE564,1,3,""),"-",QP564)</f>
        <v>E3-AI6-1B</v>
      </c>
      <c r="RO564" s="12" t="str">
        <f t="shared" si="729"/>
        <v>E3-AI6-1A</v>
      </c>
      <c r="RP564" s="12" t="str">
        <f t="shared" si="729"/>
        <v>E3-AI6-3B</v>
      </c>
      <c r="RQ564" s="12" t="str">
        <f t="shared" si="729"/>
        <v>E3-AI6-3A</v>
      </c>
      <c r="RR564" s="12" t="str">
        <f t="shared" si="729"/>
        <v>E3-AI6-5B</v>
      </c>
      <c r="RS564" s="12" t="str">
        <f t="shared" si="729"/>
        <v>E3-AI6-5A</v>
      </c>
      <c r="RT564" s="12" t="str">
        <f t="shared" si="729"/>
        <v>E3-AI6-7B</v>
      </c>
      <c r="RU564" s="12" t="str">
        <f t="shared" si="729"/>
        <v>E3-AI6-7A</v>
      </c>
      <c r="RV564" s="12" t="str">
        <f t="shared" si="729"/>
        <v>E3-AI6-9B</v>
      </c>
      <c r="RW564" s="12" t="str">
        <f t="shared" si="729"/>
        <v>E3-AI6-9A</v>
      </c>
      <c r="RX564" s="12"/>
      <c r="RY564" s="12"/>
      <c r="RZ564" s="12" t="str">
        <f>CONCATENATE("XT",$U564)</f>
        <v>XT22</v>
      </c>
      <c r="SA564" s="12">
        <v>1</v>
      </c>
      <c r="SB564" s="12">
        <f t="shared" ref="SB564:SW564" si="730">SA564+1</f>
        <v>2</v>
      </c>
      <c r="SC564" s="12">
        <f t="shared" si="730"/>
        <v>3</v>
      </c>
      <c r="SD564" s="12">
        <f t="shared" si="730"/>
        <v>4</v>
      </c>
      <c r="SE564" s="12">
        <f t="shared" si="730"/>
        <v>5</v>
      </c>
      <c r="SF564" s="12">
        <f t="shared" si="730"/>
        <v>6</v>
      </c>
      <c r="SG564" s="12">
        <f t="shared" si="730"/>
        <v>7</v>
      </c>
      <c r="SH564" s="12">
        <f t="shared" si="730"/>
        <v>8</v>
      </c>
      <c r="SI564" s="12">
        <f t="shared" si="730"/>
        <v>9</v>
      </c>
      <c r="SJ564" s="12">
        <f t="shared" si="730"/>
        <v>10</v>
      </c>
      <c r="SK564" s="12">
        <f t="shared" si="730"/>
        <v>11</v>
      </c>
      <c r="SL564" s="12">
        <f t="shared" si="730"/>
        <v>12</v>
      </c>
      <c r="SM564" s="12">
        <f t="shared" si="730"/>
        <v>13</v>
      </c>
      <c r="SN564" s="12">
        <f t="shared" si="730"/>
        <v>14</v>
      </c>
      <c r="SO564" s="12">
        <f t="shared" si="730"/>
        <v>15</v>
      </c>
      <c r="SP564" s="12">
        <f t="shared" si="730"/>
        <v>16</v>
      </c>
      <c r="SQ564" s="12">
        <f t="shared" si="730"/>
        <v>17</v>
      </c>
      <c r="SR564" s="12">
        <f t="shared" si="730"/>
        <v>18</v>
      </c>
      <c r="SS564" s="12">
        <f t="shared" si="730"/>
        <v>19</v>
      </c>
      <c r="ST564" s="12">
        <f t="shared" si="730"/>
        <v>20</v>
      </c>
      <c r="SU564" s="12">
        <f t="shared" si="730"/>
        <v>21</v>
      </c>
      <c r="SV564" s="12">
        <f t="shared" si="730"/>
        <v>22</v>
      </c>
      <c r="SW564" s="12">
        <f t="shared" si="730"/>
        <v>23</v>
      </c>
      <c r="SX564" s="12"/>
      <c r="SY564" s="12"/>
      <c r="SZ564" s="12" t="s">
        <v>3290</v>
      </c>
      <c r="TA564" s="12" t="s">
        <v>3291</v>
      </c>
      <c r="TB564" s="12" t="s">
        <v>3292</v>
      </c>
      <c r="TC564" s="12" t="s">
        <v>3293</v>
      </c>
      <c r="TD564" s="12" t="s">
        <v>3294</v>
      </c>
      <c r="TE564" s="12" t="s">
        <v>3295</v>
      </c>
      <c r="TF564" s="12" t="s">
        <v>3296</v>
      </c>
      <c r="TG564" s="12" t="s">
        <v>3297</v>
      </c>
      <c r="TH564" s="12" t="s">
        <v>3298</v>
      </c>
      <c r="TI564" s="12" t="s">
        <v>3299</v>
      </c>
      <c r="TJ564" s="12" t="s">
        <v>3300</v>
      </c>
      <c r="TK564" s="12"/>
      <c r="TL564" s="12" t="s">
        <v>3135</v>
      </c>
      <c r="TM564" s="12" t="s">
        <v>3136</v>
      </c>
      <c r="TN564" s="12" t="s">
        <v>3137</v>
      </c>
      <c r="TO564" s="12" t="s">
        <v>3138</v>
      </c>
      <c r="TP564" s="12" t="s">
        <v>3139</v>
      </c>
      <c r="TQ564" s="12" t="s">
        <v>3140</v>
      </c>
      <c r="TR564" s="12" t="s">
        <v>3141</v>
      </c>
      <c r="TS564" s="12" t="s">
        <v>3142</v>
      </c>
      <c r="TT564" s="12" t="s">
        <v>3143</v>
      </c>
      <c r="TU564" s="12" t="s">
        <v>3144</v>
      </c>
      <c r="TV564" s="12" t="s">
        <v>3145</v>
      </c>
      <c r="TW564" s="13"/>
    </row>
    <row r="565" spans="1:812" x14ac:dyDescent="0.25">
      <c r="A565" s="83" t="s">
        <v>3287</v>
      </c>
      <c r="B565" s="83" t="s">
        <v>3326</v>
      </c>
      <c r="P565" t="s">
        <v>3130</v>
      </c>
      <c r="T565" s="14" t="s">
        <v>3128</v>
      </c>
      <c r="U565">
        <v>23</v>
      </c>
      <c r="V565" s="15"/>
      <c r="W565" t="s">
        <v>3289</v>
      </c>
      <c r="X565" t="s">
        <v>2325</v>
      </c>
      <c r="Y565" s="43" t="str">
        <f t="array" ref="Y565">IF(COUNTIFS($X565:$X$573,$X565)=1,"1",VALUE(SUBSTITUTE(INDEX(Y:Y,_xlfn.XMATCH($X565,$X$1:$X564,0,-1)),"A",""))+INDEX(Z:Z,_xlfn.XMATCH($X565,$X$1:$X564,0,-1))+1)</f>
        <v>1</v>
      </c>
      <c r="Z565" s="43">
        <f t="array" ref="Z565">SUM(IF(ISNUMBER(FIND("TmAi",$BE$1:$AAQ$1)),IF(IFERROR(ISODD(SUBSTITUTE($BE565:$AAQ565,"A","")),FALSE),IF(ISODD(SUBSTITUTE($BE565:$AAQ565,"A","")),1,0),0)))</f>
        <v>10</v>
      </c>
      <c r="AA565" t="str">
        <f>CONCATENATE($Y565*2-1,"A")</f>
        <v>1A</v>
      </c>
      <c r="AB565" t="str">
        <f>CONCATENATE($Y565*2-1,"B")</f>
        <v>1B</v>
      </c>
      <c r="AP565" t="s">
        <v>2716</v>
      </c>
      <c r="AS565" t="s">
        <v>396</v>
      </c>
      <c r="JZ565" s="27"/>
      <c r="KS565" s="16"/>
      <c r="MA565" t="str">
        <f t="shared" si="712"/>
        <v>DI-</v>
      </c>
      <c r="QE565" s="25" t="str">
        <f>REPLACE(X565,FIND(".",X565)+1,3,MID(X565,FIND(".",X565)+1,3)+1)</f>
        <v>A3.8</v>
      </c>
      <c r="QF565" s="12" t="str">
        <f>CONCATENATE(VALUE(SUBSTITUTE($AB565,"B",""))+2,"B")</f>
        <v>3B</v>
      </c>
      <c r="QG565" s="12" t="str">
        <f>CONCATENATE(VALUE(SUBSTITUTE($AA565,"A",""))+2,"A")</f>
        <v>3A</v>
      </c>
      <c r="QH565" s="12" t="str">
        <f>CONCATENATE(VALUE(SUBSTITUTE(QF565,"B",""))+2,"B")</f>
        <v>5B</v>
      </c>
      <c r="QI565" s="12" t="str">
        <f>CONCATENATE(VALUE(SUBSTITUTE(QG565,"A",""))+2,"A")</f>
        <v>5A</v>
      </c>
      <c r="QJ565" s="12" t="str">
        <f>CONCATENATE(VALUE(SUBSTITUTE(QH565,"B",""))+2,"B")</f>
        <v>7B</v>
      </c>
      <c r="QK565" s="12" t="str">
        <f>CONCATENATE(VALUE(SUBSTITUTE(QI565,"A",""))+2,"A")</f>
        <v>7A</v>
      </c>
      <c r="QL565" s="12" t="str">
        <f>CONCATENATE(VALUE(SUBSTITUTE(QJ565,"B",""))+2,"B")</f>
        <v>9B</v>
      </c>
      <c r="QM565" s="12" t="str">
        <f>CONCATENATE(VALUE(SUBSTITUTE(QK565,"A",""))+2,"A")</f>
        <v>9A</v>
      </c>
      <c r="QN565" s="12" t="str">
        <f>CONCATENATE(VALUE(SUBSTITUTE(QL565,"B",""))+2,"B")</f>
        <v>11B</v>
      </c>
      <c r="QO565" s="12" t="str">
        <f>CONCATENATE(VALUE(SUBSTITUTE(QM565,"A",""))+2,"A")</f>
        <v>11A</v>
      </c>
      <c r="QP565" s="12" t="s">
        <v>135</v>
      </c>
      <c r="QQ565" s="12" t="s">
        <v>136</v>
      </c>
      <c r="QR565" s="12" t="str">
        <f>CONCATENATE(VALUE(SUBSTITUTE(QP565,"B",""))+2,"B")</f>
        <v>3B</v>
      </c>
      <c r="QS565" s="12" t="str">
        <f>CONCATENATE(VALUE(SUBSTITUTE(QQ565,"A",""))+2,"A")</f>
        <v>3A</v>
      </c>
      <c r="QT565" s="12" t="str">
        <f>CONCATENATE(VALUE(SUBSTITUTE(QR565,"B",""))+2,"B")</f>
        <v>5B</v>
      </c>
      <c r="QU565" s="12" t="str">
        <f>CONCATENATE(VALUE(SUBSTITUTE(QS565,"A",""))+2,"A")</f>
        <v>5A</v>
      </c>
      <c r="QV565" s="12" t="str">
        <f>CONCATENATE(VALUE(SUBSTITUTE(QT565,"B",""))+2,"B")</f>
        <v>7B</v>
      </c>
      <c r="QW565" s="12" t="str">
        <f>CONCATENATE(VALUE(SUBSTITUTE(QU565,"A",""))+2,"A")</f>
        <v>7A</v>
      </c>
      <c r="QX565" s="12" t="str">
        <f>CONCATENATE(VALUE(SUBSTITUTE(QV565,"B",""))+2,"B")</f>
        <v>9B</v>
      </c>
      <c r="QY565" s="12" t="str">
        <f>CONCATENATE(VALUE(SUBSTITUTE(QW565,"A",""))+2,"A")</f>
        <v>9A</v>
      </c>
      <c r="QZ565" s="12"/>
      <c r="RA565" s="12"/>
      <c r="RB565" s="12" t="str">
        <f>CONCATENATE($T565,"-AI",REPLACE($X565,1,3,""),"-",AB565)</f>
        <v>E3-AI7-1B</v>
      </c>
      <c r="RC565" s="12" t="str">
        <f>CONCATENATE($T565,"-AI",REPLACE($X565,1,3,""),"-",AA565)</f>
        <v>E3-AI7-1A</v>
      </c>
      <c r="RD565" s="12" t="str">
        <f t="shared" si="728"/>
        <v>E3-AI7-3B</v>
      </c>
      <c r="RE565" s="12" t="str">
        <f t="shared" si="728"/>
        <v>E3-AI7-3A</v>
      </c>
      <c r="RF565" s="12" t="str">
        <f t="shared" si="728"/>
        <v>E3-AI7-5B</v>
      </c>
      <c r="RG565" s="12" t="str">
        <f t="shared" si="728"/>
        <v>E3-AI7-5A</v>
      </c>
      <c r="RH565" s="12" t="str">
        <f t="shared" si="728"/>
        <v>E3-AI7-7B</v>
      </c>
      <c r="RI565" s="12" t="str">
        <f t="shared" si="728"/>
        <v>E3-AI7-7A</v>
      </c>
      <c r="RJ565" s="12" t="str">
        <f t="shared" si="728"/>
        <v>E3-AI7-9B</v>
      </c>
      <c r="RK565" s="12" t="str">
        <f t="shared" si="728"/>
        <v>E3-AI7-9A</v>
      </c>
      <c r="RL565" s="12" t="str">
        <f t="shared" si="728"/>
        <v>E3-AI7-11B</v>
      </c>
      <c r="RM565" s="12" t="str">
        <f t="shared" si="728"/>
        <v>E3-AI7-11A</v>
      </c>
      <c r="RN565" s="12" t="str">
        <f t="shared" si="729"/>
        <v>E3-AI8-1B</v>
      </c>
      <c r="RO565" s="12" t="str">
        <f t="shared" si="729"/>
        <v>E3-AI8-1A</v>
      </c>
      <c r="RP565" s="12" t="str">
        <f t="shared" si="729"/>
        <v>E3-AI8-3B</v>
      </c>
      <c r="RQ565" s="12" t="str">
        <f t="shared" si="729"/>
        <v>E3-AI8-3A</v>
      </c>
      <c r="RR565" s="12" t="str">
        <f t="shared" si="729"/>
        <v>E3-AI8-5B</v>
      </c>
      <c r="RS565" s="12" t="str">
        <f t="shared" si="729"/>
        <v>E3-AI8-5A</v>
      </c>
      <c r="RT565" s="12" t="str">
        <f t="shared" si="729"/>
        <v>E3-AI8-7B</v>
      </c>
      <c r="RU565" s="12" t="str">
        <f t="shared" si="729"/>
        <v>E3-AI8-7A</v>
      </c>
      <c r="RV565" s="12" t="str">
        <f t="shared" si="729"/>
        <v>E3-AI8-9B</v>
      </c>
      <c r="RW565" s="12" t="str">
        <f t="shared" si="729"/>
        <v>E3-AI8-9A</v>
      </c>
      <c r="RX565" s="12"/>
      <c r="RY565" s="12"/>
      <c r="RZ565" s="12" t="str">
        <f>CONCATENATE("XT",$U565)</f>
        <v>XT23</v>
      </c>
      <c r="SA565" s="12">
        <v>1</v>
      </c>
      <c r="SB565" s="12">
        <f t="shared" ref="SB565:SW565" si="731">SA565+1</f>
        <v>2</v>
      </c>
      <c r="SC565" s="12">
        <f t="shared" si="731"/>
        <v>3</v>
      </c>
      <c r="SD565" s="12">
        <f t="shared" si="731"/>
        <v>4</v>
      </c>
      <c r="SE565" s="12">
        <f t="shared" si="731"/>
        <v>5</v>
      </c>
      <c r="SF565" s="12">
        <f t="shared" si="731"/>
        <v>6</v>
      </c>
      <c r="SG565" s="12">
        <f t="shared" si="731"/>
        <v>7</v>
      </c>
      <c r="SH565" s="12">
        <f t="shared" si="731"/>
        <v>8</v>
      </c>
      <c r="SI565" s="12">
        <f t="shared" si="731"/>
        <v>9</v>
      </c>
      <c r="SJ565" s="12">
        <f t="shared" si="731"/>
        <v>10</v>
      </c>
      <c r="SK565" s="12">
        <f t="shared" si="731"/>
        <v>11</v>
      </c>
      <c r="SL565" s="12">
        <f t="shared" si="731"/>
        <v>12</v>
      </c>
      <c r="SM565" s="12">
        <f t="shared" si="731"/>
        <v>13</v>
      </c>
      <c r="SN565" s="12">
        <f t="shared" si="731"/>
        <v>14</v>
      </c>
      <c r="SO565" s="12">
        <f t="shared" si="731"/>
        <v>15</v>
      </c>
      <c r="SP565" s="12">
        <f t="shared" si="731"/>
        <v>16</v>
      </c>
      <c r="SQ565" s="12">
        <f t="shared" si="731"/>
        <v>17</v>
      </c>
      <c r="SR565" s="12">
        <f t="shared" si="731"/>
        <v>18</v>
      </c>
      <c r="SS565" s="12">
        <f t="shared" si="731"/>
        <v>19</v>
      </c>
      <c r="ST565" s="12">
        <f t="shared" si="731"/>
        <v>20</v>
      </c>
      <c r="SU565" s="12">
        <f t="shared" si="731"/>
        <v>21</v>
      </c>
      <c r="SV565" s="12">
        <f t="shared" si="731"/>
        <v>22</v>
      </c>
      <c r="SW565" s="12">
        <f t="shared" si="731"/>
        <v>23</v>
      </c>
      <c r="SX565" s="12"/>
      <c r="SY565" s="12"/>
      <c r="SZ565" s="12" t="s">
        <v>3301</v>
      </c>
      <c r="TA565" s="12" t="s">
        <v>3302</v>
      </c>
      <c r="TB565" s="12" t="s">
        <v>3303</v>
      </c>
      <c r="TC565" s="12" t="s">
        <v>3304</v>
      </c>
      <c r="TD565" s="12" t="s">
        <v>3305</v>
      </c>
      <c r="TE565" s="12" t="s">
        <v>3306</v>
      </c>
      <c r="TF565" s="12" t="s">
        <v>3307</v>
      </c>
      <c r="TG565" s="12" t="s">
        <v>3308</v>
      </c>
      <c r="TH565" s="12" t="s">
        <v>3309</v>
      </c>
      <c r="TI565" s="12" t="s">
        <v>3310</v>
      </c>
      <c r="TJ565" s="12" t="s">
        <v>3311</v>
      </c>
      <c r="TK565" s="12"/>
      <c r="TL565" s="12" t="s">
        <v>3135</v>
      </c>
      <c r="TM565" s="12" t="s">
        <v>3136</v>
      </c>
      <c r="TN565" s="12" t="s">
        <v>3137</v>
      </c>
      <c r="TO565" s="12" t="s">
        <v>3138</v>
      </c>
      <c r="TP565" s="12" t="s">
        <v>3139</v>
      </c>
      <c r="TQ565" s="12" t="s">
        <v>3140</v>
      </c>
      <c r="TR565" s="12" t="s">
        <v>3141</v>
      </c>
      <c r="TS565" s="12" t="s">
        <v>3142</v>
      </c>
      <c r="TT565" s="12" t="s">
        <v>3143</v>
      </c>
      <c r="TU565" s="12" t="s">
        <v>3144</v>
      </c>
      <c r="TV565" s="12" t="s">
        <v>3145</v>
      </c>
      <c r="TW565" s="13"/>
    </row>
    <row r="566" spans="1:812" x14ac:dyDescent="0.25">
      <c r="A566" s="83" t="s">
        <v>3098</v>
      </c>
      <c r="B566" s="83" t="s">
        <v>3105</v>
      </c>
      <c r="P566" t="s">
        <v>1873</v>
      </c>
      <c r="T566" s="14" t="s">
        <v>2713</v>
      </c>
      <c r="U566">
        <v>21</v>
      </c>
      <c r="AC566" t="str">
        <f>IF(AD563+AE563&gt;31,REPLACE(AC563,LEN(AC563),1,VALUE(RIGHT(AC563,1))+1),AC563)</f>
        <v>A5.4</v>
      </c>
      <c r="AD566" s="46">
        <f t="array" ref="AD566">IF(COUNTIFS(AC$340:AC566,AC566)=1,"1",VALUE(SUBSTITUTE(INDEX(AD:AD,_xlfn.XMATCH(AC566,AC$1:AC563,0,-1)),"A",""))+INDEX(AE:AE,_xlfn.XMATCH(AC566,AC$1:AC563,0,-1))+1)</f>
        <v>18</v>
      </c>
      <c r="AE566" s="46">
        <f t="array" ref="AE566">SUM(IF(ISNUMBER(FIND("TmDi",$BE$1:$AAQ$1)),IF(IFERROR(ISNUMBER(VALUE(SUBSTITUTE($BE566:$AAQ566,"B",""))),FALSE),IF(ISNUMBER(VALUE(SUBSTITUTE($BE566:$AAQ566,"B",""))),1,0),0)))</f>
        <v>0</v>
      </c>
      <c r="AF566" t="str">
        <f t="shared" si="726"/>
        <v>C18</v>
      </c>
      <c r="AG566" t="str">
        <f t="shared" si="727"/>
        <v>B18</v>
      </c>
      <c r="AP566" t="s">
        <v>2716</v>
      </c>
      <c r="AT566" t="s">
        <v>854</v>
      </c>
      <c r="AU566" t="s">
        <v>1399</v>
      </c>
      <c r="LU566" s="27"/>
      <c r="LZ566" t="str">
        <f>CONCATENATE("DI",REPLACE($AC566,1,3,""),"-",$AF566)</f>
        <v>DI4-C18</v>
      </c>
      <c r="MA566" t="str">
        <f t="shared" si="712"/>
        <v>DI4-B18</v>
      </c>
      <c r="MB566" t="s">
        <v>1884</v>
      </c>
      <c r="MC566" t="s">
        <v>1883</v>
      </c>
      <c r="MD566">
        <v>11</v>
      </c>
      <c r="ME566">
        <v>14</v>
      </c>
      <c r="MF566" t="s">
        <v>142</v>
      </c>
      <c r="MG566" t="s">
        <v>143</v>
      </c>
      <c r="MH566" t="s">
        <v>488</v>
      </c>
      <c r="MI566" t="s">
        <v>487</v>
      </c>
      <c r="MJ566" t="s">
        <v>414</v>
      </c>
      <c r="MK566" t="s">
        <v>413</v>
      </c>
      <c r="MR566">
        <v>1</v>
      </c>
      <c r="MS566">
        <v>2</v>
      </c>
      <c r="MT566" s="16"/>
    </row>
    <row r="567" spans="1:812" x14ac:dyDescent="0.25">
      <c r="A567" s="83" t="s">
        <v>3099</v>
      </c>
      <c r="B567" s="83" t="s">
        <v>3106</v>
      </c>
      <c r="P567" t="s">
        <v>1873</v>
      </c>
      <c r="T567" s="14" t="s">
        <v>2713</v>
      </c>
      <c r="U567">
        <v>21</v>
      </c>
      <c r="AC567" t="str">
        <f t="shared" ref="AC567:AC572" si="732">IF(AD566+AE566&gt;31,REPLACE(AC566,LEN(AC566),1,VALUE(RIGHT(AC566,1))+1),AC566)</f>
        <v>A5.4</v>
      </c>
      <c r="AD567" s="46">
        <f t="array" ref="AD567">IF(COUNTIFS(AC$340:AC567,AC567)=1,"1",VALUE(SUBSTITUTE(INDEX(AD:AD,_xlfn.XMATCH(AC567,AC$1:AC566,0,-1)),"A",""))+INDEX(AE:AE,_xlfn.XMATCH(AC567,AC$1:AC566,0,-1))+1)</f>
        <v>19</v>
      </c>
      <c r="AE567" s="46">
        <f t="array" ref="AE567">SUM(IF(ISNUMBER(FIND("TmDi",$BE$1:$AAQ$1)),IF(IFERROR(ISNUMBER(VALUE(SUBSTITUTE($BE567:$AAQ567,"B",""))),FALSE),IF(ISNUMBER(VALUE(SUBSTITUTE($BE567:$AAQ567,"B",""))),1,0),0)))</f>
        <v>0</v>
      </c>
      <c r="AF567" t="str">
        <f t="shared" si="726"/>
        <v>C19</v>
      </c>
      <c r="AG567" t="str">
        <f t="shared" si="727"/>
        <v>B19</v>
      </c>
      <c r="AP567" t="s">
        <v>2716</v>
      </c>
      <c r="AT567" t="s">
        <v>854</v>
      </c>
      <c r="AU567" t="s">
        <v>1399</v>
      </c>
      <c r="LU567" s="27"/>
      <c r="LZ567" t="str">
        <f t="shared" ref="LZ567:LZ572" si="733">CONCATENATE("DI",REPLACE($AC567,1,3,""),"-",$AF567)</f>
        <v>DI4-C19</v>
      </c>
      <c r="MA567" t="str">
        <f t="shared" si="712"/>
        <v>DI4-B19</v>
      </c>
      <c r="MB567" t="s">
        <v>1887</v>
      </c>
      <c r="MC567" t="s">
        <v>1888</v>
      </c>
      <c r="MD567">
        <f t="shared" ref="MD567:MD572" si="734">MD566</f>
        <v>11</v>
      </c>
      <c r="ME567">
        <f t="shared" ref="ME567:MK572" si="735">ME566</f>
        <v>14</v>
      </c>
      <c r="MF567" t="str">
        <f t="shared" si="735"/>
        <v>A1</v>
      </c>
      <c r="MG567" t="str">
        <f t="shared" si="735"/>
        <v>A2</v>
      </c>
      <c r="MH567" t="str">
        <f t="shared" si="735"/>
        <v>0v3</v>
      </c>
      <c r="MI567" t="str">
        <f t="shared" si="735"/>
        <v>24v3</v>
      </c>
      <c r="MJ567" t="str">
        <f t="shared" si="735"/>
        <v>0v6</v>
      </c>
      <c r="MK567" t="str">
        <f t="shared" si="735"/>
        <v>24v6</v>
      </c>
      <c r="MR567">
        <f>MR566</f>
        <v>1</v>
      </c>
      <c r="MS567">
        <f>MS566</f>
        <v>2</v>
      </c>
      <c r="MT567" s="16"/>
    </row>
    <row r="568" spans="1:812" x14ac:dyDescent="0.25">
      <c r="A568" s="83" t="s">
        <v>3100</v>
      </c>
      <c r="B568" s="83" t="s">
        <v>3107</v>
      </c>
      <c r="P568" t="s">
        <v>1873</v>
      </c>
      <c r="T568" s="14" t="s">
        <v>2713</v>
      </c>
      <c r="U568">
        <v>21</v>
      </c>
      <c r="AC568" t="str">
        <f t="shared" si="732"/>
        <v>A5.4</v>
      </c>
      <c r="AD568" s="46">
        <f t="array" ref="AD568">IF(COUNTIFS(AC$340:AC568,AC568)=1,"1",VALUE(SUBSTITUTE(INDEX(AD:AD,_xlfn.XMATCH(AC568,AC$1:AC567,0,-1)),"A",""))+INDEX(AE:AE,_xlfn.XMATCH(AC568,AC$1:AC567,0,-1))+1)</f>
        <v>20</v>
      </c>
      <c r="AE568" s="46">
        <f t="array" ref="AE568">SUM(IF(ISNUMBER(FIND("TmDi",$BE$1:$AAQ$1)),IF(IFERROR(ISNUMBER(VALUE(SUBSTITUTE($BE568:$AAQ568,"B",""))),FALSE),IF(ISNUMBER(VALUE(SUBSTITUTE($BE568:$AAQ568,"B",""))),1,0),0)))</f>
        <v>0</v>
      </c>
      <c r="AF568" t="str">
        <f t="shared" si="726"/>
        <v>C20</v>
      </c>
      <c r="AG568" t="str">
        <f t="shared" si="727"/>
        <v>B20</v>
      </c>
      <c r="AP568" t="s">
        <v>2716</v>
      </c>
      <c r="AT568" t="s">
        <v>854</v>
      </c>
      <c r="AU568" t="s">
        <v>1399</v>
      </c>
      <c r="LU568" s="27"/>
      <c r="LZ568" t="str">
        <f t="shared" si="733"/>
        <v>DI4-C20</v>
      </c>
      <c r="MA568" t="str">
        <f t="shared" si="712"/>
        <v>DI4-B20</v>
      </c>
      <c r="MB568" t="s">
        <v>1891</v>
      </c>
      <c r="MC568" t="s">
        <v>1892</v>
      </c>
      <c r="MD568">
        <f t="shared" si="734"/>
        <v>11</v>
      </c>
      <c r="ME568">
        <f t="shared" si="735"/>
        <v>14</v>
      </c>
      <c r="MF568" t="str">
        <f t="shared" si="735"/>
        <v>A1</v>
      </c>
      <c r="MG568" t="str">
        <f t="shared" si="735"/>
        <v>A2</v>
      </c>
      <c r="MH568" t="str">
        <f t="shared" si="735"/>
        <v>0v3</v>
      </c>
      <c r="MI568" t="str">
        <f t="shared" si="735"/>
        <v>24v3</v>
      </c>
      <c r="MJ568" t="str">
        <f t="shared" si="735"/>
        <v>0v6</v>
      </c>
      <c r="MK568" t="str">
        <f t="shared" si="735"/>
        <v>24v6</v>
      </c>
      <c r="MR568">
        <f t="shared" ref="MR568:MS572" si="736">MR567</f>
        <v>1</v>
      </c>
      <c r="MS568">
        <f t="shared" si="736"/>
        <v>2</v>
      </c>
      <c r="MT568" s="16"/>
    </row>
    <row r="569" spans="1:812" x14ac:dyDescent="0.25">
      <c r="A569" s="83" t="s">
        <v>3101</v>
      </c>
      <c r="B569" s="83" t="s">
        <v>3389</v>
      </c>
      <c r="P569" t="s">
        <v>1873</v>
      </c>
      <c r="T569" s="14" t="s">
        <v>2713</v>
      </c>
      <c r="U569">
        <v>21</v>
      </c>
      <c r="AC569" t="str">
        <f t="shared" si="732"/>
        <v>A5.4</v>
      </c>
      <c r="AD569" s="46">
        <f t="array" ref="AD569">IF(COUNTIFS(AC$340:AC569,AC569)=1,"1",VALUE(SUBSTITUTE(INDEX(AD:AD,_xlfn.XMATCH(AC569,AC$1:AC568,0,-1)),"A",""))+INDEX(AE:AE,_xlfn.XMATCH(AC569,AC$1:AC568,0,-1))+1)</f>
        <v>21</v>
      </c>
      <c r="AE569" s="46">
        <f t="array" ref="AE569">SUM(IF(ISNUMBER(FIND("TmDi",$BE$1:$AAQ$1)),IF(IFERROR(ISNUMBER(VALUE(SUBSTITUTE($BE569:$AAQ569,"B",""))),FALSE),IF(ISNUMBER(VALUE(SUBSTITUTE($BE569:$AAQ569,"B",""))),1,0),0)))</f>
        <v>0</v>
      </c>
      <c r="AF569" t="str">
        <f t="shared" si="726"/>
        <v>C21</v>
      </c>
      <c r="AG569" t="str">
        <f t="shared" si="727"/>
        <v>B21</v>
      </c>
      <c r="AP569" t="s">
        <v>2716</v>
      </c>
      <c r="AT569" t="s">
        <v>854</v>
      </c>
      <c r="AU569" t="s">
        <v>1399</v>
      </c>
      <c r="LU569" s="27"/>
      <c r="LZ569" t="str">
        <f t="shared" si="733"/>
        <v>DI4-C21</v>
      </c>
      <c r="MA569" t="str">
        <f t="shared" si="712"/>
        <v>DI4-B21</v>
      </c>
      <c r="MB569" t="s">
        <v>1893</v>
      </c>
      <c r="MC569" t="s">
        <v>1894</v>
      </c>
      <c r="MD569">
        <f t="shared" si="734"/>
        <v>11</v>
      </c>
      <c r="ME569">
        <f t="shared" si="735"/>
        <v>14</v>
      </c>
      <c r="MF569" t="str">
        <f t="shared" si="735"/>
        <v>A1</v>
      </c>
      <c r="MG569" t="str">
        <f t="shared" si="735"/>
        <v>A2</v>
      </c>
      <c r="MH569" t="str">
        <f t="shared" si="735"/>
        <v>0v3</v>
      </c>
      <c r="MI569" t="str">
        <f t="shared" si="735"/>
        <v>24v3</v>
      </c>
      <c r="MJ569" t="str">
        <f t="shared" si="735"/>
        <v>0v6</v>
      </c>
      <c r="MK569" t="str">
        <f t="shared" si="735"/>
        <v>24v6</v>
      </c>
      <c r="MR569">
        <f t="shared" si="736"/>
        <v>1</v>
      </c>
      <c r="MS569">
        <f t="shared" si="736"/>
        <v>2</v>
      </c>
      <c r="MT569" s="16"/>
    </row>
    <row r="570" spans="1:812" x14ac:dyDescent="0.25">
      <c r="A570" s="83" t="s">
        <v>3102</v>
      </c>
      <c r="B570" s="83" t="s">
        <v>3390</v>
      </c>
      <c r="P570" t="s">
        <v>1873</v>
      </c>
      <c r="T570" s="14" t="s">
        <v>2713</v>
      </c>
      <c r="U570">
        <v>21</v>
      </c>
      <c r="AC570" t="str">
        <f t="shared" si="732"/>
        <v>A5.4</v>
      </c>
      <c r="AD570" s="46">
        <f t="array" ref="AD570">IF(COUNTIFS(AC$340:AC570,AC570)=1,"1",VALUE(SUBSTITUTE(INDEX(AD:AD,_xlfn.XMATCH(AC570,AC$1:AC569,0,-1)),"A",""))+INDEX(AE:AE,_xlfn.XMATCH(AC570,AC$1:AC569,0,-1))+1)</f>
        <v>22</v>
      </c>
      <c r="AE570" s="46">
        <f t="array" ref="AE570">SUM(IF(ISNUMBER(FIND("TmDi",$BE$1:$AAQ$1)),IF(IFERROR(ISNUMBER(VALUE(SUBSTITUTE($BE570:$AAQ570,"B",""))),FALSE),IF(ISNUMBER(VALUE(SUBSTITUTE($BE570:$AAQ570,"B",""))),1,0),0)))</f>
        <v>0</v>
      </c>
      <c r="AF570" t="str">
        <f t="shared" si="726"/>
        <v>C22</v>
      </c>
      <c r="AG570" t="str">
        <f t="shared" si="727"/>
        <v>B22</v>
      </c>
      <c r="AP570" t="s">
        <v>2716</v>
      </c>
      <c r="AT570" t="s">
        <v>854</v>
      </c>
      <c r="AU570" t="s">
        <v>1399</v>
      </c>
      <c r="LU570" s="27"/>
      <c r="LZ570" t="str">
        <f t="shared" si="733"/>
        <v>DI4-C22</v>
      </c>
      <c r="MA570" t="str">
        <f t="shared" si="712"/>
        <v>DI4-B22</v>
      </c>
      <c r="MB570" t="s">
        <v>1895</v>
      </c>
      <c r="MC570" t="s">
        <v>1896</v>
      </c>
      <c r="MD570">
        <f t="shared" si="734"/>
        <v>11</v>
      </c>
      <c r="ME570">
        <f t="shared" si="735"/>
        <v>14</v>
      </c>
      <c r="MF570" t="str">
        <f t="shared" si="735"/>
        <v>A1</v>
      </c>
      <c r="MG570" t="str">
        <f t="shared" si="735"/>
        <v>A2</v>
      </c>
      <c r="MH570" t="str">
        <f t="shared" si="735"/>
        <v>0v3</v>
      </c>
      <c r="MI570" t="str">
        <f t="shared" si="735"/>
        <v>24v3</v>
      </c>
      <c r="MJ570" t="str">
        <f t="shared" si="735"/>
        <v>0v6</v>
      </c>
      <c r="MK570" t="str">
        <f t="shared" si="735"/>
        <v>24v6</v>
      </c>
      <c r="MR570">
        <f t="shared" si="736"/>
        <v>1</v>
      </c>
      <c r="MS570">
        <f t="shared" si="736"/>
        <v>2</v>
      </c>
      <c r="MT570" s="16"/>
    </row>
    <row r="571" spans="1:812" x14ac:dyDescent="0.25">
      <c r="A571" s="83" t="s">
        <v>3103</v>
      </c>
      <c r="B571" s="83" t="s">
        <v>3108</v>
      </c>
      <c r="P571" t="s">
        <v>1873</v>
      </c>
      <c r="T571" s="14" t="s">
        <v>2713</v>
      </c>
      <c r="U571">
        <v>21</v>
      </c>
      <c r="AC571" t="str">
        <f t="shared" si="732"/>
        <v>A5.4</v>
      </c>
      <c r="AD571" s="46">
        <f t="array" ref="AD571">IF(COUNTIFS(AC$340:AC571,AC571)=1,"1",VALUE(SUBSTITUTE(INDEX(AD:AD,_xlfn.XMATCH(AC571,AC$1:AC570,0,-1)),"A",""))+INDEX(AE:AE,_xlfn.XMATCH(AC571,AC$1:AC570,0,-1))+1)</f>
        <v>23</v>
      </c>
      <c r="AE571" s="46">
        <f t="array" ref="AE571">SUM(IF(ISNUMBER(FIND("TmDi",$BE$1:$AAQ$1)),IF(IFERROR(ISNUMBER(VALUE(SUBSTITUTE($BE571:$AAQ571,"B",""))),FALSE),IF(ISNUMBER(VALUE(SUBSTITUTE($BE571:$AAQ571,"B",""))),1,0),0)))</f>
        <v>0</v>
      </c>
      <c r="AF571" t="str">
        <f t="shared" si="726"/>
        <v>C23</v>
      </c>
      <c r="AG571" t="str">
        <f t="shared" si="727"/>
        <v>B23</v>
      </c>
      <c r="AP571" t="s">
        <v>2716</v>
      </c>
      <c r="AT571" t="s">
        <v>854</v>
      </c>
      <c r="AU571" t="s">
        <v>1399</v>
      </c>
      <c r="LU571" s="27"/>
      <c r="LZ571" t="str">
        <f t="shared" si="733"/>
        <v>DI4-C23</v>
      </c>
      <c r="MA571" t="str">
        <f t="shared" si="712"/>
        <v>DI4-B23</v>
      </c>
      <c r="MB571" t="s">
        <v>1897</v>
      </c>
      <c r="MC571" t="s">
        <v>1898</v>
      </c>
      <c r="MD571">
        <f t="shared" si="734"/>
        <v>11</v>
      </c>
      <c r="ME571">
        <f t="shared" si="735"/>
        <v>14</v>
      </c>
      <c r="MF571" t="str">
        <f t="shared" si="735"/>
        <v>A1</v>
      </c>
      <c r="MG571" t="str">
        <f t="shared" si="735"/>
        <v>A2</v>
      </c>
      <c r="MH571" t="str">
        <f t="shared" si="735"/>
        <v>0v3</v>
      </c>
      <c r="MI571" t="str">
        <f t="shared" si="735"/>
        <v>24v3</v>
      </c>
      <c r="MJ571" t="str">
        <f t="shared" si="735"/>
        <v>0v6</v>
      </c>
      <c r="MK571" t="str">
        <f t="shared" si="735"/>
        <v>24v6</v>
      </c>
      <c r="MR571">
        <f t="shared" si="736"/>
        <v>1</v>
      </c>
      <c r="MS571">
        <f t="shared" si="736"/>
        <v>2</v>
      </c>
      <c r="MT571" s="16"/>
    </row>
    <row r="572" spans="1:812" s="19" customFormat="1" ht="15.75" thickBot="1" x14ac:dyDescent="0.3">
      <c r="A572" s="88" t="s">
        <v>3104</v>
      </c>
      <c r="B572" s="88" t="s">
        <v>3109</v>
      </c>
      <c r="P572" s="19" t="s">
        <v>1873</v>
      </c>
      <c r="T572" s="17" t="s">
        <v>2713</v>
      </c>
      <c r="U572" s="19">
        <v>21</v>
      </c>
      <c r="AC572" s="19" t="str">
        <f t="shared" si="732"/>
        <v>A5.4</v>
      </c>
      <c r="AD572" s="64">
        <f t="array" ref="AD572">IF(COUNTIFS(AC$340:AC572,AC572)=1,"1",VALUE(SUBSTITUTE(INDEX(AD:AD,_xlfn.XMATCH(AC572,AC$1:AC571,0,-1)),"A",""))+INDEX(AE:AE,_xlfn.XMATCH(AC572,AC$1:AC571,0,-1))+1)</f>
        <v>24</v>
      </c>
      <c r="AE572" s="64">
        <f t="array" ref="AE572">SUM(IF(ISNUMBER(FIND("TmDi",$BE$1:$AAQ$1)),IF(IFERROR(ISNUMBER(VALUE(SUBSTITUTE($BE572:$AAQ572,"B",""))),FALSE),IF(ISNUMBER(VALUE(SUBSTITUTE($BE572:$AAQ572,"B",""))),1,0),0)))</f>
        <v>0</v>
      </c>
      <c r="AF572" s="19" t="str">
        <f t="shared" si="726"/>
        <v>C24</v>
      </c>
      <c r="AG572" s="19" t="str">
        <f t="shared" si="727"/>
        <v>B24</v>
      </c>
      <c r="AI572" s="70"/>
      <c r="AJ572" s="70"/>
      <c r="AP572" s="19" t="s">
        <v>2716</v>
      </c>
      <c r="AT572" s="19" t="s">
        <v>854</v>
      </c>
      <c r="AU572" s="19" t="s">
        <v>1399</v>
      </c>
      <c r="LU572" s="28"/>
      <c r="LZ572" s="19" t="str">
        <f t="shared" si="733"/>
        <v>DI4-C24</v>
      </c>
      <c r="MA572" s="19" t="str">
        <f t="shared" si="712"/>
        <v>DI4-B24</v>
      </c>
      <c r="MB572" s="19" t="s">
        <v>1899</v>
      </c>
      <c r="MC572" s="19" t="s">
        <v>1900</v>
      </c>
      <c r="MD572" s="19">
        <f t="shared" si="734"/>
        <v>11</v>
      </c>
      <c r="ME572" s="19">
        <f t="shared" si="735"/>
        <v>14</v>
      </c>
      <c r="MF572" s="19" t="str">
        <f t="shared" si="735"/>
        <v>A1</v>
      </c>
      <c r="MG572" s="19" t="str">
        <f t="shared" si="735"/>
        <v>A2</v>
      </c>
      <c r="MH572" s="19" t="str">
        <f t="shared" si="735"/>
        <v>0v3</v>
      </c>
      <c r="MI572" s="19" t="str">
        <f t="shared" si="735"/>
        <v>24v3</v>
      </c>
      <c r="MJ572" s="19" t="str">
        <f t="shared" si="735"/>
        <v>0v6</v>
      </c>
      <c r="MK572" s="19" t="str">
        <f t="shared" si="735"/>
        <v>24v6</v>
      </c>
      <c r="MR572" s="19">
        <f t="shared" si="736"/>
        <v>1</v>
      </c>
      <c r="MS572" s="19">
        <f t="shared" si="736"/>
        <v>2</v>
      </c>
      <c r="MT572" s="20"/>
    </row>
    <row r="573" spans="1:812" ht="15.75" thickBot="1" x14ac:dyDescent="0.3">
      <c r="A573" s="83" t="s">
        <v>3175</v>
      </c>
      <c r="B573" s="83" t="s">
        <v>3129</v>
      </c>
      <c r="P573" t="s">
        <v>3130</v>
      </c>
      <c r="T573" s="14" t="s">
        <v>3128</v>
      </c>
      <c r="U573">
        <v>1</v>
      </c>
      <c r="V573" s="15"/>
      <c r="W573" t="s">
        <v>3131</v>
      </c>
      <c r="X573" t="s">
        <v>400</v>
      </c>
      <c r="Y573" s="43" t="str">
        <f t="array" ref="Y573">IF(COUNTIFS($X$573:$X573,$X573)=1,"1",VALUE(SUBSTITUTE(INDEX(Y:Y,_xlfn.XMATCH($X573,$X$1:$X572,0,-1)),"A",""))+INDEX(Z:Z,_xlfn.XMATCH($X573,$X$1:$X572,0,-1))+1)</f>
        <v>1</v>
      </c>
      <c r="Z573" s="43">
        <f t="array" ref="Z573">SUM(IF(ISNUMBER(FIND("TmAi",$BE$1:$AAQ$1)),IF(IFERROR(ISODD(SUBSTITUTE($BE573:$AAQ573,"A","")),FALSE),IF(ISODD(SUBSTITUTE($BE573:$AAQ573,"A","")),1,0),0)))</f>
        <v>10</v>
      </c>
      <c r="AA573" t="str">
        <f>CONCATENATE($Y573*2-1,"A")</f>
        <v>1A</v>
      </c>
      <c r="AB573" t="str">
        <f>CONCATENATE($Y573*2-1,"B")</f>
        <v>1B</v>
      </c>
      <c r="AP573" t="s">
        <v>3134</v>
      </c>
      <c r="AS573" t="s">
        <v>396</v>
      </c>
      <c r="JZ573" s="27"/>
      <c r="KS573" s="16"/>
      <c r="MA573" t="str">
        <f t="shared" si="712"/>
        <v>DI-</v>
      </c>
      <c r="QE573" s="25" t="str">
        <f>REPLACE(X573,FIND(".",X573)+1,3,MID(X573,FIND(".",X573)+1,3)+1)</f>
        <v>A3.2</v>
      </c>
      <c r="QF573" s="12" t="str">
        <f>CONCATENATE(VALUE(SUBSTITUTE($AB573,"B",""))+2,"B")</f>
        <v>3B</v>
      </c>
      <c r="QG573" s="12" t="str">
        <f>CONCATENATE(VALUE(SUBSTITUTE($AA573,"A",""))+2,"A")</f>
        <v>3A</v>
      </c>
      <c r="QH573" s="12" t="str">
        <f>CONCATENATE(VALUE(SUBSTITUTE(QF573,"B",""))+2,"B")</f>
        <v>5B</v>
      </c>
      <c r="QI573" s="12" t="str">
        <f>CONCATENATE(VALUE(SUBSTITUTE(QG573,"A",""))+2,"A")</f>
        <v>5A</v>
      </c>
      <c r="QJ573" s="12" t="str">
        <f>CONCATENATE(VALUE(SUBSTITUTE(QH573,"B",""))+2,"B")</f>
        <v>7B</v>
      </c>
      <c r="QK573" s="12" t="str">
        <f>CONCATENATE(VALUE(SUBSTITUTE(QI573,"A",""))+2,"A")</f>
        <v>7A</v>
      </c>
      <c r="QL573" s="12" t="str">
        <f>CONCATENATE(VALUE(SUBSTITUTE(QJ573,"B",""))+2,"B")</f>
        <v>9B</v>
      </c>
      <c r="QM573" s="12" t="str">
        <f>CONCATENATE(VALUE(SUBSTITUTE(QK573,"A",""))+2,"A")</f>
        <v>9A</v>
      </c>
      <c r="QN573" s="12" t="str">
        <f>CONCATENATE(VALUE(SUBSTITUTE(QL573,"B",""))+2,"B")</f>
        <v>11B</v>
      </c>
      <c r="QO573" s="12" t="str">
        <f>CONCATENATE(VALUE(SUBSTITUTE(QM573,"A",""))+2,"A")</f>
        <v>11A</v>
      </c>
      <c r="QP573" s="12" t="s">
        <v>135</v>
      </c>
      <c r="QQ573" s="12" t="s">
        <v>136</v>
      </c>
      <c r="QR573" s="12" t="str">
        <f>CONCATENATE(VALUE(SUBSTITUTE(QP573,"B",""))+2,"B")</f>
        <v>3B</v>
      </c>
      <c r="QS573" s="12" t="str">
        <f>CONCATENATE(VALUE(SUBSTITUTE(QQ573,"A",""))+2,"A")</f>
        <v>3A</v>
      </c>
      <c r="QT573" s="12" t="str">
        <f>CONCATENATE(VALUE(SUBSTITUTE(QR573,"B",""))+2,"B")</f>
        <v>5B</v>
      </c>
      <c r="QU573" s="12" t="str">
        <f>CONCATENATE(VALUE(SUBSTITUTE(QS573,"A",""))+2,"A")</f>
        <v>5A</v>
      </c>
      <c r="QV573" s="12" t="str">
        <f>CONCATENATE(VALUE(SUBSTITUTE(QT573,"B",""))+2,"B")</f>
        <v>7B</v>
      </c>
      <c r="QW573" s="12" t="str">
        <f>CONCATENATE(VALUE(SUBSTITUTE(QU573,"A",""))+2,"A")</f>
        <v>7A</v>
      </c>
      <c r="QX573" s="12" t="str">
        <f>CONCATENATE(VALUE(SUBSTITUTE(QV573,"B",""))+2,"B")</f>
        <v>9B</v>
      </c>
      <c r="QY573" s="12" t="str">
        <f>CONCATENATE(VALUE(SUBSTITUTE(QW573,"A",""))+2,"A")</f>
        <v>9A</v>
      </c>
      <c r="QZ573" s="12"/>
      <c r="RA573" s="12"/>
      <c r="RB573" s="12" t="str">
        <f>CONCATENATE($T573,"-AI",REPLACE($X573,1,3,""),"-",AB573)</f>
        <v>E3-AI1-1B</v>
      </c>
      <c r="RC573" s="12" t="str">
        <f>CONCATENATE($T573,"-AI",REPLACE($X573,1,3,""),"-",AA573)</f>
        <v>E3-AI1-1A</v>
      </c>
      <c r="RD573" s="12" t="str">
        <f t="shared" ref="RD573:RM574" si="737">CONCATENATE($T573,"-AI",REPLACE($X573,1,3,""),"-",QF573)</f>
        <v>E3-AI1-3B</v>
      </c>
      <c r="RE573" s="12" t="str">
        <f t="shared" si="737"/>
        <v>E3-AI1-3A</v>
      </c>
      <c r="RF573" s="12" t="str">
        <f t="shared" si="737"/>
        <v>E3-AI1-5B</v>
      </c>
      <c r="RG573" s="12" t="str">
        <f t="shared" si="737"/>
        <v>E3-AI1-5A</v>
      </c>
      <c r="RH573" s="12" t="str">
        <f t="shared" si="737"/>
        <v>E3-AI1-7B</v>
      </c>
      <c r="RI573" s="12" t="str">
        <f t="shared" si="737"/>
        <v>E3-AI1-7A</v>
      </c>
      <c r="RJ573" s="12" t="str">
        <f t="shared" si="737"/>
        <v>E3-AI1-9B</v>
      </c>
      <c r="RK573" s="12" t="str">
        <f t="shared" si="737"/>
        <v>E3-AI1-9A</v>
      </c>
      <c r="RL573" s="12" t="str">
        <f t="shared" si="737"/>
        <v>E3-AI1-11B</v>
      </c>
      <c r="RM573" s="12" t="str">
        <f t="shared" si="737"/>
        <v>E3-AI1-11A</v>
      </c>
      <c r="RN573" s="12" t="str">
        <f t="shared" ref="RN573:RW574" si="738">CONCATENATE($T573,"-AI",REPLACE($QE573,1,3,""),"-",QP573)</f>
        <v>E3-AI2-1B</v>
      </c>
      <c r="RO573" s="12" t="str">
        <f t="shared" si="738"/>
        <v>E3-AI2-1A</v>
      </c>
      <c r="RP573" s="12" t="str">
        <f t="shared" si="738"/>
        <v>E3-AI2-3B</v>
      </c>
      <c r="RQ573" s="12" t="str">
        <f t="shared" si="738"/>
        <v>E3-AI2-3A</v>
      </c>
      <c r="RR573" s="12" t="str">
        <f t="shared" si="738"/>
        <v>E3-AI2-5B</v>
      </c>
      <c r="RS573" s="12" t="str">
        <f t="shared" si="738"/>
        <v>E3-AI2-5A</v>
      </c>
      <c r="RT573" s="12" t="str">
        <f t="shared" si="738"/>
        <v>E3-AI2-7B</v>
      </c>
      <c r="RU573" s="12" t="str">
        <f t="shared" si="738"/>
        <v>E3-AI2-7A</v>
      </c>
      <c r="RV573" s="12" t="str">
        <f t="shared" si="738"/>
        <v>E3-AI2-9B</v>
      </c>
      <c r="RW573" s="12" t="str">
        <f t="shared" si="738"/>
        <v>E3-AI2-9A</v>
      </c>
      <c r="RX573" s="12"/>
      <c r="RY573" s="12"/>
      <c r="RZ573" s="12" t="str">
        <f>CONCATENATE("XT",$U573)</f>
        <v>XT1</v>
      </c>
      <c r="SA573" s="12">
        <v>1</v>
      </c>
      <c r="SB573" s="12">
        <f t="shared" ref="SB573:SW573" si="739">SA573+1</f>
        <v>2</v>
      </c>
      <c r="SC573" s="12">
        <f t="shared" si="739"/>
        <v>3</v>
      </c>
      <c r="SD573" s="12">
        <f t="shared" si="739"/>
        <v>4</v>
      </c>
      <c r="SE573" s="12">
        <f t="shared" si="739"/>
        <v>5</v>
      </c>
      <c r="SF573" s="12">
        <f t="shared" si="739"/>
        <v>6</v>
      </c>
      <c r="SG573" s="12">
        <f t="shared" si="739"/>
        <v>7</v>
      </c>
      <c r="SH573" s="12">
        <f t="shared" si="739"/>
        <v>8</v>
      </c>
      <c r="SI573" s="12">
        <f t="shared" si="739"/>
        <v>9</v>
      </c>
      <c r="SJ573" s="12">
        <f t="shared" si="739"/>
        <v>10</v>
      </c>
      <c r="SK573" s="12">
        <f t="shared" si="739"/>
        <v>11</v>
      </c>
      <c r="SL573" s="12">
        <f t="shared" si="739"/>
        <v>12</v>
      </c>
      <c r="SM573" s="12">
        <f t="shared" si="739"/>
        <v>13</v>
      </c>
      <c r="SN573" s="12">
        <f t="shared" si="739"/>
        <v>14</v>
      </c>
      <c r="SO573" s="12">
        <f t="shared" si="739"/>
        <v>15</v>
      </c>
      <c r="SP573" s="12">
        <f t="shared" si="739"/>
        <v>16</v>
      </c>
      <c r="SQ573" s="12">
        <f t="shared" si="739"/>
        <v>17</v>
      </c>
      <c r="SR573" s="12">
        <f t="shared" si="739"/>
        <v>18</v>
      </c>
      <c r="SS573" s="12">
        <f t="shared" si="739"/>
        <v>19</v>
      </c>
      <c r="ST573" s="12">
        <f t="shared" si="739"/>
        <v>20</v>
      </c>
      <c r="SU573" s="12">
        <f t="shared" si="739"/>
        <v>21</v>
      </c>
      <c r="SV573" s="12">
        <f t="shared" si="739"/>
        <v>22</v>
      </c>
      <c r="SW573" s="12">
        <f t="shared" si="739"/>
        <v>23</v>
      </c>
      <c r="SX573" s="12"/>
      <c r="SY573" s="12"/>
      <c r="SZ573" s="12" t="s">
        <v>3189</v>
      </c>
      <c r="TA573" s="12" t="s">
        <v>3190</v>
      </c>
      <c r="TB573" s="12" t="s">
        <v>3191</v>
      </c>
      <c r="TC573" s="12" t="s">
        <v>3192</v>
      </c>
      <c r="TD573" s="12" t="s">
        <v>3193</v>
      </c>
      <c r="TE573" s="12" t="s">
        <v>3194</v>
      </c>
      <c r="TF573" s="12" t="s">
        <v>3195</v>
      </c>
      <c r="TG573" s="12" t="s">
        <v>3196</v>
      </c>
      <c r="TH573" s="12" t="s">
        <v>3197</v>
      </c>
      <c r="TI573" s="12" t="s">
        <v>3198</v>
      </c>
      <c r="TJ573" s="12" t="s">
        <v>3199</v>
      </c>
      <c r="TK573" s="12"/>
      <c r="TL573" s="12" t="s">
        <v>3135</v>
      </c>
      <c r="TM573" s="12" t="s">
        <v>3136</v>
      </c>
      <c r="TN573" s="12" t="s">
        <v>3137</v>
      </c>
      <c r="TO573" s="12" t="s">
        <v>3138</v>
      </c>
      <c r="TP573" s="12" t="s">
        <v>3139</v>
      </c>
      <c r="TQ573" s="12" t="s">
        <v>3140</v>
      </c>
      <c r="TR573" s="12" t="s">
        <v>3141</v>
      </c>
      <c r="TS573" s="12" t="s">
        <v>3142</v>
      </c>
      <c r="TT573" s="12" t="s">
        <v>3143</v>
      </c>
      <c r="TU573" s="12" t="s">
        <v>3144</v>
      </c>
      <c r="TV573" s="12" t="s">
        <v>3145</v>
      </c>
      <c r="TW573" s="13"/>
    </row>
    <row r="574" spans="1:812" ht="15.75" thickBot="1" x14ac:dyDescent="0.3">
      <c r="A574" s="83" t="s">
        <v>3176</v>
      </c>
      <c r="B574" s="83" t="s">
        <v>3133</v>
      </c>
      <c r="P574" t="s">
        <v>3130</v>
      </c>
      <c r="T574" s="14" t="s">
        <v>3128</v>
      </c>
      <c r="U574">
        <v>2</v>
      </c>
      <c r="V574" s="15"/>
      <c r="W574" t="s">
        <v>3132</v>
      </c>
      <c r="X574" t="s">
        <v>484</v>
      </c>
      <c r="Y574" s="43" t="str">
        <f t="array" ref="Y574">IF(COUNTIFS($X$573:$X574,$X574)=1,"1",VALUE(SUBSTITUTE(INDEX(Y:Y,_xlfn.XMATCH($X574,$X$1:$X573,0,-1)),"A",""))+INDEX(Z:Z,_xlfn.XMATCH($X574,$X$1:$X573,0,-1))+1)</f>
        <v>1</v>
      </c>
      <c r="Z574" s="43">
        <f t="array" ref="Z574">SUM(IF(ISNUMBER(FIND("TmAi",$BE$1:$AAQ$1)),IF(IFERROR(ISODD(SUBSTITUTE($BE574:$AAQ574,"A","")),FALSE),IF(ISODD(SUBSTITUTE($BE574:$AAQ574,"A","")),1,0),0)))</f>
        <v>10</v>
      </c>
      <c r="AA574" t="str">
        <f>CONCATENATE($Y574*2-1,"A")</f>
        <v>1A</v>
      </c>
      <c r="AB574" t="str">
        <f>CONCATENATE($Y574*2-1,"B")</f>
        <v>1B</v>
      </c>
      <c r="AP574" t="s">
        <v>3134</v>
      </c>
      <c r="AS574" t="s">
        <v>396</v>
      </c>
      <c r="JZ574" s="27"/>
      <c r="KS574" s="16"/>
      <c r="MA574" t="str">
        <f t="shared" si="712"/>
        <v>DI-</v>
      </c>
      <c r="QE574" s="25" t="str">
        <f>REPLACE(X574,FIND(".",X574)+1,3,MID(X574,FIND(".",X574)+1,3)+1)</f>
        <v>A3.4</v>
      </c>
      <c r="QF574" s="12" t="str">
        <f>CONCATENATE(VALUE(SUBSTITUTE($AB574,"B",""))+2,"B")</f>
        <v>3B</v>
      </c>
      <c r="QG574" s="12" t="str">
        <f>CONCATENATE(VALUE(SUBSTITUTE($AA574,"A",""))+2,"A")</f>
        <v>3A</v>
      </c>
      <c r="QH574" s="12" t="str">
        <f>CONCATENATE(VALUE(SUBSTITUTE(QF574,"B",""))+2,"B")</f>
        <v>5B</v>
      </c>
      <c r="QI574" s="12" t="str">
        <f>CONCATENATE(VALUE(SUBSTITUTE(QG574,"A",""))+2,"A")</f>
        <v>5A</v>
      </c>
      <c r="QJ574" s="12" t="str">
        <f>CONCATENATE(VALUE(SUBSTITUTE(QH574,"B",""))+2,"B")</f>
        <v>7B</v>
      </c>
      <c r="QK574" s="12" t="str">
        <f>CONCATENATE(VALUE(SUBSTITUTE(QI574,"A",""))+2,"A")</f>
        <v>7A</v>
      </c>
      <c r="QL574" s="12" t="str">
        <f>CONCATENATE(VALUE(SUBSTITUTE(QJ574,"B",""))+2,"B")</f>
        <v>9B</v>
      </c>
      <c r="QM574" s="12" t="str">
        <f>CONCATENATE(VALUE(SUBSTITUTE(QK574,"A",""))+2,"A")</f>
        <v>9A</v>
      </c>
      <c r="QN574" s="12" t="str">
        <f>CONCATENATE(VALUE(SUBSTITUTE(QL574,"B",""))+2,"B")</f>
        <v>11B</v>
      </c>
      <c r="QO574" s="12" t="str">
        <f>CONCATENATE(VALUE(SUBSTITUTE(QM574,"A",""))+2,"A")</f>
        <v>11A</v>
      </c>
      <c r="QP574" s="12" t="s">
        <v>135</v>
      </c>
      <c r="QQ574" s="12" t="s">
        <v>136</v>
      </c>
      <c r="QR574" s="12" t="str">
        <f>CONCATENATE(VALUE(SUBSTITUTE(QP574,"B",""))+2,"B")</f>
        <v>3B</v>
      </c>
      <c r="QS574" s="12" t="str">
        <f>CONCATENATE(VALUE(SUBSTITUTE(QQ574,"A",""))+2,"A")</f>
        <v>3A</v>
      </c>
      <c r="QT574" s="12" t="str">
        <f>CONCATENATE(VALUE(SUBSTITUTE(QR574,"B",""))+2,"B")</f>
        <v>5B</v>
      </c>
      <c r="QU574" s="12" t="str">
        <f>CONCATENATE(VALUE(SUBSTITUTE(QS574,"A",""))+2,"A")</f>
        <v>5A</v>
      </c>
      <c r="QV574" s="12" t="str">
        <f>CONCATENATE(VALUE(SUBSTITUTE(QT574,"B",""))+2,"B")</f>
        <v>7B</v>
      </c>
      <c r="QW574" s="12" t="str">
        <f>CONCATENATE(VALUE(SUBSTITUTE(QU574,"A",""))+2,"A")</f>
        <v>7A</v>
      </c>
      <c r="QX574" s="12" t="str">
        <f>CONCATENATE(VALUE(SUBSTITUTE(QV574,"B",""))+2,"B")</f>
        <v>9B</v>
      </c>
      <c r="QY574" s="12" t="str">
        <f>CONCATENATE(VALUE(SUBSTITUTE(QW574,"A",""))+2,"A")</f>
        <v>9A</v>
      </c>
      <c r="QZ574" s="12"/>
      <c r="RA574" s="12"/>
      <c r="RB574" s="12" t="str">
        <f>CONCATENATE($T574,"-AI",REPLACE($X574,1,3,""),"-",AB574)</f>
        <v>E3-AI3-1B</v>
      </c>
      <c r="RC574" s="12" t="str">
        <f>CONCATENATE($T574,"-AI",REPLACE($X574,1,3,""),"-",AA574)</f>
        <v>E3-AI3-1A</v>
      </c>
      <c r="RD574" s="12" t="str">
        <f t="shared" si="737"/>
        <v>E3-AI3-3B</v>
      </c>
      <c r="RE574" s="12" t="str">
        <f t="shared" si="737"/>
        <v>E3-AI3-3A</v>
      </c>
      <c r="RF574" s="12" t="str">
        <f t="shared" si="737"/>
        <v>E3-AI3-5B</v>
      </c>
      <c r="RG574" s="12" t="str">
        <f t="shared" si="737"/>
        <v>E3-AI3-5A</v>
      </c>
      <c r="RH574" s="12" t="str">
        <f t="shared" si="737"/>
        <v>E3-AI3-7B</v>
      </c>
      <c r="RI574" s="12" t="str">
        <f t="shared" si="737"/>
        <v>E3-AI3-7A</v>
      </c>
      <c r="RJ574" s="12" t="str">
        <f t="shared" si="737"/>
        <v>E3-AI3-9B</v>
      </c>
      <c r="RK574" s="12" t="str">
        <f t="shared" si="737"/>
        <v>E3-AI3-9A</v>
      </c>
      <c r="RL574" s="12" t="str">
        <f t="shared" si="737"/>
        <v>E3-AI3-11B</v>
      </c>
      <c r="RM574" s="12" t="str">
        <f t="shared" si="737"/>
        <v>E3-AI3-11A</v>
      </c>
      <c r="RN574" s="12" t="str">
        <f t="shared" si="738"/>
        <v>E3-AI4-1B</v>
      </c>
      <c r="RO574" s="12" t="str">
        <f t="shared" si="738"/>
        <v>E3-AI4-1A</v>
      </c>
      <c r="RP574" s="12" t="str">
        <f t="shared" si="738"/>
        <v>E3-AI4-3B</v>
      </c>
      <c r="RQ574" s="12" t="str">
        <f t="shared" si="738"/>
        <v>E3-AI4-3A</v>
      </c>
      <c r="RR574" s="12" t="str">
        <f t="shared" si="738"/>
        <v>E3-AI4-5B</v>
      </c>
      <c r="RS574" s="12" t="str">
        <f t="shared" si="738"/>
        <v>E3-AI4-5A</v>
      </c>
      <c r="RT574" s="12" t="str">
        <f t="shared" si="738"/>
        <v>E3-AI4-7B</v>
      </c>
      <c r="RU574" s="12" t="str">
        <f t="shared" si="738"/>
        <v>E3-AI4-7A</v>
      </c>
      <c r="RV574" s="12" t="str">
        <f t="shared" si="738"/>
        <v>E3-AI4-9B</v>
      </c>
      <c r="RW574" s="12" t="str">
        <f t="shared" si="738"/>
        <v>E3-AI4-9A</v>
      </c>
      <c r="RX574" s="12"/>
      <c r="RY574" s="12"/>
      <c r="RZ574" s="12" t="str">
        <f>CONCATENATE("XT",$U574)</f>
        <v>XT2</v>
      </c>
      <c r="SA574" s="12">
        <v>1</v>
      </c>
      <c r="SB574" s="12">
        <f t="shared" ref="SB574:SW574" si="740">SA574+1</f>
        <v>2</v>
      </c>
      <c r="SC574" s="12">
        <f t="shared" si="740"/>
        <v>3</v>
      </c>
      <c r="SD574" s="12">
        <f t="shared" si="740"/>
        <v>4</v>
      </c>
      <c r="SE574" s="12">
        <f t="shared" si="740"/>
        <v>5</v>
      </c>
      <c r="SF574" s="12">
        <f t="shared" si="740"/>
        <v>6</v>
      </c>
      <c r="SG574" s="12">
        <f t="shared" si="740"/>
        <v>7</v>
      </c>
      <c r="SH574" s="12">
        <f t="shared" si="740"/>
        <v>8</v>
      </c>
      <c r="SI574" s="12">
        <f t="shared" si="740"/>
        <v>9</v>
      </c>
      <c r="SJ574" s="12">
        <f t="shared" si="740"/>
        <v>10</v>
      </c>
      <c r="SK574" s="12">
        <f t="shared" si="740"/>
        <v>11</v>
      </c>
      <c r="SL574" s="12">
        <f t="shared" si="740"/>
        <v>12</v>
      </c>
      <c r="SM574" s="12">
        <f t="shared" si="740"/>
        <v>13</v>
      </c>
      <c r="SN574" s="12">
        <f t="shared" si="740"/>
        <v>14</v>
      </c>
      <c r="SO574" s="12">
        <f t="shared" si="740"/>
        <v>15</v>
      </c>
      <c r="SP574" s="12">
        <f t="shared" si="740"/>
        <v>16</v>
      </c>
      <c r="SQ574" s="12">
        <f t="shared" si="740"/>
        <v>17</v>
      </c>
      <c r="SR574" s="12">
        <f t="shared" si="740"/>
        <v>18</v>
      </c>
      <c r="SS574" s="12">
        <f t="shared" si="740"/>
        <v>19</v>
      </c>
      <c r="ST574" s="12">
        <f t="shared" si="740"/>
        <v>20</v>
      </c>
      <c r="SU574" s="12">
        <f t="shared" si="740"/>
        <v>21</v>
      </c>
      <c r="SV574" s="12">
        <f t="shared" si="740"/>
        <v>22</v>
      </c>
      <c r="SW574" s="12">
        <f t="shared" si="740"/>
        <v>23</v>
      </c>
      <c r="SX574" s="12"/>
      <c r="SY574" s="12"/>
      <c r="SZ574" s="12" t="s">
        <v>3200</v>
      </c>
      <c r="TA574" s="12" t="s">
        <v>3201</v>
      </c>
      <c r="TB574" s="12" t="s">
        <v>3202</v>
      </c>
      <c r="TC574" s="12" t="s">
        <v>3203</v>
      </c>
      <c r="TD574" s="12" t="s">
        <v>3204</v>
      </c>
      <c r="TE574" s="12" t="s">
        <v>3205</v>
      </c>
      <c r="TF574" s="12" t="s">
        <v>3206</v>
      </c>
      <c r="TG574" s="12" t="s">
        <v>3207</v>
      </c>
      <c r="TH574" s="12" t="s">
        <v>3208</v>
      </c>
      <c r="TI574" s="12" t="s">
        <v>3209</v>
      </c>
      <c r="TJ574" s="12" t="s">
        <v>3210</v>
      </c>
      <c r="TK574" s="12"/>
      <c r="TL574" s="12" t="s">
        <v>3135</v>
      </c>
      <c r="TM574" s="12" t="s">
        <v>3136</v>
      </c>
      <c r="TN574" s="12" t="s">
        <v>3137</v>
      </c>
      <c r="TO574" s="12" t="s">
        <v>3138</v>
      </c>
      <c r="TP574" s="12" t="s">
        <v>3139</v>
      </c>
      <c r="TQ574" s="12" t="s">
        <v>3140</v>
      </c>
      <c r="TR574" s="12" t="s">
        <v>3141</v>
      </c>
      <c r="TS574" s="12" t="s">
        <v>3142</v>
      </c>
      <c r="TT574" s="12" t="s">
        <v>3143</v>
      </c>
      <c r="TU574" s="12" t="s">
        <v>3144</v>
      </c>
      <c r="TV574" s="12" t="s">
        <v>3145</v>
      </c>
      <c r="TW574" s="13"/>
    </row>
    <row r="575" spans="1:812" x14ac:dyDescent="0.25">
      <c r="A575" s="83" t="s">
        <v>3177</v>
      </c>
      <c r="B575" s="83" t="s">
        <v>3164</v>
      </c>
      <c r="C575" t="s">
        <v>3365</v>
      </c>
      <c r="P575" t="s">
        <v>3147</v>
      </c>
      <c r="T575" s="14" t="s">
        <v>3128</v>
      </c>
      <c r="V575" t="s">
        <v>3146</v>
      </c>
      <c r="AP575" t="s">
        <v>137</v>
      </c>
      <c r="MA575" t="str">
        <f t="shared" si="712"/>
        <v>DI-</v>
      </c>
      <c r="AEB575" s="25" t="s">
        <v>3162</v>
      </c>
      <c r="AEC575" s="12">
        <v>5</v>
      </c>
      <c r="AED575" s="12" t="str">
        <f t="shared" ref="AED575:AED586" si="741">V575</f>
        <v>E3-3</v>
      </c>
      <c r="AEE575" s="12"/>
      <c r="AEF575" s="13" t="s">
        <v>3163</v>
      </c>
    </row>
    <row r="576" spans="1:812" x14ac:dyDescent="0.25">
      <c r="A576" s="83" t="s">
        <v>3178</v>
      </c>
      <c r="B576" s="83" t="s">
        <v>3249</v>
      </c>
      <c r="C576" t="s">
        <v>3365</v>
      </c>
      <c r="P576" t="s">
        <v>3147</v>
      </c>
      <c r="T576" s="14" t="s">
        <v>3128</v>
      </c>
      <c r="V576" t="s">
        <v>3149</v>
      </c>
      <c r="AP576" t="s">
        <v>137</v>
      </c>
      <c r="MA576" t="str">
        <f t="shared" si="712"/>
        <v>DI-</v>
      </c>
      <c r="AEB576" s="27" t="s">
        <v>3162</v>
      </c>
      <c r="AEC576">
        <v>8</v>
      </c>
      <c r="AED576" t="str">
        <f t="shared" si="741"/>
        <v>E3-4</v>
      </c>
      <c r="AEF576" s="16" t="s">
        <v>3163</v>
      </c>
    </row>
    <row r="577" spans="1:812" x14ac:dyDescent="0.25">
      <c r="A577" s="83" t="s">
        <v>3179</v>
      </c>
      <c r="B577" s="83" t="s">
        <v>3165</v>
      </c>
      <c r="C577" t="s">
        <v>3365</v>
      </c>
      <c r="P577" t="s">
        <v>3147</v>
      </c>
      <c r="T577" s="14" t="s">
        <v>3128</v>
      </c>
      <c r="V577" t="s">
        <v>3150</v>
      </c>
      <c r="AP577" t="s">
        <v>137</v>
      </c>
      <c r="MA577" t="str">
        <f t="shared" si="712"/>
        <v>DI-</v>
      </c>
      <c r="AEB577" s="27" t="s">
        <v>3162</v>
      </c>
      <c r="AEC577">
        <v>1</v>
      </c>
      <c r="AED577" t="str">
        <f t="shared" si="741"/>
        <v>E3-5</v>
      </c>
      <c r="AEF577" s="16" t="s">
        <v>3163</v>
      </c>
    </row>
    <row r="578" spans="1:812" x14ac:dyDescent="0.25">
      <c r="A578" s="83" t="s">
        <v>3180</v>
      </c>
      <c r="B578" s="83" t="s">
        <v>3166</v>
      </c>
      <c r="C578" t="s">
        <v>3365</v>
      </c>
      <c r="P578" t="s">
        <v>3147</v>
      </c>
      <c r="T578" s="14" t="s">
        <v>3128</v>
      </c>
      <c r="V578" t="s">
        <v>3151</v>
      </c>
      <c r="AP578" t="s">
        <v>137</v>
      </c>
      <c r="MA578" t="str">
        <f t="shared" si="712"/>
        <v>DI-</v>
      </c>
      <c r="AEB578" s="27" t="s">
        <v>3162</v>
      </c>
      <c r="AEC578">
        <v>2</v>
      </c>
      <c r="AED578" t="str">
        <f t="shared" si="741"/>
        <v>E3-6</v>
      </c>
      <c r="AEF578" s="16" t="s">
        <v>3163</v>
      </c>
    </row>
    <row r="579" spans="1:812" x14ac:dyDescent="0.25">
      <c r="A579" s="83" t="s">
        <v>3181</v>
      </c>
      <c r="B579" s="83" t="s">
        <v>3167</v>
      </c>
      <c r="C579" t="s">
        <v>3365</v>
      </c>
      <c r="P579" t="s">
        <v>3147</v>
      </c>
      <c r="T579" s="14" t="s">
        <v>3128</v>
      </c>
      <c r="V579" t="s">
        <v>3152</v>
      </c>
      <c r="AP579" t="s">
        <v>137</v>
      </c>
      <c r="MA579" t="str">
        <f t="shared" si="712"/>
        <v>DI-</v>
      </c>
      <c r="AEB579" s="27" t="s">
        <v>3162</v>
      </c>
      <c r="AEC579">
        <v>3</v>
      </c>
      <c r="AED579" t="str">
        <f t="shared" si="741"/>
        <v>E3-7</v>
      </c>
      <c r="AEF579" s="16" t="s">
        <v>3163</v>
      </c>
    </row>
    <row r="580" spans="1:812" x14ac:dyDescent="0.25">
      <c r="A580" s="83" t="s">
        <v>3182</v>
      </c>
      <c r="B580" s="83" t="s">
        <v>3168</v>
      </c>
      <c r="C580" t="s">
        <v>3365</v>
      </c>
      <c r="P580" t="s">
        <v>3147</v>
      </c>
      <c r="T580" s="14" t="s">
        <v>3128</v>
      </c>
      <c r="V580" t="s">
        <v>3153</v>
      </c>
      <c r="AP580" t="s">
        <v>137</v>
      </c>
      <c r="MA580" t="str">
        <f t="shared" si="712"/>
        <v>DI-</v>
      </c>
      <c r="AEB580" s="27" t="s">
        <v>3162</v>
      </c>
      <c r="AEC580">
        <v>4</v>
      </c>
      <c r="AED580" t="str">
        <f t="shared" si="741"/>
        <v>E3-8</v>
      </c>
      <c r="AEF580" s="16" t="s">
        <v>3163</v>
      </c>
    </row>
    <row r="581" spans="1:812" x14ac:dyDescent="0.25">
      <c r="A581" s="83" t="s">
        <v>3183</v>
      </c>
      <c r="B581" s="83" t="s">
        <v>3169</v>
      </c>
      <c r="C581" t="s">
        <v>3365</v>
      </c>
      <c r="P581" t="s">
        <v>3147</v>
      </c>
      <c r="T581" s="14" t="s">
        <v>3128</v>
      </c>
      <c r="V581" t="s">
        <v>3154</v>
      </c>
      <c r="AP581" t="s">
        <v>137</v>
      </c>
      <c r="MA581" t="str">
        <f t="shared" si="712"/>
        <v>DI-</v>
      </c>
      <c r="AEB581" s="27" t="s">
        <v>3162</v>
      </c>
      <c r="AEC581">
        <v>6</v>
      </c>
      <c r="AED581" t="str">
        <f t="shared" si="741"/>
        <v>E3-9</v>
      </c>
      <c r="AEF581" s="16" t="s">
        <v>3163</v>
      </c>
    </row>
    <row r="582" spans="1:812" x14ac:dyDescent="0.25">
      <c r="A582" s="83" t="s">
        <v>3184</v>
      </c>
      <c r="B582" s="83" t="s">
        <v>3170</v>
      </c>
      <c r="C582" t="s">
        <v>3365</v>
      </c>
      <c r="P582" t="s">
        <v>3147</v>
      </c>
      <c r="T582" s="14" t="s">
        <v>3128</v>
      </c>
      <c r="V582" t="s">
        <v>3155</v>
      </c>
      <c r="AP582" t="s">
        <v>137</v>
      </c>
      <c r="MA582" t="str">
        <f t="shared" si="712"/>
        <v>DI-</v>
      </c>
      <c r="AEB582" s="27" t="s">
        <v>3162</v>
      </c>
      <c r="AEC582">
        <v>7</v>
      </c>
      <c r="AED582" t="str">
        <f t="shared" si="741"/>
        <v>E3-10</v>
      </c>
      <c r="AEF582" s="16" t="s">
        <v>3163</v>
      </c>
    </row>
    <row r="583" spans="1:812" x14ac:dyDescent="0.25">
      <c r="A583" s="83" t="s">
        <v>3185</v>
      </c>
      <c r="B583" s="83" t="s">
        <v>3171</v>
      </c>
      <c r="C583" t="s">
        <v>3365</v>
      </c>
      <c r="P583" t="s">
        <v>3147</v>
      </c>
      <c r="T583" s="14" t="s">
        <v>3128</v>
      </c>
      <c r="V583" t="s">
        <v>3156</v>
      </c>
      <c r="AP583" t="s">
        <v>137</v>
      </c>
      <c r="MA583" t="str">
        <f t="shared" si="712"/>
        <v>DI-</v>
      </c>
      <c r="AEB583" s="27" t="s">
        <v>3162</v>
      </c>
      <c r="AEC583">
        <v>9</v>
      </c>
      <c r="AED583" t="str">
        <f t="shared" si="741"/>
        <v>E3-11</v>
      </c>
      <c r="AEF583" s="16" t="s">
        <v>3163</v>
      </c>
    </row>
    <row r="584" spans="1:812" x14ac:dyDescent="0.25">
      <c r="A584" s="83" t="s">
        <v>3186</v>
      </c>
      <c r="B584" s="83" t="s">
        <v>3172</v>
      </c>
      <c r="C584" t="s">
        <v>3365</v>
      </c>
      <c r="P584" t="s">
        <v>3147</v>
      </c>
      <c r="T584" s="14" t="s">
        <v>3128</v>
      </c>
      <c r="V584" t="s">
        <v>3157</v>
      </c>
      <c r="AP584" t="s">
        <v>137</v>
      </c>
      <c r="MA584" t="str">
        <f t="shared" si="712"/>
        <v>DI-</v>
      </c>
      <c r="AEB584" s="27" t="s">
        <v>3162</v>
      </c>
      <c r="AEC584">
        <v>10</v>
      </c>
      <c r="AED584" t="str">
        <f t="shared" si="741"/>
        <v>E3-12</v>
      </c>
      <c r="AEF584" s="16" t="s">
        <v>3163</v>
      </c>
    </row>
    <row r="585" spans="1:812" x14ac:dyDescent="0.25">
      <c r="A585" s="83" t="s">
        <v>3187</v>
      </c>
      <c r="B585" s="83" t="s">
        <v>3173</v>
      </c>
      <c r="C585" t="s">
        <v>3365</v>
      </c>
      <c r="P585" t="s">
        <v>3147</v>
      </c>
      <c r="T585" s="14" t="s">
        <v>3128</v>
      </c>
      <c r="V585" t="s">
        <v>3158</v>
      </c>
      <c r="AP585" t="s">
        <v>137</v>
      </c>
      <c r="MA585" t="str">
        <f t="shared" si="712"/>
        <v>DI-</v>
      </c>
      <c r="AEB585" s="27" t="s">
        <v>3162</v>
      </c>
      <c r="AEC585">
        <v>11</v>
      </c>
      <c r="AED585" t="str">
        <f t="shared" si="741"/>
        <v>E3-13</v>
      </c>
      <c r="AEF585" s="16" t="s">
        <v>3163</v>
      </c>
    </row>
    <row r="586" spans="1:812" ht="15.75" thickBot="1" x14ac:dyDescent="0.3">
      <c r="A586" s="83" t="s">
        <v>3188</v>
      </c>
      <c r="B586" s="83" t="s">
        <v>3174</v>
      </c>
      <c r="C586" t="s">
        <v>3365</v>
      </c>
      <c r="P586" t="s">
        <v>3147</v>
      </c>
      <c r="T586" s="14" t="s">
        <v>3128</v>
      </c>
      <c r="V586" t="s">
        <v>3159</v>
      </c>
      <c r="AP586" t="s">
        <v>137</v>
      </c>
      <c r="MA586" t="str">
        <f t="shared" si="712"/>
        <v>DI-</v>
      </c>
      <c r="AEB586" s="27" t="s">
        <v>3162</v>
      </c>
      <c r="AEC586">
        <v>12</v>
      </c>
      <c r="AED586" t="str">
        <f t="shared" si="741"/>
        <v>E3-14</v>
      </c>
      <c r="AEF586" s="16" t="s">
        <v>3163</v>
      </c>
    </row>
    <row r="587" spans="1:812" x14ac:dyDescent="0.25">
      <c r="A587" s="83" t="s">
        <v>3312</v>
      </c>
      <c r="B587" s="83" t="s">
        <v>3319</v>
      </c>
      <c r="P587" t="s">
        <v>1873</v>
      </c>
      <c r="T587" s="14" t="s">
        <v>3128</v>
      </c>
      <c r="AC587" t="s">
        <v>131</v>
      </c>
      <c r="AD587" s="43">
        <v>1</v>
      </c>
      <c r="AE587" s="43">
        <f t="array" ref="AE587">SUM(IF(ISNUMBER(FIND("TmDi",$BE$1:$AAQ$1)),IF(IFERROR(ISNUMBER(VALUE(SUBSTITUTE($BE587:$AAQ587,"B",""))),FALSE),IF(ISNUMBER(VALUE(SUBSTITUTE($BE587:$AAQ587,"B",""))),1,0),0)))</f>
        <v>0</v>
      </c>
      <c r="AF587" t="str">
        <f t="shared" ref="AF587:AF593" si="742">CONCATENATE("C",$AD587)</f>
        <v>C1</v>
      </c>
      <c r="AG587" t="str">
        <f t="shared" ref="AG587:AG593" si="743">CONCATENATE("B",$AD587)</f>
        <v>B1</v>
      </c>
      <c r="AP587" t="s">
        <v>3134</v>
      </c>
      <c r="AT587" t="s">
        <v>854</v>
      </c>
      <c r="AU587" t="s">
        <v>1399</v>
      </c>
      <c r="LZ587" s="25" t="str">
        <f>CONCATENATE("DI",REPLACE($AC587,1,3,""),"-",$AF587)</f>
        <v>DI1-C1</v>
      </c>
      <c r="MA587" s="12" t="str">
        <f t="shared" si="712"/>
        <v>DI1-B1</v>
      </c>
      <c r="MB587" s="12" t="s">
        <v>1884</v>
      </c>
      <c r="MC587" s="12" t="s">
        <v>1883</v>
      </c>
      <c r="MD587" s="12">
        <v>11</v>
      </c>
      <c r="ME587" s="12">
        <v>14</v>
      </c>
      <c r="MF587" s="12" t="s">
        <v>142</v>
      </c>
      <c r="MG587" s="12" t="s">
        <v>143</v>
      </c>
      <c r="MH587" s="12" t="s">
        <v>488</v>
      </c>
      <c r="MI587" s="12" t="s">
        <v>487</v>
      </c>
      <c r="MJ587" s="12" t="s">
        <v>414</v>
      </c>
      <c r="MK587" s="12" t="s">
        <v>413</v>
      </c>
      <c r="ML587" s="12"/>
      <c r="MM587" s="12"/>
      <c r="MN587" s="12"/>
      <c r="MO587" s="12"/>
      <c r="MP587" s="12"/>
      <c r="MQ587" s="12"/>
      <c r="MR587" s="12">
        <v>1</v>
      </c>
      <c r="MS587" s="13">
        <v>2</v>
      </c>
      <c r="MT587" s="27"/>
    </row>
    <row r="588" spans="1:812" x14ac:dyDescent="0.25">
      <c r="A588" s="83" t="s">
        <v>3313</v>
      </c>
      <c r="B588" s="83" t="s">
        <v>3320</v>
      </c>
      <c r="P588" t="s">
        <v>1873</v>
      </c>
      <c r="T588" s="14" t="s">
        <v>3128</v>
      </c>
      <c r="AC588" t="str">
        <f t="shared" ref="AC588:AC593" si="744">IF(AD587+AE587&gt;31,REPLACE(AC587,LEN(AC587),1,VALUE(RIGHT(AC587,1))+1),AC587)</f>
        <v>A5.1</v>
      </c>
      <c r="AD588" s="43">
        <f t="array" ref="AD588">IF(COUNTIFS(AC$2:AC588,AC588)=1,"1",VALUE(SUBSTITUTE(INDEX(AD:AD,_xlfn.XMATCH(AC588,AC$1:AC587,0,-1)),"A",""))+INDEX(AE:AE,_xlfn.XMATCH(AC588,AC$1:AC587,0,-1))+1)</f>
        <v>2</v>
      </c>
      <c r="AE588" s="43">
        <f t="array" ref="AE588">SUM(IF(ISNUMBER(FIND("TmDi",$BE$1:$AAQ$1)),IF(IFERROR(ISNUMBER(VALUE(SUBSTITUTE($BE588:$AAQ588,"B",""))),FALSE),IF(ISNUMBER(VALUE(SUBSTITUTE($BE588:$AAQ588,"B",""))),1,0),0)))</f>
        <v>0</v>
      </c>
      <c r="AF588" t="str">
        <f t="shared" si="742"/>
        <v>C2</v>
      </c>
      <c r="AG588" t="str">
        <f t="shared" si="743"/>
        <v>B2</v>
      </c>
      <c r="AP588" t="s">
        <v>3134</v>
      </c>
      <c r="AT588" t="s">
        <v>854</v>
      </c>
      <c r="AU588" t="s">
        <v>1399</v>
      </c>
      <c r="LZ588" s="27" t="str">
        <f>CONCATENATE("DI",REPLACE($AC588,1,3,""),"-",$AF588)</f>
        <v>DI1-C2</v>
      </c>
      <c r="MA588" t="str">
        <f t="shared" si="712"/>
        <v>DI1-B2</v>
      </c>
      <c r="MB588" t="s">
        <v>1885</v>
      </c>
      <c r="MC588" t="s">
        <v>1886</v>
      </c>
      <c r="MD588">
        <f t="shared" ref="MD588:MK588" si="745">MD587</f>
        <v>11</v>
      </c>
      <c r="ME588">
        <f t="shared" si="745"/>
        <v>14</v>
      </c>
      <c r="MF588" t="str">
        <f t="shared" si="745"/>
        <v>A1</v>
      </c>
      <c r="MG588" t="str">
        <f t="shared" si="745"/>
        <v>A2</v>
      </c>
      <c r="MH588" t="str">
        <f t="shared" si="745"/>
        <v>0v3</v>
      </c>
      <c r="MI588" t="str">
        <f t="shared" si="745"/>
        <v>24v3</v>
      </c>
      <c r="MJ588" t="str">
        <f t="shared" si="745"/>
        <v>0v6</v>
      </c>
      <c r="MK588" t="str">
        <f t="shared" si="745"/>
        <v>24v6</v>
      </c>
      <c r="MR588">
        <f t="shared" ref="MR588:MS593" si="746">MR587</f>
        <v>1</v>
      </c>
      <c r="MS588" s="16">
        <f t="shared" si="746"/>
        <v>2</v>
      </c>
    </row>
    <row r="589" spans="1:812" x14ac:dyDescent="0.25">
      <c r="A589" s="83" t="s">
        <v>3314</v>
      </c>
      <c r="B589" s="83" t="s">
        <v>3321</v>
      </c>
      <c r="P589" t="s">
        <v>1873</v>
      </c>
      <c r="T589" s="14" t="s">
        <v>3128</v>
      </c>
      <c r="AC589" t="str">
        <f t="shared" si="744"/>
        <v>A5.1</v>
      </c>
      <c r="AD589" s="43">
        <f t="array" ref="AD589">IF(COUNTIFS(AC$2:AC589,AC589)=1,"1",VALUE(SUBSTITUTE(INDEX(AD:AD,_xlfn.XMATCH(AC589,AC$1:AC588,0,-1)),"A",""))+INDEX(AE:AE,_xlfn.XMATCH(AC589,AC$1:AC588,0,-1))+1)</f>
        <v>3</v>
      </c>
      <c r="AE589" s="43">
        <f t="array" ref="AE589">SUM(IF(ISNUMBER(FIND("TmDi",$BE$1:$AAQ$1)),IF(IFERROR(ISNUMBER(VALUE(SUBSTITUTE($BE589:$AAQ589,"B",""))),FALSE),IF(ISNUMBER(VALUE(SUBSTITUTE($BE589:$AAQ589,"B",""))),1,0),0)))</f>
        <v>0</v>
      </c>
      <c r="AF589" t="str">
        <f t="shared" si="742"/>
        <v>C3</v>
      </c>
      <c r="AG589" t="str">
        <f t="shared" si="743"/>
        <v>B3</v>
      </c>
      <c r="AP589" t="s">
        <v>3134</v>
      </c>
      <c r="AT589" t="s">
        <v>854</v>
      </c>
      <c r="AU589" t="s">
        <v>1399</v>
      </c>
      <c r="LZ589" s="27" t="str">
        <f t="shared" ref="LZ589:LZ593" si="747">CONCATENATE("DI",REPLACE($AC589,1,3,""),"-",$AF589)</f>
        <v>DI1-C3</v>
      </c>
      <c r="MA589" t="str">
        <f t="shared" si="712"/>
        <v>DI1-B3</v>
      </c>
      <c r="MB589" t="s">
        <v>1887</v>
      </c>
      <c r="MC589" t="s">
        <v>1888</v>
      </c>
      <c r="MD589">
        <f t="shared" ref="MD589:MK589" si="748">MD588</f>
        <v>11</v>
      </c>
      <c r="ME589">
        <f t="shared" si="748"/>
        <v>14</v>
      </c>
      <c r="MF589" t="str">
        <f t="shared" si="748"/>
        <v>A1</v>
      </c>
      <c r="MG589" t="str">
        <f t="shared" si="748"/>
        <v>A2</v>
      </c>
      <c r="MH589" t="str">
        <f t="shared" si="748"/>
        <v>0v3</v>
      </c>
      <c r="MI589" t="str">
        <f t="shared" si="748"/>
        <v>24v3</v>
      </c>
      <c r="MJ589" t="str">
        <f t="shared" si="748"/>
        <v>0v6</v>
      </c>
      <c r="MK589" t="str">
        <f t="shared" si="748"/>
        <v>24v6</v>
      </c>
      <c r="MR589">
        <f t="shared" si="746"/>
        <v>1</v>
      </c>
      <c r="MS589" s="16">
        <f t="shared" si="746"/>
        <v>2</v>
      </c>
    </row>
    <row r="590" spans="1:812" x14ac:dyDescent="0.25">
      <c r="A590" s="83" t="s">
        <v>3315</v>
      </c>
      <c r="B590" s="83" t="s">
        <v>3322</v>
      </c>
      <c r="P590" t="s">
        <v>1873</v>
      </c>
      <c r="T590" s="14" t="s">
        <v>3128</v>
      </c>
      <c r="AC590" t="str">
        <f t="shared" si="744"/>
        <v>A5.1</v>
      </c>
      <c r="AD590" s="43">
        <f t="array" ref="AD590">IF(COUNTIFS(AC$2:AC590,AC590)=1,"1",VALUE(SUBSTITUTE(INDEX(AD:AD,_xlfn.XMATCH(AC590,AC$1:AC589,0,-1)),"A",""))+INDEX(AE:AE,_xlfn.XMATCH(AC590,AC$1:AC589,0,-1))+1)</f>
        <v>4</v>
      </c>
      <c r="AE590" s="43">
        <f t="array" ref="AE590">SUM(IF(ISNUMBER(FIND("TmDi",$BE$1:$AAQ$1)),IF(IFERROR(ISNUMBER(VALUE(SUBSTITUTE($BE590:$AAQ590,"B",""))),FALSE),IF(ISNUMBER(VALUE(SUBSTITUTE($BE590:$AAQ590,"B",""))),1,0),0)))</f>
        <v>0</v>
      </c>
      <c r="AF590" t="str">
        <f t="shared" si="742"/>
        <v>C4</v>
      </c>
      <c r="AG590" t="str">
        <f t="shared" si="743"/>
        <v>B4</v>
      </c>
      <c r="AP590" t="s">
        <v>3134</v>
      </c>
      <c r="AT590" t="s">
        <v>854</v>
      </c>
      <c r="AU590" t="s">
        <v>1399</v>
      </c>
      <c r="LZ590" s="27" t="str">
        <f t="shared" si="747"/>
        <v>DI1-C4</v>
      </c>
      <c r="MA590" t="str">
        <f t="shared" si="712"/>
        <v>DI1-B4</v>
      </c>
      <c r="MB590" t="s">
        <v>1889</v>
      </c>
      <c r="MC590" t="s">
        <v>1890</v>
      </c>
      <c r="MD590">
        <f t="shared" ref="MD590:MK590" si="749">MD589</f>
        <v>11</v>
      </c>
      <c r="ME590">
        <f t="shared" si="749"/>
        <v>14</v>
      </c>
      <c r="MF590" t="str">
        <f t="shared" si="749"/>
        <v>A1</v>
      </c>
      <c r="MG590" t="str">
        <f t="shared" si="749"/>
        <v>A2</v>
      </c>
      <c r="MH590" t="str">
        <f t="shared" si="749"/>
        <v>0v3</v>
      </c>
      <c r="MI590" t="str">
        <f t="shared" si="749"/>
        <v>24v3</v>
      </c>
      <c r="MJ590" t="str">
        <f t="shared" si="749"/>
        <v>0v6</v>
      </c>
      <c r="MK590" t="str">
        <f t="shared" si="749"/>
        <v>24v6</v>
      </c>
      <c r="MR590">
        <f t="shared" si="746"/>
        <v>1</v>
      </c>
      <c r="MS590" s="16">
        <f t="shared" si="746"/>
        <v>2</v>
      </c>
    </row>
    <row r="591" spans="1:812" x14ac:dyDescent="0.25">
      <c r="A591" s="83" t="s">
        <v>3316</v>
      </c>
      <c r="B591" s="83" t="s">
        <v>3323</v>
      </c>
      <c r="P591" t="s">
        <v>1873</v>
      </c>
      <c r="T591" s="14" t="s">
        <v>3128</v>
      </c>
      <c r="AC591" t="str">
        <f t="shared" si="744"/>
        <v>A5.1</v>
      </c>
      <c r="AD591" s="43">
        <f t="array" ref="AD591">IF(COUNTIFS(AC$2:AC591,AC591)=1,"1",VALUE(SUBSTITUTE(INDEX(AD:AD,_xlfn.XMATCH(AC591,AC$1:AC590,0,-1)),"A",""))+INDEX(AE:AE,_xlfn.XMATCH(AC591,AC$1:AC590,0,-1))+1)</f>
        <v>5</v>
      </c>
      <c r="AE591" s="43">
        <f t="array" ref="AE591">SUM(IF(ISNUMBER(FIND("TmDi",$BE$1:$AAQ$1)),IF(IFERROR(ISNUMBER(VALUE(SUBSTITUTE($BE591:$AAQ591,"B",""))),FALSE),IF(ISNUMBER(VALUE(SUBSTITUTE($BE591:$AAQ591,"B",""))),1,0),0)))</f>
        <v>0</v>
      </c>
      <c r="AF591" t="str">
        <f t="shared" si="742"/>
        <v>C5</v>
      </c>
      <c r="AG591" t="str">
        <f t="shared" si="743"/>
        <v>B5</v>
      </c>
      <c r="AP591" t="s">
        <v>3134</v>
      </c>
      <c r="AT591" t="s">
        <v>854</v>
      </c>
      <c r="AU591" t="s">
        <v>1399</v>
      </c>
      <c r="LZ591" s="27" t="str">
        <f t="shared" si="747"/>
        <v>DI1-C5</v>
      </c>
      <c r="MA591" t="str">
        <f t="shared" si="712"/>
        <v>DI1-B5</v>
      </c>
      <c r="MB591" t="s">
        <v>1891</v>
      </c>
      <c r="MC591" t="s">
        <v>1892</v>
      </c>
      <c r="MD591">
        <f t="shared" ref="MD591:MK591" si="750">MD590</f>
        <v>11</v>
      </c>
      <c r="ME591">
        <f t="shared" si="750"/>
        <v>14</v>
      </c>
      <c r="MF591" t="str">
        <f t="shared" si="750"/>
        <v>A1</v>
      </c>
      <c r="MG591" t="str">
        <f t="shared" si="750"/>
        <v>A2</v>
      </c>
      <c r="MH591" t="str">
        <f t="shared" si="750"/>
        <v>0v3</v>
      </c>
      <c r="MI591" t="str">
        <f t="shared" si="750"/>
        <v>24v3</v>
      </c>
      <c r="MJ591" t="str">
        <f t="shared" si="750"/>
        <v>0v6</v>
      </c>
      <c r="MK591" t="str">
        <f t="shared" si="750"/>
        <v>24v6</v>
      </c>
      <c r="MR591">
        <f t="shared" si="746"/>
        <v>1</v>
      </c>
      <c r="MS591" s="16">
        <f t="shared" si="746"/>
        <v>2</v>
      </c>
    </row>
    <row r="592" spans="1:812" x14ac:dyDescent="0.25">
      <c r="A592" s="83" t="s">
        <v>3317</v>
      </c>
      <c r="B592" s="83" t="s">
        <v>3388</v>
      </c>
      <c r="P592" t="s">
        <v>1873</v>
      </c>
      <c r="T592" s="14" t="s">
        <v>3128</v>
      </c>
      <c r="AC592" t="str">
        <f t="shared" si="744"/>
        <v>A5.1</v>
      </c>
      <c r="AD592" s="43">
        <f t="array" ref="AD592">IF(COUNTIFS(AC$2:AC592,AC592)=1,"1",VALUE(SUBSTITUTE(INDEX(AD:AD,_xlfn.XMATCH(AC592,AC$1:AC591,0,-1)),"A",""))+INDEX(AE:AE,_xlfn.XMATCH(AC592,AC$1:AC591,0,-1))+1)</f>
        <v>6</v>
      </c>
      <c r="AE592" s="43">
        <f t="array" ref="AE592">SUM(IF(ISNUMBER(FIND("TmDi",$BE$1:$AAQ$1)),IF(IFERROR(ISNUMBER(VALUE(SUBSTITUTE($BE592:$AAQ592,"B",""))),FALSE),IF(ISNUMBER(VALUE(SUBSTITUTE($BE592:$AAQ592,"B",""))),1,0),0)))</f>
        <v>0</v>
      </c>
      <c r="AF592" t="str">
        <f t="shared" si="742"/>
        <v>C6</v>
      </c>
      <c r="AG592" t="str">
        <f t="shared" si="743"/>
        <v>B6</v>
      </c>
      <c r="AP592" t="s">
        <v>3134</v>
      </c>
      <c r="AT592" t="s">
        <v>854</v>
      </c>
      <c r="AU592" t="s">
        <v>1399</v>
      </c>
      <c r="LZ592" s="27" t="str">
        <f t="shared" si="747"/>
        <v>DI1-C6</v>
      </c>
      <c r="MA592" t="str">
        <f t="shared" si="712"/>
        <v>DI1-B6</v>
      </c>
      <c r="MB592" t="s">
        <v>1893</v>
      </c>
      <c r="MC592" t="s">
        <v>1894</v>
      </c>
      <c r="MD592">
        <f t="shared" ref="MD592:MK593" si="751">MD591</f>
        <v>11</v>
      </c>
      <c r="ME592">
        <f t="shared" si="751"/>
        <v>14</v>
      </c>
      <c r="MF592" t="str">
        <f t="shared" si="751"/>
        <v>A1</v>
      </c>
      <c r="MG592" t="str">
        <f t="shared" si="751"/>
        <v>A2</v>
      </c>
      <c r="MH592" t="str">
        <f t="shared" si="751"/>
        <v>0v3</v>
      </c>
      <c r="MI592" t="str">
        <f t="shared" si="751"/>
        <v>24v3</v>
      </c>
      <c r="MJ592" t="str">
        <f t="shared" si="751"/>
        <v>0v6</v>
      </c>
      <c r="MK592" t="str">
        <f t="shared" si="751"/>
        <v>24v6</v>
      </c>
      <c r="MR592">
        <f t="shared" si="746"/>
        <v>1</v>
      </c>
      <c r="MS592" s="16">
        <f t="shared" si="746"/>
        <v>2</v>
      </c>
    </row>
    <row r="593" spans="1:824" ht="15.75" thickBot="1" x14ac:dyDescent="0.3">
      <c r="A593" s="83" t="s">
        <v>3318</v>
      </c>
      <c r="B593" s="83" t="s">
        <v>3324</v>
      </c>
      <c r="P593" t="s">
        <v>1873</v>
      </c>
      <c r="T593" s="14" t="s">
        <v>3128</v>
      </c>
      <c r="AC593" t="str">
        <f t="shared" si="744"/>
        <v>A5.1</v>
      </c>
      <c r="AD593" s="43">
        <f t="array" ref="AD593">IF(COUNTIFS(AC$2:AC593,AC593)=1,"1",VALUE(SUBSTITUTE(INDEX(AD:AD,_xlfn.XMATCH(AC593,AC$1:AC592,0,-1)),"A",""))+INDEX(AE:AE,_xlfn.XMATCH(AC593,AC$1:AC592,0,-1))+1)</f>
        <v>7</v>
      </c>
      <c r="AE593" s="43">
        <f t="array" ref="AE593">SUM(IF(ISNUMBER(FIND("TmDi",$BE$1:$AAQ$1)),IF(IFERROR(ISNUMBER(VALUE(SUBSTITUTE($BE593:$AAQ593,"B",""))),FALSE),IF(ISNUMBER(VALUE(SUBSTITUTE($BE593:$AAQ593,"B",""))),1,0),0)))</f>
        <v>0</v>
      </c>
      <c r="AF593" t="str">
        <f t="shared" si="742"/>
        <v>C7</v>
      </c>
      <c r="AG593" t="str">
        <f t="shared" si="743"/>
        <v>B7</v>
      </c>
      <c r="AP593" t="s">
        <v>3134</v>
      </c>
      <c r="AT593" t="s">
        <v>854</v>
      </c>
      <c r="AU593" t="s">
        <v>1399</v>
      </c>
      <c r="LZ593" s="27" t="str">
        <f t="shared" si="747"/>
        <v>DI1-C7</v>
      </c>
      <c r="MA593" t="str">
        <f t="shared" si="712"/>
        <v>DI1-B7</v>
      </c>
      <c r="MB593" t="s">
        <v>1895</v>
      </c>
      <c r="MC593" t="s">
        <v>1896</v>
      </c>
      <c r="MD593">
        <f t="shared" si="751"/>
        <v>11</v>
      </c>
      <c r="ME593">
        <f t="shared" si="751"/>
        <v>14</v>
      </c>
      <c r="MF593" t="str">
        <f t="shared" si="751"/>
        <v>A1</v>
      </c>
      <c r="MG593" t="str">
        <f t="shared" si="751"/>
        <v>A2</v>
      </c>
      <c r="MH593" t="str">
        <f t="shared" si="751"/>
        <v>0v3</v>
      </c>
      <c r="MI593" t="str">
        <f t="shared" si="751"/>
        <v>24v3</v>
      </c>
      <c r="MJ593" t="str">
        <f t="shared" si="751"/>
        <v>0v6</v>
      </c>
      <c r="MK593" t="str">
        <f t="shared" si="751"/>
        <v>24v6</v>
      </c>
      <c r="MR593">
        <f t="shared" si="746"/>
        <v>1</v>
      </c>
      <c r="MS593" s="16">
        <f t="shared" si="746"/>
        <v>2</v>
      </c>
    </row>
    <row r="594" spans="1:824" x14ac:dyDescent="0.25">
      <c r="A594" s="83" t="s">
        <v>3327</v>
      </c>
      <c r="B594" s="83" t="s">
        <v>3328</v>
      </c>
      <c r="C594" t="s">
        <v>3357</v>
      </c>
      <c r="P594" t="s">
        <v>3148</v>
      </c>
      <c r="T594" s="14" t="s">
        <v>3128</v>
      </c>
      <c r="AD594" s="43"/>
      <c r="AE594" s="43"/>
      <c r="AH594" t="s">
        <v>132</v>
      </c>
      <c r="AI594" s="69" t="str">
        <f t="array" ref="AI594">IF(COUNTIFS(AH$573:AH594,AH594)=1,"1",VALUE(SUBSTITUTE(INDEX(AI:AI,_xlfn.XMATCH(AH594,AH$1:AH593,0,-1)),"A",""))+INDEX(AJ:AJ,_xlfn.XMATCH(AH594,AH$1:AH593,0,-1))+1)</f>
        <v>1</v>
      </c>
      <c r="AJ594" s="62">
        <f t="array" ref="AJ594">SUM(IF(ISNUMBER(FIND("TmDo",$BE$1:$AAQ$1)),IF(IFERROR(ISNUMBER(VALUE(SUBSTITUTE($BE594:$AAQ594,"B",""))),FALSE),IF(ISNUMBER(VALUE(SUBSTITUTE($BE594:$AAQ594,"B",""))),1,0),0)))</f>
        <v>0</v>
      </c>
      <c r="AK594" t="str">
        <f>CONCATENATE($AI594,"A")</f>
        <v>1A</v>
      </c>
      <c r="AL594" t="str">
        <f>CONCATENATE($AI594,"B")</f>
        <v>1B</v>
      </c>
      <c r="AP594" t="s">
        <v>3134</v>
      </c>
      <c r="AT594" t="s">
        <v>854</v>
      </c>
      <c r="AU594" t="s">
        <v>1399</v>
      </c>
      <c r="LZ594" s="27"/>
      <c r="MA594" t="str">
        <f t="shared" si="712"/>
        <v>DI-</v>
      </c>
      <c r="MS594" s="16"/>
      <c r="AEG594" s="25" t="str">
        <f>CONCATENATE("DO",REPLACE($AH594,1,3,""),"-",$AK594)</f>
        <v>DO1-1A</v>
      </c>
      <c r="AEH594" s="12" t="str">
        <f>CONCATENATE("DO",REPLACE($AH594,1,3,""),"-",$AL594)</f>
        <v>DO1-1B</v>
      </c>
      <c r="AEI594" s="12" t="s">
        <v>3350</v>
      </c>
      <c r="AEJ594" s="12" t="s">
        <v>142</v>
      </c>
      <c r="AEK594" s="12" t="s">
        <v>143</v>
      </c>
      <c r="AEL594" s="12">
        <v>11</v>
      </c>
      <c r="AEM594" s="12">
        <v>14</v>
      </c>
      <c r="AEN594" s="12" t="s">
        <v>413</v>
      </c>
      <c r="AEO594" s="12" t="s">
        <v>414</v>
      </c>
      <c r="AEP594" s="12" t="s">
        <v>3329</v>
      </c>
      <c r="AEQ594" s="12" t="s">
        <v>547</v>
      </c>
      <c r="AER594" s="13" t="s">
        <v>548</v>
      </c>
    </row>
    <row r="595" spans="1:824" x14ac:dyDescent="0.25">
      <c r="A595" s="83" t="s">
        <v>3342</v>
      </c>
      <c r="B595" s="83" t="s">
        <v>3336</v>
      </c>
      <c r="C595" t="s">
        <v>3358</v>
      </c>
      <c r="P595" t="s">
        <v>3148</v>
      </c>
      <c r="T595" s="14" t="s">
        <v>3128</v>
      </c>
      <c r="AD595" s="43"/>
      <c r="AE595" s="43"/>
      <c r="AH595" t="str">
        <f t="shared" ref="AH595:AH600" si="752">IF(AI594+AJ594&gt;27,REPLACE(AH594,LEN(AH594),1,VALUE(RIGHT(AH594,1))+1),AH594)</f>
        <v>A6.1</v>
      </c>
      <c r="AI595" s="69">
        <f t="array" ref="AI595">IF(COUNTIFS(AH$573:AH595,AH595)=1,"1",VALUE(SUBSTITUTE(INDEX(AI:AI,_xlfn.XMATCH(AH595,AH$1:AH594,0,-1)),"A",""))+INDEX(AJ:AJ,_xlfn.XMATCH(AH595,AH$1:AH594,0,-1))+1)</f>
        <v>2</v>
      </c>
      <c r="AJ595" s="62">
        <f t="array" ref="AJ595">SUM(IF(ISNUMBER(FIND("TmDo",$BE$1:$AAQ$1)),IF(IFERROR(ISNUMBER(VALUE(SUBSTITUTE($BE595:$AAQ595,"B",""))),FALSE),IF(ISNUMBER(VALUE(SUBSTITUTE($BE595:$AAQ595,"B",""))),1,0),0)))</f>
        <v>0</v>
      </c>
      <c r="AK595" t="str">
        <f t="shared" ref="AK595:AK600" si="753">CONCATENATE($AI595,"A")</f>
        <v>2A</v>
      </c>
      <c r="AL595" t="str">
        <f t="shared" ref="AL595:AL600" si="754">CONCATENATE($AI595,"B")</f>
        <v>2B</v>
      </c>
      <c r="AP595" t="s">
        <v>3134</v>
      </c>
      <c r="AT595" t="s">
        <v>854</v>
      </c>
      <c r="AU595" t="s">
        <v>1399</v>
      </c>
      <c r="MA595" t="str">
        <f t="shared" si="712"/>
        <v>DI-</v>
      </c>
      <c r="AEG595" s="27" t="str">
        <f t="shared" ref="AEG595:AEG600" si="755">CONCATENATE("DO",REPLACE($AH595,1,3,""),"-",$AK595)</f>
        <v>DO1-2A</v>
      </c>
      <c r="AEH595" t="str">
        <f t="shared" ref="AEH595:AEH600" si="756">CONCATENATE("DO",REPLACE($AH595,1,3,""),"-",$AL595)</f>
        <v>DO1-2B</v>
      </c>
      <c r="AEI595" t="s">
        <v>3351</v>
      </c>
      <c r="AEJ595" t="s">
        <v>142</v>
      </c>
      <c r="AEK595" t="s">
        <v>143</v>
      </c>
      <c r="AEL595">
        <v>11</v>
      </c>
      <c r="AEM595">
        <v>14</v>
      </c>
      <c r="AEN595" t="str">
        <f t="shared" ref="AEN595:AEO600" si="757">AEN594</f>
        <v>24v6</v>
      </c>
      <c r="AEO595" t="str">
        <f t="shared" si="757"/>
        <v>0v6</v>
      </c>
      <c r="AEP595" t="s">
        <v>3330</v>
      </c>
      <c r="AEQ595" t="s">
        <v>547</v>
      </c>
      <c r="AER595" s="16" t="s">
        <v>548</v>
      </c>
    </row>
    <row r="596" spans="1:824" x14ac:dyDescent="0.25">
      <c r="A596" s="83" t="s">
        <v>3341</v>
      </c>
      <c r="B596" s="83" t="s">
        <v>3337</v>
      </c>
      <c r="C596" t="s">
        <v>3359</v>
      </c>
      <c r="P596" t="s">
        <v>3148</v>
      </c>
      <c r="T596" s="14" t="s">
        <v>3128</v>
      </c>
      <c r="AD596" s="43"/>
      <c r="AE596" s="43"/>
      <c r="AH596" t="str">
        <f t="shared" si="752"/>
        <v>A6.1</v>
      </c>
      <c r="AI596" s="69">
        <f t="array" ref="AI596">IF(COUNTIFS(AH$573:AH596,AH596)=1,"1",VALUE(SUBSTITUTE(INDEX(AI:AI,_xlfn.XMATCH(AH596,AH$1:AH595,0,-1)),"A",""))+INDEX(AJ:AJ,_xlfn.XMATCH(AH596,AH$1:AH595,0,-1))+1)</f>
        <v>3</v>
      </c>
      <c r="AJ596" s="62">
        <f t="array" ref="AJ596">SUM(IF(ISNUMBER(FIND("TmDo",$BE$1:$AAQ$1)),IF(IFERROR(ISNUMBER(VALUE(SUBSTITUTE($BE596:$AAQ596,"B",""))),FALSE),IF(ISNUMBER(VALUE(SUBSTITUTE($BE596:$AAQ596,"B",""))),1,0),0)))</f>
        <v>0</v>
      </c>
      <c r="AK596" t="str">
        <f t="shared" si="753"/>
        <v>3A</v>
      </c>
      <c r="AL596" t="str">
        <f t="shared" si="754"/>
        <v>3B</v>
      </c>
      <c r="AP596" t="s">
        <v>3134</v>
      </c>
      <c r="AT596" t="s">
        <v>854</v>
      </c>
      <c r="AU596" t="s">
        <v>1399</v>
      </c>
      <c r="MA596" t="str">
        <f t="shared" si="712"/>
        <v>DI-</v>
      </c>
      <c r="AEG596" s="27" t="str">
        <f t="shared" si="755"/>
        <v>DO1-3A</v>
      </c>
      <c r="AEH596" t="str">
        <f t="shared" si="756"/>
        <v>DO1-3B</v>
      </c>
      <c r="AEI596" t="s">
        <v>3352</v>
      </c>
      <c r="AEJ596" t="s">
        <v>142</v>
      </c>
      <c r="AEK596" t="s">
        <v>143</v>
      </c>
      <c r="AEL596">
        <v>11</v>
      </c>
      <c r="AEM596">
        <v>14</v>
      </c>
      <c r="AEN596" t="str">
        <f t="shared" si="757"/>
        <v>24v6</v>
      </c>
      <c r="AEO596" t="str">
        <f t="shared" si="757"/>
        <v>0v6</v>
      </c>
      <c r="AEP596" t="s">
        <v>3331</v>
      </c>
      <c r="AEQ596" t="s">
        <v>547</v>
      </c>
      <c r="AER596" s="16" t="s">
        <v>548</v>
      </c>
    </row>
    <row r="597" spans="1:824" x14ac:dyDescent="0.25">
      <c r="A597" s="83" t="s">
        <v>3343</v>
      </c>
      <c r="B597" s="83" t="s">
        <v>3338</v>
      </c>
      <c r="C597" t="s">
        <v>3360</v>
      </c>
      <c r="P597" t="s">
        <v>3148</v>
      </c>
      <c r="T597" s="14" t="s">
        <v>3128</v>
      </c>
      <c r="AD597" s="43"/>
      <c r="AE597" s="43"/>
      <c r="AH597" t="str">
        <f t="shared" si="752"/>
        <v>A6.1</v>
      </c>
      <c r="AI597" s="69">
        <f t="array" ref="AI597">IF(COUNTIFS(AH$573:AH597,AH597)=1,"1",VALUE(SUBSTITUTE(INDEX(AI:AI,_xlfn.XMATCH(AH597,AH$1:AH596,0,-1)),"A",""))+INDEX(AJ:AJ,_xlfn.XMATCH(AH597,AH$1:AH596,0,-1))+1)</f>
        <v>4</v>
      </c>
      <c r="AJ597" s="62">
        <f t="array" ref="AJ597">SUM(IF(ISNUMBER(FIND("TmDo",$BE$1:$AAQ$1)),IF(IFERROR(ISNUMBER(VALUE(SUBSTITUTE($BE597:$AAQ597,"B",""))),FALSE),IF(ISNUMBER(VALUE(SUBSTITUTE($BE597:$AAQ597,"B",""))),1,0),0)))</f>
        <v>0</v>
      </c>
      <c r="AK597" t="str">
        <f t="shared" si="753"/>
        <v>4A</v>
      </c>
      <c r="AL597" t="str">
        <f t="shared" si="754"/>
        <v>4B</v>
      </c>
      <c r="AP597" t="s">
        <v>3134</v>
      </c>
      <c r="AT597" t="s">
        <v>854</v>
      </c>
      <c r="AU597" t="s">
        <v>1399</v>
      </c>
      <c r="MA597" t="str">
        <f t="shared" si="712"/>
        <v>DI-</v>
      </c>
      <c r="AEG597" s="27" t="str">
        <f t="shared" si="755"/>
        <v>DO1-4A</v>
      </c>
      <c r="AEH597" t="str">
        <f t="shared" si="756"/>
        <v>DO1-4B</v>
      </c>
      <c r="AEI597" t="s">
        <v>3353</v>
      </c>
      <c r="AEJ597" t="s">
        <v>142</v>
      </c>
      <c r="AEK597" t="s">
        <v>143</v>
      </c>
      <c r="AEL597">
        <v>11</v>
      </c>
      <c r="AEM597">
        <v>14</v>
      </c>
      <c r="AEN597" t="str">
        <f t="shared" si="757"/>
        <v>24v6</v>
      </c>
      <c r="AEO597" t="str">
        <f t="shared" si="757"/>
        <v>0v6</v>
      </c>
      <c r="AEP597" t="s">
        <v>3332</v>
      </c>
      <c r="AEQ597" t="s">
        <v>547</v>
      </c>
      <c r="AER597" s="16" t="s">
        <v>548</v>
      </c>
    </row>
    <row r="598" spans="1:824" x14ac:dyDescent="0.25">
      <c r="A598" s="83" t="s">
        <v>3345</v>
      </c>
      <c r="B598" s="83" t="s">
        <v>3339</v>
      </c>
      <c r="C598" t="s">
        <v>3361</v>
      </c>
      <c r="P598" t="s">
        <v>3148</v>
      </c>
      <c r="T598" s="14" t="s">
        <v>3128</v>
      </c>
      <c r="AD598" s="43"/>
      <c r="AE598" s="43"/>
      <c r="AH598" t="str">
        <f t="shared" si="752"/>
        <v>A6.1</v>
      </c>
      <c r="AI598" s="69">
        <f t="array" ref="AI598">IF(COUNTIFS(AH$573:AH598,AH598)=1,"1",VALUE(SUBSTITUTE(INDEX(AI:AI,_xlfn.XMATCH(AH598,AH$1:AH597,0,-1)),"A",""))+INDEX(AJ:AJ,_xlfn.XMATCH(AH598,AH$1:AH597,0,-1))+1)</f>
        <v>5</v>
      </c>
      <c r="AJ598" s="62">
        <f t="array" ref="AJ598">SUM(IF(ISNUMBER(FIND("TmDo",$BE$1:$AAQ$1)),IF(IFERROR(ISNUMBER(VALUE(SUBSTITUTE($BE598:$AAQ598,"B",""))),FALSE),IF(ISNUMBER(VALUE(SUBSTITUTE($BE598:$AAQ598,"B",""))),1,0),0)))</f>
        <v>0</v>
      </c>
      <c r="AK598" t="str">
        <f t="shared" si="753"/>
        <v>5A</v>
      </c>
      <c r="AL598" t="str">
        <f t="shared" si="754"/>
        <v>5B</v>
      </c>
      <c r="AP598" t="s">
        <v>3134</v>
      </c>
      <c r="AT598" t="s">
        <v>854</v>
      </c>
      <c r="AU598" t="s">
        <v>1399</v>
      </c>
      <c r="MA598" t="str">
        <f t="shared" si="712"/>
        <v>DI-</v>
      </c>
      <c r="AEG598" s="27" t="str">
        <f t="shared" si="755"/>
        <v>DO1-5A</v>
      </c>
      <c r="AEH598" t="str">
        <f t="shared" si="756"/>
        <v>DO1-5B</v>
      </c>
      <c r="AEI598" t="s">
        <v>3354</v>
      </c>
      <c r="AEJ598" t="s">
        <v>142</v>
      </c>
      <c r="AEK598" t="s">
        <v>143</v>
      </c>
      <c r="AEL598">
        <v>11</v>
      </c>
      <c r="AEM598">
        <v>14</v>
      </c>
      <c r="AEN598" t="str">
        <f t="shared" si="757"/>
        <v>24v6</v>
      </c>
      <c r="AEO598" t="str">
        <f t="shared" si="757"/>
        <v>0v6</v>
      </c>
      <c r="AEP598" t="s">
        <v>3333</v>
      </c>
      <c r="AEQ598" t="s">
        <v>547</v>
      </c>
      <c r="AER598" s="16" t="s">
        <v>548</v>
      </c>
    </row>
    <row r="599" spans="1:824" x14ac:dyDescent="0.25">
      <c r="A599" s="83" t="s">
        <v>3344</v>
      </c>
      <c r="B599" s="83" t="s">
        <v>3340</v>
      </c>
      <c r="C599" t="s">
        <v>3362</v>
      </c>
      <c r="P599" t="s">
        <v>3148</v>
      </c>
      <c r="T599" s="14" t="s">
        <v>3128</v>
      </c>
      <c r="AD599" s="43"/>
      <c r="AE599" s="43"/>
      <c r="AH599" t="str">
        <f t="shared" si="752"/>
        <v>A6.1</v>
      </c>
      <c r="AI599" s="69">
        <f t="array" ref="AI599">IF(COUNTIFS(AH$573:AH599,AH599)=1,"1",VALUE(SUBSTITUTE(INDEX(AI:AI,_xlfn.XMATCH(AH599,AH$1:AH598,0,-1)),"A",""))+INDEX(AJ:AJ,_xlfn.XMATCH(AH599,AH$1:AH598,0,-1))+1)</f>
        <v>6</v>
      </c>
      <c r="AJ599" s="62">
        <f t="array" ref="AJ599">SUM(IF(ISNUMBER(FIND("TmDo",$BE$1:$AAQ$1)),IF(IFERROR(ISNUMBER(VALUE(SUBSTITUTE($BE599:$AAQ599,"B",""))),FALSE),IF(ISNUMBER(VALUE(SUBSTITUTE($BE599:$AAQ599,"B",""))),1,0),0)))</f>
        <v>0</v>
      </c>
      <c r="AK599" t="str">
        <f t="shared" si="753"/>
        <v>6A</v>
      </c>
      <c r="AL599" t="str">
        <f t="shared" si="754"/>
        <v>6B</v>
      </c>
      <c r="AP599" t="s">
        <v>3134</v>
      </c>
      <c r="AT599" t="s">
        <v>854</v>
      </c>
      <c r="AU599" t="s">
        <v>1399</v>
      </c>
      <c r="MA599" t="str">
        <f t="shared" si="712"/>
        <v>DI-</v>
      </c>
      <c r="AEG599" s="27" t="str">
        <f t="shared" si="755"/>
        <v>DO1-6A</v>
      </c>
      <c r="AEH599" t="str">
        <f t="shared" si="756"/>
        <v>DO1-6B</v>
      </c>
      <c r="AEI599" t="s">
        <v>3355</v>
      </c>
      <c r="AEJ599" t="s">
        <v>142</v>
      </c>
      <c r="AEK599" t="s">
        <v>143</v>
      </c>
      <c r="AEL599">
        <v>11</v>
      </c>
      <c r="AEM599">
        <v>14</v>
      </c>
      <c r="AEN599" t="str">
        <f t="shared" si="757"/>
        <v>24v6</v>
      </c>
      <c r="AEO599" t="str">
        <f t="shared" si="757"/>
        <v>0v6</v>
      </c>
      <c r="AEP599" t="s">
        <v>3334</v>
      </c>
      <c r="AEQ599" t="s">
        <v>547</v>
      </c>
      <c r="AER599" s="16" t="s">
        <v>548</v>
      </c>
    </row>
    <row r="600" spans="1:824" ht="15.75" thickBot="1" x14ac:dyDescent="0.3">
      <c r="A600" s="83" t="s">
        <v>3347</v>
      </c>
      <c r="B600" s="83" t="s">
        <v>3346</v>
      </c>
      <c r="C600" t="s">
        <v>3363</v>
      </c>
      <c r="P600" t="s">
        <v>3148</v>
      </c>
      <c r="T600" s="14" t="s">
        <v>3128</v>
      </c>
      <c r="AD600" s="43"/>
      <c r="AE600" s="43"/>
      <c r="AH600" t="str">
        <f t="shared" si="752"/>
        <v>A6.1</v>
      </c>
      <c r="AI600" s="69">
        <f t="array" ref="AI600">IF(COUNTIFS(AH$573:AH600,AH600)=1,"1",VALUE(SUBSTITUTE(INDEX(AI:AI,_xlfn.XMATCH(AH600,AH$1:AH599,0,-1)),"A",""))+INDEX(AJ:AJ,_xlfn.XMATCH(AH600,AH$1:AH599,0,-1))+1)</f>
        <v>7</v>
      </c>
      <c r="AJ600" s="62">
        <f t="array" ref="AJ600">SUM(IF(ISNUMBER(FIND("TmDo",$BE$1:$AAQ$1)),IF(IFERROR(ISNUMBER(VALUE(SUBSTITUTE($BE600:$AAQ600,"B",""))),FALSE),IF(ISNUMBER(VALUE(SUBSTITUTE($BE600:$AAQ600,"B",""))),1,0),0)))</f>
        <v>0</v>
      </c>
      <c r="AK600" t="str">
        <f t="shared" si="753"/>
        <v>7A</v>
      </c>
      <c r="AL600" t="str">
        <f t="shared" si="754"/>
        <v>7B</v>
      </c>
      <c r="AP600" t="s">
        <v>3134</v>
      </c>
      <c r="AT600" t="s">
        <v>854</v>
      </c>
      <c r="AU600" t="s">
        <v>1399</v>
      </c>
      <c r="MA600" t="str">
        <f t="shared" si="712"/>
        <v>DI-</v>
      </c>
      <c r="AEG600" s="28" t="str">
        <f t="shared" si="755"/>
        <v>DO1-7A</v>
      </c>
      <c r="AEH600" s="19" t="str">
        <f t="shared" si="756"/>
        <v>DO1-7B</v>
      </c>
      <c r="AEI600" s="19" t="s">
        <v>3356</v>
      </c>
      <c r="AEJ600" s="19" t="s">
        <v>142</v>
      </c>
      <c r="AEK600" s="19" t="s">
        <v>143</v>
      </c>
      <c r="AEL600" s="19">
        <v>11</v>
      </c>
      <c r="AEM600" s="19">
        <v>14</v>
      </c>
      <c r="AEN600" s="19" t="str">
        <f t="shared" si="757"/>
        <v>24v6</v>
      </c>
      <c r="AEO600" s="19" t="str">
        <f t="shared" si="757"/>
        <v>0v6</v>
      </c>
      <c r="AEP600" s="19" t="s">
        <v>3335</v>
      </c>
      <c r="AEQ600" s="19" t="s">
        <v>547</v>
      </c>
      <c r="AER600" s="20" t="s">
        <v>548</v>
      </c>
    </row>
    <row r="601" spans="1:824" x14ac:dyDescent="0.25">
      <c r="A601" s="83" t="s">
        <v>3348</v>
      </c>
      <c r="B601" s="83" t="s">
        <v>3349</v>
      </c>
      <c r="C601" t="s">
        <v>3364</v>
      </c>
      <c r="P601" t="s">
        <v>1873</v>
      </c>
      <c r="T601" s="14" t="s">
        <v>3128</v>
      </c>
      <c r="AC601" t="s">
        <v>131</v>
      </c>
      <c r="AD601" s="43">
        <f t="array" ref="AD601">IF(COUNTIFS(AC$2:AC601,AC601)=1,"1",VALUE(SUBSTITUTE(INDEX(AD:AD,_xlfn.XMATCH(AC601,AC$1:AC600,0,-1)),"A",""))+INDEX(AE:AE,_xlfn.XMATCH(AC601,AC$1:AC600,0,-1))+1)</f>
        <v>8</v>
      </c>
      <c r="AE601" s="43">
        <f t="array" ref="AE601">SUM(IF(ISNUMBER(FIND("TmDi",$BE$1:$AAQ$1)),IF(IFERROR(ISNUMBER(VALUE(SUBSTITUTE($BE601:$AAQ601,"B",""))),FALSE),IF(ISNUMBER(VALUE(SUBSTITUTE($BE601:$AAQ601,"B",""))),1,0),0)))</f>
        <v>0</v>
      </c>
      <c r="AF601" t="str">
        <f>CONCATENATE("C",$AD601)</f>
        <v>C8</v>
      </c>
      <c r="AG601" t="str">
        <f>CONCATENATE("B",$AD601)</f>
        <v>B8</v>
      </c>
      <c r="AP601" t="s">
        <v>3134</v>
      </c>
      <c r="AT601" t="s">
        <v>854</v>
      </c>
      <c r="AU601" t="s">
        <v>1399</v>
      </c>
      <c r="LZ601" s="27" t="str">
        <f>CONCATENATE("DI",REPLACE($AC601,1,3,""),"-",$AF601)</f>
        <v>DI1-C8</v>
      </c>
      <c r="MA601" t="str">
        <f t="shared" si="712"/>
        <v>DI1-B8</v>
      </c>
      <c r="MB601" t="s">
        <v>1897</v>
      </c>
      <c r="MC601" t="s">
        <v>1898</v>
      </c>
      <c r="MD601">
        <v>11</v>
      </c>
      <c r="ME601">
        <v>14</v>
      </c>
      <c r="MF601" t="s">
        <v>142</v>
      </c>
      <c r="MG601" t="s">
        <v>143</v>
      </c>
      <c r="MH601" t="s">
        <v>488</v>
      </c>
      <c r="MI601" t="s">
        <v>487</v>
      </c>
      <c r="MJ601" t="s">
        <v>414</v>
      </c>
      <c r="MK601" t="s">
        <v>413</v>
      </c>
      <c r="MR601">
        <v>1</v>
      </c>
      <c r="MS601" s="16">
        <v>2</v>
      </c>
    </row>
  </sheetData>
  <autoFilter ref="P1:P601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>
        <filterColumn colId="0">
          <filters>
            <filter val="se0004"/>
          </filters>
        </filterColumn>
      </autoFilter>
    </customSheetView>
  </customSheetViews>
  <phoneticPr fontId="3" type="noConversion"/>
  <conditionalFormatting sqref="A1:A32">
    <cfRule type="duplicateValues" dxfId="43" priority="44"/>
  </conditionalFormatting>
  <conditionalFormatting sqref="A283:A285">
    <cfRule type="duplicateValues" dxfId="42" priority="34"/>
  </conditionalFormatting>
  <conditionalFormatting sqref="A447">
    <cfRule type="duplicateValues" dxfId="41" priority="16"/>
    <cfRule type="duplicateValues" dxfId="40" priority="17"/>
  </conditionalFormatting>
  <conditionalFormatting sqref="A540:A560 A367:A376 A320:A322 A221:A224 A1:A32 A226:A227 A324:A326 A378 A380:A423 A444:A446 A283:A317 A563:A1048576 A501:A522 A332:A350">
    <cfRule type="duplicateValues" dxfId="39" priority="43"/>
  </conditionalFormatting>
  <conditionalFormatting sqref="B566:B572 B1:B56 B221:B229 B346:B347 B351:B364 B366 B444 B447:B499 B553:B558 B575:B1048576 B503:B539 B369:B376 B327:B344 B267:B315">
    <cfRule type="duplicateValues" dxfId="0" priority="146"/>
  </conditionalFormatting>
  <conditionalFormatting sqref="V221:V222 W223:W224">
    <cfRule type="duplicateValues" dxfId="38" priority="7"/>
  </conditionalFormatting>
  <conditionalFormatting sqref="V231 V225:W230 V232:W315">
    <cfRule type="duplicateValues" dxfId="37" priority="130"/>
  </conditionalFormatting>
  <conditionalFormatting sqref="V332">
    <cfRule type="duplicateValues" dxfId="36" priority="1"/>
  </conditionalFormatting>
  <conditionalFormatting sqref="V587:V1048576 V491:W494 V187 V192 V197 V202 W34 W43:W55 V316:V326 V327:W328 V329:V331 V428 V433 V438 W424:W443 V495:V496 V497:W497 V443:V490 V498:V502 V517:V529 V530:W531 V1:V182 W183:W220 V333:V423 V532:V574">
    <cfRule type="duplicateValues" dxfId="35" priority="41"/>
  </conditionalFormatting>
  <conditionalFormatting sqref="V221:W224">
    <cfRule type="duplicateValues" dxfId="34" priority="6"/>
  </conditionalFormatting>
  <conditionalFormatting sqref="V332:W332">
    <cfRule type="duplicateValues" dxfId="33" priority="2"/>
  </conditionalFormatting>
  <conditionalFormatting sqref="V587:W1048576 V575:V586 V1:W220 V503:V516 V316:W331 V333:W502 V517:W574">
    <cfRule type="duplicateValues" dxfId="32" priority="39"/>
  </conditionalFormatting>
  <conditionalFormatting sqref="W225:W229 V267:W267 V268 V269:W269 V271:W271 V273:W273 V275:W275 V277:W277 V279:W279 V281:W281 V270 V272 V274 V276 V278 V280 V225:V266 V282:V315">
    <cfRule type="duplicateValues" dxfId="31" priority="111"/>
  </conditionalFormatting>
  <conditionalFormatting sqref="Y1:Y1048576">
    <cfRule type="cellIs" dxfId="30" priority="8" operator="greaterThan">
      <formula>8</formula>
    </cfRule>
    <cfRule type="cellIs" dxfId="29" priority="40" operator="equal">
      <formula>"Y:Y+Z:Z&gt;8"</formula>
    </cfRule>
  </conditionalFormatting>
  <conditionalFormatting sqref="AD1:AD2 AD267:AD306 AD333:AD339 AD370:AD376 AD587:AD601">
    <cfRule type="cellIs" dxfId="28" priority="38" operator="equal">
      <formula>"Y:Y+Z:Z&gt;8"</formula>
    </cfRule>
  </conditionalFormatting>
  <conditionalFormatting sqref="AD318:AD319">
    <cfRule type="cellIs" dxfId="27" priority="33" operator="equal">
      <formula>"Y:Y+Z:Z&gt;8"</formula>
    </cfRule>
  </conditionalFormatting>
  <conditionalFormatting sqref="AD325:AD331">
    <cfRule type="cellIs" dxfId="26" priority="27" operator="equal">
      <formula>"Y:Y+Z:Z&gt;8"</formula>
    </cfRule>
  </conditionalFormatting>
  <conditionalFormatting sqref="AD448:AD499">
    <cfRule type="cellIs" dxfId="25" priority="21" operator="equal">
      <formula>"Y:Y+Z:Z&gt;8"</formula>
    </cfRule>
  </conditionalFormatting>
  <conditionalFormatting sqref="AD523:AD539">
    <cfRule type="cellIs" dxfId="24" priority="15" operator="equal">
      <formula>"Y:Y+Z:Z&gt;8"</formula>
    </cfRule>
  </conditionalFormatting>
  <conditionalFormatting sqref="AD554">
    <cfRule type="cellIs" dxfId="23" priority="12" operator="equal">
      <formula>"Y:Y+Z:Z&gt;8"</formula>
    </cfRule>
  </conditionalFormatting>
  <conditionalFormatting sqref="AD557">
    <cfRule type="cellIs" dxfId="22" priority="11" operator="equal">
      <formula>"Y:Y+Z:Z&gt;8"</formula>
    </cfRule>
  </conditionalFormatting>
  <conditionalFormatting sqref="AD563">
    <cfRule type="cellIs" dxfId="21" priority="10" operator="equal">
      <formula>"Y:Y+Z:Z&gt;8"</formula>
    </cfRule>
  </conditionalFormatting>
  <conditionalFormatting sqref="AI1">
    <cfRule type="cellIs" dxfId="20" priority="35" operator="equal">
      <formula>"Y:Y+Z:Z&gt;8"</formula>
    </cfRule>
  </conditionalFormatting>
  <conditionalFormatting sqref="AI267:AI285">
    <cfRule type="cellIs" dxfId="19" priority="36" operator="equal">
      <formula>"Y:Y+Z:Z&gt;8"</formula>
    </cfRule>
  </conditionalFormatting>
  <conditionalFormatting sqref="AI327:AI331">
    <cfRule type="cellIs" dxfId="18" priority="28" operator="equal">
      <formula>"Y:Y+Z:Z&gt;8"</formula>
    </cfRule>
  </conditionalFormatting>
  <conditionalFormatting sqref="AI448">
    <cfRule type="cellIs" dxfId="17" priority="22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/>
  <conditionalFormatting sqref="A1:A32">
    <cfRule type="duplicateValues" dxfId="16" priority="11"/>
  </conditionalFormatting>
  <conditionalFormatting sqref="A221:A224 A1:A32 A226:A227 A283:A305 A307:A1048576">
    <cfRule type="duplicateValues" dxfId="15" priority="10"/>
  </conditionalFormatting>
  <conditionalFormatting sqref="A283:A285">
    <cfRule type="duplicateValues" dxfId="14" priority="1"/>
  </conditionalFormatting>
  <conditionalFormatting sqref="B1:B56 B221:B229 B267:B303 B307:B1048576">
    <cfRule type="duplicateValues" dxfId="13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2" priority="8"/>
  </conditionalFormatting>
  <conditionalFormatting sqref="V1:W230 V231 V232:W1048576">
    <cfRule type="duplicateValues" dxfId="11" priority="6"/>
  </conditionalFormatting>
  <conditionalFormatting sqref="Y1:Y1048576">
    <cfRule type="cellIs" dxfId="10" priority="7" operator="equal">
      <formula>"Y:Y+Z:Z&gt;8"</formula>
    </cfRule>
  </conditionalFormatting>
  <conditionalFormatting sqref="AD1">
    <cfRule type="cellIs" dxfId="9" priority="5" operator="equal">
      <formula>"Y:Y+Z:Z&gt;8"</formula>
    </cfRule>
  </conditionalFormatting>
  <conditionalFormatting sqref="AD267:AD294">
    <cfRule type="cellIs" dxfId="8" priority="4" operator="equal">
      <formula>"Y:Y+Z:Z&gt;8"</formula>
    </cfRule>
  </conditionalFormatting>
  <conditionalFormatting sqref="AI1">
    <cfRule type="cellIs" dxfId="7" priority="2" operator="equal">
      <formula>"Y:Y+Z:Z&gt;8"</formula>
    </cfRule>
  </conditionalFormatting>
  <conditionalFormatting sqref="AI267:AI285">
    <cfRule type="cellIs" dxfId="6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/>
  <conditionalFormatting sqref="A1:A32">
    <cfRule type="duplicateValues" dxfId="5" priority="5"/>
  </conditionalFormatting>
  <conditionalFormatting sqref="A221:A224 A1:A32 A226:A227 A235:A1048576">
    <cfRule type="duplicateValues" dxfId="4" priority="4"/>
  </conditionalFormatting>
  <conditionalFormatting sqref="B1:B56 B221:B229 B235:B1048576">
    <cfRule type="duplicateValues" dxfId="3" priority="3"/>
  </conditionalFormatting>
  <conditionalFormatting sqref="V1:V182 V187 V192 V197 V202 W183:W220 V221:V222 W223:W224 V225:V1048576">
    <cfRule type="duplicateValues" dxfId="2" priority="2"/>
  </conditionalFormatting>
  <conditionalFormatting sqref="Y1:Y1048576">
    <cfRule type="cellIs" dxfId="1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2490</v>
      </c>
      <c r="C27" t="s">
        <v>3369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2494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2491</v>
      </c>
      <c r="C29" t="s">
        <v>2504</v>
      </c>
      <c r="D29" t="s">
        <v>974</v>
      </c>
      <c r="E29" t="s">
        <v>1781</v>
      </c>
    </row>
    <row r="30" spans="1:5" x14ac:dyDescent="0.25">
      <c r="A30" t="s">
        <v>1918</v>
      </c>
      <c r="B30" t="s">
        <v>2495</v>
      </c>
      <c r="C30" t="s">
        <v>2504</v>
      </c>
      <c r="D30" t="s">
        <v>974</v>
      </c>
      <c r="E30" t="s">
        <v>1781</v>
      </c>
    </row>
    <row r="31" spans="1:5" x14ac:dyDescent="0.25">
      <c r="A31" t="s">
        <v>1919</v>
      </c>
      <c r="B31" t="s">
        <v>2492</v>
      </c>
      <c r="C31" t="s">
        <v>2504</v>
      </c>
      <c r="D31" t="s">
        <v>974</v>
      </c>
      <c r="E31" t="s">
        <v>1779</v>
      </c>
    </row>
    <row r="32" spans="1:5" x14ac:dyDescent="0.25">
      <c r="A32" t="s">
        <v>1919</v>
      </c>
      <c r="B32" t="s">
        <v>2496</v>
      </c>
      <c r="C32" t="s">
        <v>2504</v>
      </c>
      <c r="D32" t="s">
        <v>974</v>
      </c>
      <c r="E32" t="s">
        <v>1779</v>
      </c>
    </row>
    <row r="33" spans="1:5" x14ac:dyDescent="0.25">
      <c r="A33" t="s">
        <v>1920</v>
      </c>
      <c r="B33" t="s">
        <v>2493</v>
      </c>
      <c r="C33" t="s">
        <v>2504</v>
      </c>
      <c r="D33" t="s">
        <v>974</v>
      </c>
      <c r="E33" t="s">
        <v>1779</v>
      </c>
    </row>
    <row r="34" spans="1:5" x14ac:dyDescent="0.25">
      <c r="A34" t="s">
        <v>1920</v>
      </c>
      <c r="B34" t="s">
        <v>2497</v>
      </c>
      <c r="C34" t="s">
        <v>2504</v>
      </c>
      <c r="D34" t="s">
        <v>974</v>
      </c>
      <c r="E34" t="s">
        <v>1779</v>
      </c>
    </row>
    <row r="35" spans="1:5" x14ac:dyDescent="0.25">
      <c r="A35" t="s">
        <v>3370</v>
      </c>
      <c r="B35" t="s">
        <v>3367</v>
      </c>
      <c r="C35" t="s">
        <v>969</v>
      </c>
      <c r="D35" t="s">
        <v>974</v>
      </c>
    </row>
    <row r="36" spans="1:5" x14ac:dyDescent="0.25">
      <c r="A36" t="s">
        <v>3370</v>
      </c>
      <c r="B36" t="s">
        <v>3368</v>
      </c>
      <c r="C36" t="s">
        <v>969</v>
      </c>
      <c r="D36" t="s">
        <v>974</v>
      </c>
    </row>
    <row r="37" spans="1:5" x14ac:dyDescent="0.25">
      <c r="A37" t="s">
        <v>974</v>
      </c>
      <c r="B37" t="s">
        <v>3371</v>
      </c>
      <c r="C37" t="s">
        <v>969</v>
      </c>
      <c r="D37" t="s">
        <v>3373</v>
      </c>
    </row>
    <row r="38" spans="1:5" x14ac:dyDescent="0.25">
      <c r="A38" t="s">
        <v>974</v>
      </c>
      <c r="B38" t="s">
        <v>3372</v>
      </c>
      <c r="C38" t="s">
        <v>969</v>
      </c>
      <c r="D38" t="s">
        <v>3374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2025-12-05T02:53:00Z</dcterms:modified>
</cp:coreProperties>
</file>