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bookViews>
    <workbookView xWindow="-105" yWindow="-105" windowWidth="19425" windowHeight="10425"/>
  </bookViews>
  <sheets>
    <sheet name="241113" sheetId="16" r:id="rId1"/>
  </sheets>
  <definedNames>
    <definedName name="_xlnm._FilterDatabase" localSheetId="0" hidden="1">'241113'!$P$1:$P$77</definedName>
    <definedName name="Z_00965184_5F07_49AF_942B_FDDDD13BF4E1_.wvu.Cols" localSheetId="0" hidden="1">'241113'!$C:$O,'241113'!#REF!</definedName>
    <definedName name="Z_00965184_5F07_49AF_942B_FDDDD13BF4E1_.wvu.FilterData" localSheetId="0" hidden="1">'241113'!$P$1:$P$77</definedName>
    <definedName name="Z_099C950B_C184_4ABA_8688_C905D9335CA6_.wvu.Cols" localSheetId="0" hidden="1">'241113'!$C:$O,'241113'!#REF!,'241113'!#REF!</definedName>
    <definedName name="Z_099C950B_C184_4ABA_8688_C905D9335CA6_.wvu.FilterData" localSheetId="0" hidden="1">'241113'!$P$1:$P$77</definedName>
    <definedName name="Z_1F246874_A1A7_4D74_AABA_53EADE2E744A_.wvu.Cols" localSheetId="0" hidden="1">'241113'!$C:$O,'241113'!#REF!,'241113'!#REF!</definedName>
    <definedName name="Z_1F246874_A1A7_4D74_AABA_53EADE2E744A_.wvu.FilterData" localSheetId="0" hidden="1">'241113'!$P$1:$P$77</definedName>
    <definedName name="Z_5DB4B317_1107_4097_864F_03CAFC567DFC_.wvu.Cols" localSheetId="0" hidden="1">'241113'!$C:$O,'241113'!#REF!,'241113'!#REF!</definedName>
    <definedName name="Z_5DB4B317_1107_4097_864F_03CAFC567DFC_.wvu.FilterData" localSheetId="0" hidden="1">'241113'!$P$1:$P$77</definedName>
    <definedName name="Z_7F066C16_B167_4A85_9D7A_3FAA5A5EF85F_.wvu.Cols" localSheetId="0" hidden="1">'241113'!$C:$O,'241113'!#REF!,'241113'!#REF!</definedName>
    <definedName name="Z_7F066C16_B167_4A85_9D7A_3FAA5A5EF85F_.wvu.FilterData" localSheetId="0" hidden="1">'241113'!$P$1:$P$77</definedName>
    <definedName name="Z_94AFE664_6F9F_4C88_A677_CD77E4391E8A_.wvu.Cols" localSheetId="0" hidden="1">'241113'!$C:$O,'241113'!#REF!</definedName>
    <definedName name="Z_94AFE664_6F9F_4C88_A677_CD77E4391E8A_.wvu.FilterData" localSheetId="0" hidden="1">'241113'!$P$1:$P$77</definedName>
    <definedName name="Z_95780374_5F6E_4995_810F_F6EFCCC977B7_.wvu.FilterData" localSheetId="0" hidden="1">'241113'!$P$1:$P$77</definedName>
    <definedName name="Z_A2283EE0_A24A_4CDC_857A_4B7175209974_.wvu.Cols" localSheetId="0" hidden="1">'241113'!$C:$O,'241113'!#REF!,'241113'!#REF!</definedName>
    <definedName name="Z_A2283EE0_A24A_4CDC_857A_4B7175209974_.wvu.FilterData" localSheetId="0" hidden="1">'241113'!$P$1:$P$77</definedName>
    <definedName name="Z_A298CBA9_1955_45DC_966F_0472E427A6C6_.wvu.Cols" localSheetId="0" hidden="1">'241113'!$C:$O,'241113'!#REF!,'241113'!#REF!</definedName>
    <definedName name="Z_A298CBA9_1955_45DC_966F_0472E427A6C6_.wvu.FilterData" localSheetId="0" hidden="1">'241113'!$P$1:$P$77</definedName>
    <definedName name="Z_ADF9CFFD_E10C_4D15_8736_0609514E4916_.wvu.Cols" localSheetId="0" hidden="1">'241113'!$C:$O,'241113'!#REF!,'241113'!#REF!</definedName>
    <definedName name="Z_ADF9CFFD_E10C_4D15_8736_0609514E4916_.wvu.FilterData" localSheetId="0" hidden="1">'241113'!$P$1:$P$77</definedName>
    <definedName name="Z_B205BA54_71A4_47C5_B56A_169243A959A8_.wvu.Cols" localSheetId="0" hidden="1">'241113'!$C:$O,'241113'!#REF!,'241113'!#REF!</definedName>
    <definedName name="Z_B205BA54_71A4_47C5_B56A_169243A959A8_.wvu.FilterData" localSheetId="0" hidden="1">'241113'!$P$1:$P$77</definedName>
    <definedName name="Z_CE42496B_9D54_40D2_8A45_E77C95517B55_.wvu.Cols" localSheetId="0" hidden="1">'241113'!$C:$O,'241113'!#REF!,'241113'!#REF!</definedName>
    <definedName name="Z_CE42496B_9D54_40D2_8A45_E77C95517B55_.wvu.FilterData" localSheetId="0" hidden="1">'241113'!$P$1:$P$77</definedName>
    <definedName name="Z_D22D260E_088E_4599_BCB2_97087AAD8AE5_.wvu.Cols" localSheetId="0" hidden="1">'241113'!$C:$O,'241113'!#REF!,'241113'!#REF!</definedName>
    <definedName name="Z_D22D260E_088E_4599_BCB2_97087AAD8AE5_.wvu.FilterData" localSheetId="0" hidden="1">'241113'!$P$1:$P$77</definedName>
    <definedName name="Z_D7ECF9BA_B840_4CB9_86EE_C6C8ADBF9F09_.wvu.Cols" localSheetId="0" hidden="1">'241113'!$C:$O,'241113'!#REF!,'241113'!#REF!</definedName>
    <definedName name="Z_D7ECF9BA_B840_4CB9_86EE_C6C8ADBF9F09_.wvu.FilterData" localSheetId="0" hidden="1">'241113'!$P$1:$P$77</definedName>
    <definedName name="Z_D7FA2CF1_6692_4835_8AA4_C5163A4BA952_.wvu.Cols" localSheetId="0" hidden="1">'241113'!$C:$O,'241113'!#REF!,'241113'!#REF!</definedName>
    <definedName name="Z_D7FA2CF1_6692_4835_8AA4_C5163A4BA952_.wvu.FilterData" localSheetId="0" hidden="1">'241113'!$P$1:$P$77</definedName>
    <definedName name="Z_FF63D40D_C45A_43CA_A9C5_895EDFA71399_.wvu.Cols" localSheetId="0" hidden="1">'241113'!$C:$O,'241113'!#REF!</definedName>
    <definedName name="Z_FF63D40D_C45A_43CA_A9C5_895EDFA71399_.wvu.FilterData" localSheetId="0" hidden="1">'241113'!$P$1:$P$77</definedName>
  </definedNames>
  <calcPr calcId="162913"/>
  <customWorkbookViews>
    <customWorkbookView name="se0023" guid="{94AFE664-6F9F-4C88-A677-CD77E4391E8A}" maximized="1" xWindow="-9" yWindow="-9" windowWidth="2418" windowHeight="1318" activeSheetId="16"/>
    <customWorkbookView name="se0022" guid="{00965184-5F07-49AF-942B-FDDDD13BF4E1}" maximized="1" xWindow="-9" yWindow="-9" windowWidth="2418" windowHeight="1318" activeSheetId="16"/>
    <customWorkbookView name="se0021" guid="{099C950B-C184-4ABA-8688-C905D9335CA6}" maximized="1" xWindow="-9" yWindow="-9" windowWidth="2418" windowHeight="1318" activeSheetId="16"/>
    <customWorkbookView name="se0019" guid="{5DB4B317-1107-4097-864F-03CAFC567DFC}" maximized="1" xWindow="-9" yWindow="-9" windowWidth="2418" windowHeight="1318" activeSheetId="16"/>
    <customWorkbookView name="se0018" guid="{D7FA2CF1-6692-4835-8AA4-C5163A4BA952}" maximized="1" xWindow="-9" yWindow="-9" windowWidth="2418" windowHeight="1318" activeSheetId="16"/>
    <customWorkbookView name="se0015" guid="{1F246874-A1A7-4D74-AABA-53EADE2E744A}" maximized="1" xWindow="-9" yWindow="-9" windowWidth="2418" windowHeight="1318" activeSheetId="16"/>
    <customWorkbookView name="se0012" guid="{CE42496B-9D54-40D2-8A45-E77C95517B55}" maximized="1" xWindow="-9" yWindow="-9" windowWidth="2418" windowHeight="1318" activeSheetId="16"/>
    <customWorkbookView name="se0011" guid="{7F066C16-B167-4A85-9D7A-3FAA5A5EF85F}" maximized="1" xWindow="-9" yWindow="-9" windowWidth="2418" windowHeight="1318" activeSheetId="16"/>
    <customWorkbookView name="se0010" guid="{ADF9CFFD-E10C-4D15-8736-0609514E4916}" maximized="1" xWindow="-9" yWindow="-9" windowWidth="2418" windowHeight="1318" activeSheetId="16"/>
    <customWorkbookView name="se0009" guid="{D22D260E-088E-4599-BCB2-97087AAD8AE5}" maximized="1" xWindow="-9" yWindow="-9" windowWidth="2418" windowHeight="1318" activeSheetId="16"/>
    <customWorkbookView name="se0005" guid="{B205BA54-71A4-47C5-B56A-169243A959A8}" maximized="1" xWindow="-9" yWindow="-9" windowWidth="2418" windowHeight="1318" activeSheetId="16"/>
    <customWorkbookView name="se0003" guid="{D7ECF9BA-B840-4CB9-86EE-C6C8ADBF9F09}" maximized="1" xWindow="-9" yWindow="-9" windowWidth="2418" windowHeight="1318" activeSheetId="16"/>
    <customWorkbookView name="se0002" guid="{A2283EE0-A24A-4CDC-857A-4B7175209974}" maximized="1" xWindow="-9" yWindow="-9" windowWidth="2418" windowHeight="1318" activeSheetId="16"/>
    <customWorkbookView name="se0001" guid="{FF63D40D-C45A-43CA-A9C5-895EDFA71399}" maximized="1" xWindow="-9" yWindow="-9" windowWidth="2418" windowHeight="1318" activeSheetId="16"/>
    <customWorkbookView name="Общий" guid="{95780374-5F6E-4995-810F-F6EFCCC977B7}" maximized="1" xWindow="-9" yWindow="-9" windowWidth="2418" windowHeight="1318" activeSheetId="16"/>
    <customWorkbookView name="se0024" guid="{A298CBA9-1955-45DC-966F-0472E427A6C6}" maximized="1" xWindow="-9" yWindow="-9" windowWidth="2578" windowHeight="1408" activeSheetId="16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6" l="1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2" i="16"/>
</calcChain>
</file>

<file path=xl/sharedStrings.xml><?xml version="1.0" encoding="utf-8"?>
<sst xmlns="http://schemas.openxmlformats.org/spreadsheetml/2006/main" count="644" uniqueCount="203">
  <si>
    <t>цена без НДС</t>
  </si>
  <si>
    <t>дата цены</t>
  </si>
  <si>
    <t>Манометр давления газа между ПЗК на горелке №1</t>
  </si>
  <si>
    <t>Манометр давления газа между ПЗК на горелке №2</t>
  </si>
  <si>
    <t>Манометр давления газа между ПЗК на горелке №3</t>
  </si>
  <si>
    <t>Манометр давления газа между ПЗК на горелке №4</t>
  </si>
  <si>
    <t>Манометр давления газа между ПЗК на горелке №5</t>
  </si>
  <si>
    <t>Манометр давления газа между ПЗК на горелке №6</t>
  </si>
  <si>
    <t>Манометр давления газа между ПЗК на горелке №7</t>
  </si>
  <si>
    <t>Манометр давления газа между ПЗК на горелке №8</t>
  </si>
  <si>
    <t>Манометр давления газа между ПЗК на горелке №9</t>
  </si>
  <si>
    <t>Манометр давления газа между ПЗК на горелке №10</t>
  </si>
  <si>
    <t>Манометр давления газа между ПЗК на горелке №11</t>
  </si>
  <si>
    <t>Манометр давления газа между ПЗК на горелке №12</t>
  </si>
  <si>
    <t>Манометр давления газа между ПЗК на горелке №13</t>
  </si>
  <si>
    <t>Манометр давления газа между ПЗК на горелке №14</t>
  </si>
  <si>
    <t>Манометр давления газа между ПЗК на горелке №15</t>
  </si>
  <si>
    <t>Манометр давления газа между ПЗК на горелке №16</t>
  </si>
  <si>
    <t>Манометр давления газа между ПЗК на горелке №17</t>
  </si>
  <si>
    <t>Манометр давления газа между ПЗК на горелке №18</t>
  </si>
  <si>
    <t>Манометр давления газа между ПЗК на горелке №19</t>
  </si>
  <si>
    <t>Манометр давления газа между ПЗК на горелке №20</t>
  </si>
  <si>
    <t>Манометр давления газа перед горелкой №1</t>
  </si>
  <si>
    <t>Манометр давления газа перед горелкой №2</t>
  </si>
  <si>
    <t>Манометр давления газа перед горелкой №3</t>
  </si>
  <si>
    <t>Манометр давления газа перед горелкой №4</t>
  </si>
  <si>
    <t>Манометр давления газа перед горелкой №5</t>
  </si>
  <si>
    <t>Манометр давления газа перед горелкой №6</t>
  </si>
  <si>
    <t>Манометр давления газа перед горелкой №7</t>
  </si>
  <si>
    <t>Манометр давления газа перед горелкой №8</t>
  </si>
  <si>
    <t>Манометр давления газа перед горелкой №9</t>
  </si>
  <si>
    <t>Манометр давления газа перед горелкой №10</t>
  </si>
  <si>
    <t>Манометр давления газа перед горелкой №11</t>
  </si>
  <si>
    <t>Манометр давления газа перед горелкой №12</t>
  </si>
  <si>
    <t>Манометр давления газа перед горелкой №13</t>
  </si>
  <si>
    <t>Манометр давления газа перед горелкой №14</t>
  </si>
  <si>
    <t>Манометр давления газа перед горелкой №15</t>
  </si>
  <si>
    <t>Манометр давления газа перед горелкой №16</t>
  </si>
  <si>
    <t>Манометр давления газа перед горелкой №17</t>
  </si>
  <si>
    <t>Манометр давления газа перед горелкой №18</t>
  </si>
  <si>
    <t>Манометр давления газа перед горелкой №19</t>
  </si>
  <si>
    <t>Манометр давления газа перед горелкой №20</t>
  </si>
  <si>
    <t>Манометр давления воздуха перед горелкой №1</t>
  </si>
  <si>
    <t>Манометр давления воздуха перед горелкой №2</t>
  </si>
  <si>
    <t>Манометр давления воздуха перед горелкой №3</t>
  </si>
  <si>
    <t>Манометр давления воздуха перед горелкой №4</t>
  </si>
  <si>
    <t>Манометр давления воздуха перед горелкой №5</t>
  </si>
  <si>
    <t>Манометр давления воздуха перед горелкой №6</t>
  </si>
  <si>
    <t>Манометр давления воздуха перед горелкой №7</t>
  </si>
  <si>
    <t>Манометр давления воздуха перед горелкой №8</t>
  </si>
  <si>
    <t>Манометр давления воздуха перед горелкой №9</t>
  </si>
  <si>
    <t>Манометр давления воздуха перед горелкой №10</t>
  </si>
  <si>
    <t>Манометр давления воздуха перед горелкой №11</t>
  </si>
  <si>
    <t>Манометр давления воздуха перед горелкой №12</t>
  </si>
  <si>
    <t>Манометр давления воздуха перед горелкой №13</t>
  </si>
  <si>
    <t>Манометр давления воздуха перед горелкой №14</t>
  </si>
  <si>
    <t>Манометр давления воздуха перед горелкой №15</t>
  </si>
  <si>
    <t>Манометр давления воздуха перед горелкой №16</t>
  </si>
  <si>
    <t>Манометр давления воздуха перед горелкой №17</t>
  </si>
  <si>
    <t>Манометр давления воздуха перед горелкой №18</t>
  </si>
  <si>
    <t>Манометр давления воздуха перед горелкой №19</t>
  </si>
  <si>
    <t>Манометр давления воздуха перед горелкой №20</t>
  </si>
  <si>
    <t>Манометр давления газа на входе в котел</t>
  </si>
  <si>
    <t>Термометр температуры газа в коллекторе</t>
  </si>
  <si>
    <t>Манометр давления газа в коллекторе</t>
  </si>
  <si>
    <t>Термометр температуры теплоносителя на входе в котел</t>
  </si>
  <si>
    <t>Манометр давления теплоносителя на входе в котел</t>
  </si>
  <si>
    <t>Манометр давления теплоносителя после котла</t>
  </si>
  <si>
    <t>Термометр температуры теплоносителя после котла</t>
  </si>
  <si>
    <t>Манометр разрежения в топке котла</t>
  </si>
  <si>
    <t>Термометр температуры дымовых газов</t>
  </si>
  <si>
    <t>g3Pi011</t>
  </si>
  <si>
    <t>g3Pi021</t>
  </si>
  <si>
    <t>g3Pi031</t>
  </si>
  <si>
    <t>g3Pi041</t>
  </si>
  <si>
    <t>g3Pi051</t>
  </si>
  <si>
    <t>g3Pi061</t>
  </si>
  <si>
    <t>g3Pi071</t>
  </si>
  <si>
    <t>g3Pi081</t>
  </si>
  <si>
    <t>g3Pi091</t>
  </si>
  <si>
    <t>g3Pi101</t>
  </si>
  <si>
    <t>g3Pi111</t>
  </si>
  <si>
    <t>g3Pi121</t>
  </si>
  <si>
    <t>g3Pi131</t>
  </si>
  <si>
    <t>g3Pi141</t>
  </si>
  <si>
    <t>g3Pi151</t>
  </si>
  <si>
    <t>g3Pi161</t>
  </si>
  <si>
    <t>g3Pi171</t>
  </si>
  <si>
    <t>g3Pi181</t>
  </si>
  <si>
    <t>g3Pi191</t>
  </si>
  <si>
    <t>g3Pi201</t>
  </si>
  <si>
    <t>g3Pi012</t>
  </si>
  <si>
    <t>g3Pi022</t>
  </si>
  <si>
    <t>g3Pi032</t>
  </si>
  <si>
    <t>g3Pi042</t>
  </si>
  <si>
    <t>g3Pi052</t>
  </si>
  <si>
    <t>g3Pi062</t>
  </si>
  <si>
    <t>g3Pi072</t>
  </si>
  <si>
    <t>g3Pi082</t>
  </si>
  <si>
    <t>g3Pi092</t>
  </si>
  <si>
    <t>g3Pi102</t>
  </si>
  <si>
    <t>g3Pi112</t>
  </si>
  <si>
    <t>g3Pi122</t>
  </si>
  <si>
    <t>g3Pi132</t>
  </si>
  <si>
    <t>g3Pi142</t>
  </si>
  <si>
    <t>g3Pi152</t>
  </si>
  <si>
    <t>g3Pi162</t>
  </si>
  <si>
    <t>g3Pi172</t>
  </si>
  <si>
    <t>g3Pi182</t>
  </si>
  <si>
    <t>g3Pi192</t>
  </si>
  <si>
    <t>g3Pi202</t>
  </si>
  <si>
    <t>g3Pi001</t>
  </si>
  <si>
    <t>g3Pi002</t>
  </si>
  <si>
    <t>w3Pi001</t>
  </si>
  <si>
    <t>w3Pi002</t>
  </si>
  <si>
    <t>f3Pi001</t>
  </si>
  <si>
    <t>g3Ti001</t>
  </si>
  <si>
    <t>w3Ti001</t>
  </si>
  <si>
    <t>w3Ti002</t>
  </si>
  <si>
    <t>f3Ti001</t>
  </si>
  <si>
    <t>кПа</t>
  </si>
  <si>
    <t>Росма</t>
  </si>
  <si>
    <t>Мпа</t>
  </si>
  <si>
    <t>ТМ-510Р.00(0-0,1МПа)М20х1,5.1,5</t>
  </si>
  <si>
    <t>КМ22Р(0-40кПа)М20х1,5.1,5</t>
  </si>
  <si>
    <t>КМ22Р(0-2,5кПа)М20х1,5.1,5</t>
  </si>
  <si>
    <t>БТ52.211(-30...+70С)G1/2.300.1,5</t>
  </si>
  <si>
    <t>БТ52.211(0-250С)G1/2.300.1,5</t>
  </si>
  <si>
    <t>БТ52.212(0-450С)G1/2.300.1,5 </t>
  </si>
  <si>
    <t>Горелка запальная газовая</t>
  </si>
  <si>
    <t>ООО "ЭТАЛОНПРИБОР"</t>
  </si>
  <si>
    <t>b3X174</t>
  </si>
  <si>
    <t>b3X044</t>
  </si>
  <si>
    <t>b3X034</t>
  </si>
  <si>
    <t>b3X104</t>
  </si>
  <si>
    <t>b3X114</t>
  </si>
  <si>
    <t>b3X184</t>
  </si>
  <si>
    <t>не электр.</t>
  </si>
  <si>
    <t>se</t>
  </si>
  <si>
    <t>id</t>
  </si>
  <si>
    <t>role</t>
  </si>
  <si>
    <t>sm</t>
  </si>
  <si>
    <t>param</t>
  </si>
  <si>
    <t>muparam</t>
  </si>
  <si>
    <t>weight</t>
  </si>
  <si>
    <t>power</t>
  </si>
  <si>
    <t>minparam</t>
  </si>
  <si>
    <t>maxparam</t>
  </si>
  <si>
    <t>name</t>
  </si>
  <si>
    <t>maker</t>
  </si>
  <si>
    <t>diam</t>
  </si>
  <si>
    <t>code</t>
  </si>
  <si>
    <t>addinfo</t>
  </si>
  <si>
    <t>°C</t>
  </si>
  <si>
    <t>ST</t>
  </si>
  <si>
    <t>x3ST1</t>
  </si>
  <si>
    <t>x3ST2</t>
  </si>
  <si>
    <t>x3ST3</t>
  </si>
  <si>
    <t>x3ST4</t>
  </si>
  <si>
    <t>x3ST5</t>
  </si>
  <si>
    <t>x3ST6</t>
  </si>
  <si>
    <t>x3ST7</t>
  </si>
  <si>
    <t>x3ST9</t>
  </si>
  <si>
    <t>x3ST8</t>
  </si>
  <si>
    <t>x3ST10</t>
  </si>
  <si>
    <t>w3ST1</t>
  </si>
  <si>
    <t>ЭИВ-01-И-1000</t>
  </si>
  <si>
    <t>КМВ22Р(-0,8…0,8кПа)М20х1,5</t>
  </si>
  <si>
    <t>ТМ610Р.00(0-4,0мПа)М20х1,5.1,5</t>
  </si>
  <si>
    <t>book</t>
  </si>
  <si>
    <t>ГС</t>
  </si>
  <si>
    <t>f3ST1</t>
  </si>
  <si>
    <t>a3Pi011</t>
  </si>
  <si>
    <t>a3Pi021</t>
  </si>
  <si>
    <t>a3Pi031</t>
  </si>
  <si>
    <t>a3Pi041</t>
  </si>
  <si>
    <t>a3Pi051</t>
  </si>
  <si>
    <t>a3Pi061</t>
  </si>
  <si>
    <t>a3Pi071</t>
  </si>
  <si>
    <t>a3Pi081</t>
  </si>
  <si>
    <t>a3Pi091</t>
  </si>
  <si>
    <t>a3Pi101</t>
  </si>
  <si>
    <t>a3Pi111</t>
  </si>
  <si>
    <t>a3Pi121</t>
  </si>
  <si>
    <t>a3Pi131</t>
  </si>
  <si>
    <t>a3Pi141</t>
  </si>
  <si>
    <t>a3Pi151</t>
  </si>
  <si>
    <t>a3Pi161</t>
  </si>
  <si>
    <t>a3Pi171</t>
  </si>
  <si>
    <t>a3Pi181</t>
  </si>
  <si>
    <t>a3Pi191</t>
  </si>
  <si>
    <t>a3Pi201</t>
  </si>
  <si>
    <t>sm0002</t>
  </si>
  <si>
    <t>sm0003</t>
  </si>
  <si>
    <t>sm0001</t>
  </si>
  <si>
    <t>sm0009</t>
  </si>
  <si>
    <t>sm0004</t>
  </si>
  <si>
    <t>sm0006</t>
  </si>
  <si>
    <t>Затвор дисковый К-4 на выходе котловой воды из ВК-2</t>
  </si>
  <si>
    <t>ПЭМ-Б5М У2, 1,5кВт</t>
  </si>
  <si>
    <t xml:space="preserve">АБС ЗЭиМ </t>
  </si>
  <si>
    <t>F2NDF10AA001</t>
  </si>
  <si>
    <t>se0030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</si>
</sst>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Arial Narrow"/>
      <family val="2"/>
      <charset val="204"/>
    </font>
    <font>
      <sz val="11"/>
      <color rgb="FF00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Fill="1" applyBorder="1"/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/>
    <xf numFmtId="0" fontId="0" fillId="0" borderId="0" xfId="0" applyFill="1"/>
    <xf numFmtId="0" fontId="0" fillId="0" borderId="0" xfId="0" applyFont="1" applyFill="1"/>
    <xf numFmtId="14" fontId="0" fillId="0" borderId="0" xfId="0" applyNumberFormat="1" applyFill="1"/>
    <xf numFmtId="0" fontId="3" fillId="0" borderId="0" xfId="0" applyFont="1" applyFill="1"/>
    <xf numFmtId="0" fontId="0" fillId="0" borderId="0" xfId="0" applyFill="1" applyAlignment="1">
      <alignment vertical="top"/>
    </xf>
    <xf numFmtId="0" fontId="0" fillId="0" borderId="0" xfId="0" applyFont="1" applyFill="1" applyBorder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13" Type="http://schemas.openxmlformats.org/officeDocument/2006/relationships/printerSettings" Target="../printerSettings/printerSettings13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12" Type="http://schemas.openxmlformats.org/officeDocument/2006/relationships/printerSettings" Target="../printerSettings/printerSettings12.bin"/><Relationship Id="rId17" Type="http://schemas.openxmlformats.org/officeDocument/2006/relationships/printerSettings" Target="../printerSettings/printerSettings17.bin"/><Relationship Id="rId2" Type="http://schemas.openxmlformats.org/officeDocument/2006/relationships/printerSettings" Target="../printerSettings/printerSettings2.bin"/><Relationship Id="rId16" Type="http://schemas.openxmlformats.org/officeDocument/2006/relationships/printerSettings" Target="../printerSettings/printerSettings16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5" Type="http://schemas.openxmlformats.org/officeDocument/2006/relationships/printerSettings" Target="../printerSettings/printerSettings5.bin"/><Relationship Id="rId15" Type="http://schemas.openxmlformats.org/officeDocument/2006/relationships/printerSettings" Target="../printerSettings/printerSettings15.bin"/><Relationship Id="rId10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Relationship Id="rId14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pageSetUpPr autoPageBreaks="0"/>
  </sheetPr>
  <dimension ref="A1:S78"/>
  <sheetViews>
    <sheetView tabSelected="1" zoomScale="85" zoomScaleNormal="85" workbookViewId="0">
      <pane xSplit="1" topLeftCell="B1" activePane="topRight" state="frozen"/>
      <selection pane="topRight" activeCell="P78" sqref="P78"/>
    </sheetView>
  </sheetViews>
  <sheetFormatPr defaultColWidth="9.140625" defaultRowHeight="15" x14ac:dyDescent="0.25"/>
  <cols>
    <col min="1" max="1" width="14.42578125" style="4" bestFit="1" customWidth="1"/>
    <col min="2" max="2" width="61.28515625" style="4" bestFit="1" customWidth="1"/>
    <col min="3" max="3" width="91.85546875" style="4" customWidth="1"/>
    <col min="4" max="4" width="9.7109375" style="4" hidden="1" customWidth="1"/>
    <col min="5" max="5" width="10.5703125" style="4" hidden="1" customWidth="1"/>
    <col min="6" max="6" width="10.7109375" style="4" hidden="1" customWidth="1"/>
    <col min="7" max="7" width="7" style="4" hidden="1" customWidth="1"/>
    <col min="8" max="8" width="9.42578125" style="4" hidden="1" customWidth="1"/>
    <col min="9" max="9" width="5.85546875" style="4" hidden="1" customWidth="1"/>
    <col min="10" max="10" width="6.85546875" style="4" hidden="1" customWidth="1"/>
    <col min="11" max="11" width="4.85546875" style="4" hidden="1" customWidth="1"/>
    <col min="12" max="12" width="8.42578125" style="4" hidden="1" customWidth="1"/>
    <col min="13" max="13" width="7.42578125" style="4" hidden="1" customWidth="1"/>
    <col min="14" max="14" width="13.5703125" style="4" hidden="1" customWidth="1"/>
    <col min="15" max="15" width="11.140625" style="4" hidden="1" customWidth="1"/>
    <col min="16" max="16" width="10.5703125" style="4" bestFit="1" customWidth="1"/>
    <col min="17" max="17" width="7.5703125" style="1" bestFit="1" customWidth="1"/>
    <col min="18" max="18" width="7.140625" style="1" bestFit="1" customWidth="1"/>
    <col min="19" max="19" width="5.42578125" style="1" customWidth="1"/>
    <col min="20" max="16384" width="9.140625" style="4"/>
  </cols>
  <sheetData>
    <row r="1" spans="1:19" x14ac:dyDescent="0.25">
      <c r="A1" s="4" t="s">
        <v>139</v>
      </c>
      <c r="B1" s="4" t="s">
        <v>140</v>
      </c>
      <c r="C1" s="1" t="s">
        <v>148</v>
      </c>
      <c r="D1" s="4" t="s">
        <v>149</v>
      </c>
      <c r="E1" s="4" t="s">
        <v>146</v>
      </c>
      <c r="F1" s="4" t="s">
        <v>147</v>
      </c>
      <c r="G1" s="4" t="s">
        <v>142</v>
      </c>
      <c r="H1" s="4" t="s">
        <v>143</v>
      </c>
      <c r="I1" s="4" t="s">
        <v>150</v>
      </c>
      <c r="J1" s="4" t="s">
        <v>145</v>
      </c>
      <c r="K1" s="4" t="s">
        <v>151</v>
      </c>
      <c r="L1" s="4" t="s">
        <v>152</v>
      </c>
      <c r="M1" s="4" t="s">
        <v>144</v>
      </c>
      <c r="N1" s="4" t="s">
        <v>0</v>
      </c>
      <c r="O1" s="4" t="s">
        <v>1</v>
      </c>
      <c r="P1" s="5" t="s">
        <v>138</v>
      </c>
      <c r="Q1" s="9" t="s">
        <v>141</v>
      </c>
      <c r="R1" s="9" t="s">
        <v>154</v>
      </c>
      <c r="S1" s="11" t="s">
        <v>169</v>
      </c>
    </row>
    <row r="2" spans="1:19" ht="25.5" customHeight="1" x14ac:dyDescent="0.25">
      <c r="A2" s="1" t="s">
        <v>201</v>
      </c>
      <c r="B2" s="1" t="s">
        <v>198</v>
      </c>
      <c r="C2" s="2" t="s">
        <v>199</v>
      </c>
      <c r="D2" s="4" t="s">
        <v>200</v>
      </c>
      <c r="G2" s="4" t="str">
        <f>IF(F2="","",F2)</f>
        <v/>
      </c>
      <c r="J2" s="4">
        <v>0.7</v>
      </c>
      <c r="M2" s="4">
        <v>0.4</v>
      </c>
      <c r="N2" s="4">
        <v>59675</v>
      </c>
      <c r="O2" s="6">
        <v>45427</v>
      </c>
      <c r="P2" s="4" t="s">
        <v>202</v>
      </c>
      <c r="Q2" s="10"/>
      <c r="S2" s="10" t="s">
        <v>170</v>
      </c>
    </row>
    <row r="3" spans="1:19" hidden="1" x14ac:dyDescent="0.25">
      <c r="A3" s="4" t="s">
        <v>71</v>
      </c>
      <c r="B3" s="4" t="s">
        <v>2</v>
      </c>
      <c r="C3" s="4" t="s">
        <v>123</v>
      </c>
      <c r="D3" s="4" t="s">
        <v>121</v>
      </c>
      <c r="E3" s="4">
        <v>0</v>
      </c>
      <c r="F3" s="4">
        <v>100</v>
      </c>
      <c r="G3" s="4">
        <f t="shared" ref="G3:G27" si="0">IF(F3="","",F3)</f>
        <v>100</v>
      </c>
      <c r="H3" s="4" t="s">
        <v>120</v>
      </c>
      <c r="M3" s="4">
        <v>0.4</v>
      </c>
      <c r="N3" s="4">
        <v>955</v>
      </c>
      <c r="O3" s="6">
        <v>45427</v>
      </c>
      <c r="P3" s="4" t="s">
        <v>137</v>
      </c>
      <c r="Q3" s="10" t="s">
        <v>194</v>
      </c>
      <c r="R3" s="1" t="s">
        <v>155</v>
      </c>
      <c r="S3" s="10" t="s">
        <v>170</v>
      </c>
    </row>
    <row r="4" spans="1:19" hidden="1" x14ac:dyDescent="0.25">
      <c r="A4" s="4" t="s">
        <v>72</v>
      </c>
      <c r="B4" s="4" t="s">
        <v>3</v>
      </c>
      <c r="C4" s="4" t="s">
        <v>123</v>
      </c>
      <c r="D4" s="4" t="s">
        <v>121</v>
      </c>
      <c r="E4" s="4">
        <v>0</v>
      </c>
      <c r="F4" s="4">
        <v>100</v>
      </c>
      <c r="G4" s="4">
        <f t="shared" si="0"/>
        <v>100</v>
      </c>
      <c r="H4" s="4" t="s">
        <v>120</v>
      </c>
      <c r="M4" s="4">
        <v>0.4</v>
      </c>
      <c r="N4" s="4">
        <v>955</v>
      </c>
      <c r="O4" s="6">
        <v>45427</v>
      </c>
      <c r="P4" s="4" t="s">
        <v>137</v>
      </c>
      <c r="Q4" s="10" t="s">
        <v>194</v>
      </c>
      <c r="R4" s="1" t="s">
        <v>156</v>
      </c>
      <c r="S4" s="10" t="s">
        <v>170</v>
      </c>
    </row>
    <row r="5" spans="1:19" hidden="1" x14ac:dyDescent="0.25">
      <c r="A5" s="4" t="s">
        <v>73</v>
      </c>
      <c r="B5" s="4" t="s">
        <v>4</v>
      </c>
      <c r="C5" s="4" t="s">
        <v>123</v>
      </c>
      <c r="D5" s="4" t="s">
        <v>121</v>
      </c>
      <c r="E5" s="4">
        <v>0</v>
      </c>
      <c r="F5" s="4">
        <v>100</v>
      </c>
      <c r="G5" s="4">
        <f t="shared" si="0"/>
        <v>100</v>
      </c>
      <c r="H5" s="4" t="s">
        <v>120</v>
      </c>
      <c r="M5" s="4">
        <v>0.4</v>
      </c>
      <c r="N5" s="4">
        <v>955</v>
      </c>
      <c r="O5" s="6">
        <v>45427</v>
      </c>
      <c r="P5" s="4" t="s">
        <v>137</v>
      </c>
      <c r="Q5" s="10" t="s">
        <v>194</v>
      </c>
      <c r="R5" s="1" t="s">
        <v>155</v>
      </c>
      <c r="S5" s="10" t="s">
        <v>170</v>
      </c>
    </row>
    <row r="6" spans="1:19" hidden="1" x14ac:dyDescent="0.25">
      <c r="A6" s="4" t="s">
        <v>74</v>
      </c>
      <c r="B6" s="4" t="s">
        <v>5</v>
      </c>
      <c r="C6" s="4" t="s">
        <v>123</v>
      </c>
      <c r="D6" s="4" t="s">
        <v>121</v>
      </c>
      <c r="E6" s="4">
        <v>0</v>
      </c>
      <c r="F6" s="4">
        <v>100</v>
      </c>
      <c r="G6" s="4">
        <f t="shared" si="0"/>
        <v>100</v>
      </c>
      <c r="H6" s="4" t="s">
        <v>120</v>
      </c>
      <c r="M6" s="4">
        <v>0.4</v>
      </c>
      <c r="N6" s="4">
        <v>955</v>
      </c>
      <c r="O6" s="6">
        <v>45427</v>
      </c>
      <c r="P6" s="4" t="s">
        <v>137</v>
      </c>
      <c r="Q6" s="10" t="s">
        <v>194</v>
      </c>
      <c r="R6" s="1" t="s">
        <v>156</v>
      </c>
      <c r="S6" s="10" t="s">
        <v>170</v>
      </c>
    </row>
    <row r="7" spans="1:19" hidden="1" x14ac:dyDescent="0.25">
      <c r="A7" s="4" t="s">
        <v>75</v>
      </c>
      <c r="B7" s="4" t="s">
        <v>6</v>
      </c>
      <c r="C7" s="4" t="s">
        <v>123</v>
      </c>
      <c r="D7" s="4" t="s">
        <v>121</v>
      </c>
      <c r="E7" s="4">
        <v>0</v>
      </c>
      <c r="F7" s="4">
        <v>100</v>
      </c>
      <c r="G7" s="4">
        <f t="shared" si="0"/>
        <v>100</v>
      </c>
      <c r="H7" s="4" t="s">
        <v>120</v>
      </c>
      <c r="M7" s="4">
        <v>0.4</v>
      </c>
      <c r="N7" s="4">
        <v>955</v>
      </c>
      <c r="O7" s="6">
        <v>45427</v>
      </c>
      <c r="P7" s="4" t="s">
        <v>137</v>
      </c>
      <c r="Q7" s="10" t="s">
        <v>194</v>
      </c>
      <c r="R7" s="1" t="s">
        <v>157</v>
      </c>
      <c r="S7" s="10" t="s">
        <v>170</v>
      </c>
    </row>
    <row r="8" spans="1:19" hidden="1" x14ac:dyDescent="0.25">
      <c r="A8" s="4" t="s">
        <v>76</v>
      </c>
      <c r="B8" s="4" t="s">
        <v>7</v>
      </c>
      <c r="C8" s="4" t="s">
        <v>123</v>
      </c>
      <c r="D8" s="4" t="s">
        <v>121</v>
      </c>
      <c r="E8" s="4">
        <v>0</v>
      </c>
      <c r="F8" s="4">
        <v>100</v>
      </c>
      <c r="G8" s="4">
        <f t="shared" si="0"/>
        <v>100</v>
      </c>
      <c r="H8" s="4" t="s">
        <v>120</v>
      </c>
      <c r="M8" s="4">
        <v>0.4</v>
      </c>
      <c r="N8" s="4">
        <v>955</v>
      </c>
      <c r="O8" s="6">
        <v>45427</v>
      </c>
      <c r="P8" s="4" t="s">
        <v>137</v>
      </c>
      <c r="Q8" s="10" t="s">
        <v>194</v>
      </c>
      <c r="R8" s="1" t="s">
        <v>158</v>
      </c>
      <c r="S8" s="10" t="s">
        <v>170</v>
      </c>
    </row>
    <row r="9" spans="1:19" hidden="1" x14ac:dyDescent="0.25">
      <c r="A9" s="4" t="s">
        <v>77</v>
      </c>
      <c r="B9" s="4" t="s">
        <v>8</v>
      </c>
      <c r="C9" s="4" t="s">
        <v>123</v>
      </c>
      <c r="D9" s="4" t="s">
        <v>121</v>
      </c>
      <c r="E9" s="4">
        <v>0</v>
      </c>
      <c r="F9" s="4">
        <v>100</v>
      </c>
      <c r="G9" s="4">
        <f t="shared" si="0"/>
        <v>100</v>
      </c>
      <c r="H9" s="4" t="s">
        <v>120</v>
      </c>
      <c r="M9" s="4">
        <v>0.4</v>
      </c>
      <c r="N9" s="4">
        <v>955</v>
      </c>
      <c r="O9" s="6">
        <v>45427</v>
      </c>
      <c r="P9" s="4" t="s">
        <v>137</v>
      </c>
      <c r="Q9" s="10" t="s">
        <v>194</v>
      </c>
      <c r="R9" s="1" t="s">
        <v>157</v>
      </c>
      <c r="S9" s="10" t="s">
        <v>170</v>
      </c>
    </row>
    <row r="10" spans="1:19" hidden="1" x14ac:dyDescent="0.25">
      <c r="A10" s="4" t="s">
        <v>78</v>
      </c>
      <c r="B10" s="4" t="s">
        <v>9</v>
      </c>
      <c r="C10" s="4" t="s">
        <v>123</v>
      </c>
      <c r="D10" s="4" t="s">
        <v>121</v>
      </c>
      <c r="E10" s="4">
        <v>0</v>
      </c>
      <c r="F10" s="4">
        <v>100</v>
      </c>
      <c r="G10" s="4">
        <f t="shared" si="0"/>
        <v>100</v>
      </c>
      <c r="H10" s="4" t="s">
        <v>120</v>
      </c>
      <c r="M10" s="4">
        <v>0.4</v>
      </c>
      <c r="N10" s="4">
        <v>955</v>
      </c>
      <c r="O10" s="6">
        <v>45427</v>
      </c>
      <c r="P10" s="4" t="s">
        <v>137</v>
      </c>
      <c r="Q10" s="10" t="s">
        <v>194</v>
      </c>
      <c r="R10" s="1" t="s">
        <v>158</v>
      </c>
      <c r="S10" s="10" t="s">
        <v>170</v>
      </c>
    </row>
    <row r="11" spans="1:19" hidden="1" x14ac:dyDescent="0.25">
      <c r="A11" s="4" t="s">
        <v>79</v>
      </c>
      <c r="B11" s="4" t="s">
        <v>10</v>
      </c>
      <c r="C11" s="4" t="s">
        <v>123</v>
      </c>
      <c r="D11" s="4" t="s">
        <v>121</v>
      </c>
      <c r="E11" s="4">
        <v>0</v>
      </c>
      <c r="F11" s="4">
        <v>100</v>
      </c>
      <c r="G11" s="4">
        <f t="shared" si="0"/>
        <v>100</v>
      </c>
      <c r="H11" s="4" t="s">
        <v>120</v>
      </c>
      <c r="M11" s="4">
        <v>0.4</v>
      </c>
      <c r="N11" s="4">
        <v>955</v>
      </c>
      <c r="O11" s="6">
        <v>45427</v>
      </c>
      <c r="P11" s="4" t="s">
        <v>137</v>
      </c>
      <c r="Q11" s="10" t="s">
        <v>194</v>
      </c>
      <c r="R11" s="1" t="s">
        <v>159</v>
      </c>
      <c r="S11" s="10" t="s">
        <v>170</v>
      </c>
    </row>
    <row r="12" spans="1:19" hidden="1" x14ac:dyDescent="0.25">
      <c r="A12" s="4" t="s">
        <v>80</v>
      </c>
      <c r="B12" s="4" t="s">
        <v>11</v>
      </c>
      <c r="C12" s="4" t="s">
        <v>123</v>
      </c>
      <c r="D12" s="4" t="s">
        <v>121</v>
      </c>
      <c r="E12" s="4">
        <v>0</v>
      </c>
      <c r="F12" s="4">
        <v>100</v>
      </c>
      <c r="G12" s="4">
        <f t="shared" si="0"/>
        <v>100</v>
      </c>
      <c r="H12" s="4" t="s">
        <v>120</v>
      </c>
      <c r="M12" s="4">
        <v>0.4</v>
      </c>
      <c r="N12" s="4">
        <v>955</v>
      </c>
      <c r="O12" s="6">
        <v>45427</v>
      </c>
      <c r="P12" s="4" t="s">
        <v>137</v>
      </c>
      <c r="Q12" s="10" t="s">
        <v>194</v>
      </c>
      <c r="R12" s="1" t="s">
        <v>160</v>
      </c>
      <c r="S12" s="10" t="s">
        <v>170</v>
      </c>
    </row>
    <row r="13" spans="1:19" hidden="1" x14ac:dyDescent="0.25">
      <c r="A13" s="4" t="s">
        <v>81</v>
      </c>
      <c r="B13" s="4" t="s">
        <v>12</v>
      </c>
      <c r="C13" s="4" t="s">
        <v>123</v>
      </c>
      <c r="D13" s="4" t="s">
        <v>121</v>
      </c>
      <c r="E13" s="4">
        <v>0</v>
      </c>
      <c r="F13" s="4">
        <v>100</v>
      </c>
      <c r="G13" s="4">
        <f t="shared" si="0"/>
        <v>100</v>
      </c>
      <c r="H13" s="4" t="s">
        <v>120</v>
      </c>
      <c r="M13" s="4">
        <v>0.4</v>
      </c>
      <c r="N13" s="4">
        <v>955</v>
      </c>
      <c r="O13" s="6">
        <v>45427</v>
      </c>
      <c r="P13" s="4" t="s">
        <v>137</v>
      </c>
      <c r="Q13" s="10" t="s">
        <v>194</v>
      </c>
      <c r="R13" s="1" t="s">
        <v>159</v>
      </c>
      <c r="S13" s="10" t="s">
        <v>170</v>
      </c>
    </row>
    <row r="14" spans="1:19" hidden="1" x14ac:dyDescent="0.25">
      <c r="A14" s="4" t="s">
        <v>82</v>
      </c>
      <c r="B14" s="4" t="s">
        <v>13</v>
      </c>
      <c r="C14" s="4" t="s">
        <v>123</v>
      </c>
      <c r="D14" s="4" t="s">
        <v>121</v>
      </c>
      <c r="E14" s="4">
        <v>0</v>
      </c>
      <c r="F14" s="4">
        <v>100</v>
      </c>
      <c r="G14" s="4">
        <f t="shared" si="0"/>
        <v>100</v>
      </c>
      <c r="H14" s="4" t="s">
        <v>120</v>
      </c>
      <c r="M14" s="4">
        <v>0.4</v>
      </c>
      <c r="N14" s="4">
        <v>955</v>
      </c>
      <c r="O14" s="6">
        <v>45427</v>
      </c>
      <c r="P14" s="4" t="s">
        <v>137</v>
      </c>
      <c r="Q14" s="10" t="s">
        <v>194</v>
      </c>
      <c r="R14" s="1" t="s">
        <v>160</v>
      </c>
      <c r="S14" s="10" t="s">
        <v>170</v>
      </c>
    </row>
    <row r="15" spans="1:19" hidden="1" x14ac:dyDescent="0.25">
      <c r="A15" s="4" t="s">
        <v>83</v>
      </c>
      <c r="B15" s="4" t="s">
        <v>14</v>
      </c>
      <c r="C15" s="4" t="s">
        <v>123</v>
      </c>
      <c r="D15" s="4" t="s">
        <v>121</v>
      </c>
      <c r="E15" s="4">
        <v>0</v>
      </c>
      <c r="F15" s="4">
        <v>100</v>
      </c>
      <c r="G15" s="4">
        <f t="shared" si="0"/>
        <v>100</v>
      </c>
      <c r="H15" s="4" t="s">
        <v>120</v>
      </c>
      <c r="M15" s="4">
        <v>0.4</v>
      </c>
      <c r="N15" s="4">
        <v>955</v>
      </c>
      <c r="O15" s="6">
        <v>45427</v>
      </c>
      <c r="P15" s="4" t="s">
        <v>137</v>
      </c>
      <c r="Q15" s="10" t="s">
        <v>194</v>
      </c>
      <c r="R15" s="1" t="s">
        <v>161</v>
      </c>
      <c r="S15" s="10" t="s">
        <v>170</v>
      </c>
    </row>
    <row r="16" spans="1:19" hidden="1" x14ac:dyDescent="0.25">
      <c r="A16" s="4" t="s">
        <v>84</v>
      </c>
      <c r="B16" s="4" t="s">
        <v>15</v>
      </c>
      <c r="C16" s="4" t="s">
        <v>123</v>
      </c>
      <c r="D16" s="4" t="s">
        <v>121</v>
      </c>
      <c r="E16" s="4">
        <v>0</v>
      </c>
      <c r="F16" s="4">
        <v>100</v>
      </c>
      <c r="G16" s="4">
        <f t="shared" si="0"/>
        <v>100</v>
      </c>
      <c r="H16" s="4" t="s">
        <v>120</v>
      </c>
      <c r="M16" s="4">
        <v>0.4</v>
      </c>
      <c r="N16" s="4">
        <v>955</v>
      </c>
      <c r="O16" s="6">
        <v>45427</v>
      </c>
      <c r="P16" s="4" t="s">
        <v>137</v>
      </c>
      <c r="Q16" s="10" t="s">
        <v>194</v>
      </c>
      <c r="R16" s="1" t="s">
        <v>163</v>
      </c>
      <c r="S16" s="10" t="s">
        <v>170</v>
      </c>
    </row>
    <row r="17" spans="1:19" hidden="1" x14ac:dyDescent="0.25">
      <c r="A17" s="4" t="s">
        <v>85</v>
      </c>
      <c r="B17" s="4" t="s">
        <v>16</v>
      </c>
      <c r="C17" s="4" t="s">
        <v>123</v>
      </c>
      <c r="D17" s="4" t="s">
        <v>121</v>
      </c>
      <c r="E17" s="4">
        <v>0</v>
      </c>
      <c r="F17" s="4">
        <v>100</v>
      </c>
      <c r="G17" s="4">
        <f t="shared" si="0"/>
        <v>100</v>
      </c>
      <c r="H17" s="4" t="s">
        <v>120</v>
      </c>
      <c r="M17" s="4">
        <v>0.4</v>
      </c>
      <c r="N17" s="4">
        <v>955</v>
      </c>
      <c r="O17" s="6">
        <v>45427</v>
      </c>
      <c r="P17" s="4" t="s">
        <v>137</v>
      </c>
      <c r="Q17" s="10" t="s">
        <v>194</v>
      </c>
      <c r="R17" s="1" t="s">
        <v>161</v>
      </c>
      <c r="S17" s="10" t="s">
        <v>170</v>
      </c>
    </row>
    <row r="18" spans="1:19" hidden="1" x14ac:dyDescent="0.25">
      <c r="A18" s="4" t="s">
        <v>86</v>
      </c>
      <c r="B18" s="4" t="s">
        <v>17</v>
      </c>
      <c r="C18" s="4" t="s">
        <v>123</v>
      </c>
      <c r="D18" s="4" t="s">
        <v>121</v>
      </c>
      <c r="E18" s="4">
        <v>0</v>
      </c>
      <c r="F18" s="4">
        <v>100</v>
      </c>
      <c r="G18" s="4">
        <f t="shared" si="0"/>
        <v>100</v>
      </c>
      <c r="H18" s="4" t="s">
        <v>120</v>
      </c>
      <c r="M18" s="4">
        <v>0.4</v>
      </c>
      <c r="N18" s="4">
        <v>955</v>
      </c>
      <c r="O18" s="6">
        <v>45427</v>
      </c>
      <c r="P18" s="4" t="s">
        <v>137</v>
      </c>
      <c r="Q18" s="10" t="s">
        <v>194</v>
      </c>
      <c r="R18" s="1" t="s">
        <v>163</v>
      </c>
      <c r="S18" s="10" t="s">
        <v>170</v>
      </c>
    </row>
    <row r="19" spans="1:19" hidden="1" x14ac:dyDescent="0.25">
      <c r="A19" s="4" t="s">
        <v>87</v>
      </c>
      <c r="B19" s="4" t="s">
        <v>18</v>
      </c>
      <c r="C19" s="4" t="s">
        <v>123</v>
      </c>
      <c r="D19" s="4" t="s">
        <v>121</v>
      </c>
      <c r="E19" s="4">
        <v>0</v>
      </c>
      <c r="F19" s="4">
        <v>100</v>
      </c>
      <c r="G19" s="4">
        <f t="shared" si="0"/>
        <v>100</v>
      </c>
      <c r="H19" s="4" t="s">
        <v>120</v>
      </c>
      <c r="M19" s="4">
        <v>0.4</v>
      </c>
      <c r="N19" s="4">
        <v>955</v>
      </c>
      <c r="O19" s="6">
        <v>45427</v>
      </c>
      <c r="P19" s="4" t="s">
        <v>137</v>
      </c>
      <c r="Q19" s="10" t="s">
        <v>194</v>
      </c>
      <c r="R19" s="1" t="s">
        <v>162</v>
      </c>
      <c r="S19" s="10" t="s">
        <v>170</v>
      </c>
    </row>
    <row r="20" spans="1:19" hidden="1" x14ac:dyDescent="0.25">
      <c r="A20" s="4" t="s">
        <v>88</v>
      </c>
      <c r="B20" s="4" t="s">
        <v>19</v>
      </c>
      <c r="C20" s="4" t="s">
        <v>123</v>
      </c>
      <c r="D20" s="4" t="s">
        <v>121</v>
      </c>
      <c r="E20" s="4">
        <v>0</v>
      </c>
      <c r="F20" s="4">
        <v>100</v>
      </c>
      <c r="G20" s="4">
        <f t="shared" si="0"/>
        <v>100</v>
      </c>
      <c r="H20" s="4" t="s">
        <v>120</v>
      </c>
      <c r="M20" s="4">
        <v>0.4</v>
      </c>
      <c r="N20" s="4">
        <v>955</v>
      </c>
      <c r="O20" s="6">
        <v>45427</v>
      </c>
      <c r="P20" s="4" t="s">
        <v>137</v>
      </c>
      <c r="Q20" s="10" t="s">
        <v>194</v>
      </c>
      <c r="R20" s="1" t="s">
        <v>164</v>
      </c>
      <c r="S20" s="10" t="s">
        <v>170</v>
      </c>
    </row>
    <row r="21" spans="1:19" hidden="1" x14ac:dyDescent="0.25">
      <c r="A21" s="4" t="s">
        <v>89</v>
      </c>
      <c r="B21" s="4" t="s">
        <v>20</v>
      </c>
      <c r="C21" s="4" t="s">
        <v>123</v>
      </c>
      <c r="D21" s="4" t="s">
        <v>121</v>
      </c>
      <c r="E21" s="4">
        <v>0</v>
      </c>
      <c r="F21" s="4">
        <v>100</v>
      </c>
      <c r="G21" s="4">
        <f t="shared" si="0"/>
        <v>100</v>
      </c>
      <c r="H21" s="4" t="s">
        <v>120</v>
      </c>
      <c r="M21" s="4">
        <v>0.4</v>
      </c>
      <c r="N21" s="4">
        <v>955</v>
      </c>
      <c r="O21" s="6">
        <v>45427</v>
      </c>
      <c r="P21" s="4" t="s">
        <v>137</v>
      </c>
      <c r="Q21" s="10" t="s">
        <v>194</v>
      </c>
      <c r="R21" s="1" t="s">
        <v>162</v>
      </c>
      <c r="S21" s="10" t="s">
        <v>170</v>
      </c>
    </row>
    <row r="22" spans="1:19" hidden="1" x14ac:dyDescent="0.25">
      <c r="A22" s="4" t="s">
        <v>90</v>
      </c>
      <c r="B22" s="4" t="s">
        <v>21</v>
      </c>
      <c r="C22" s="4" t="s">
        <v>123</v>
      </c>
      <c r="D22" s="4" t="s">
        <v>121</v>
      </c>
      <c r="E22" s="4">
        <v>0</v>
      </c>
      <c r="F22" s="4">
        <v>100</v>
      </c>
      <c r="G22" s="4">
        <f t="shared" si="0"/>
        <v>100</v>
      </c>
      <c r="H22" s="4" t="s">
        <v>120</v>
      </c>
      <c r="M22" s="4">
        <v>0.4</v>
      </c>
      <c r="N22" s="4">
        <v>955</v>
      </c>
      <c r="O22" s="6">
        <v>45427</v>
      </c>
      <c r="P22" s="4" t="s">
        <v>137</v>
      </c>
      <c r="Q22" s="10" t="s">
        <v>194</v>
      </c>
      <c r="R22" s="1" t="s">
        <v>164</v>
      </c>
      <c r="S22" s="10" t="s">
        <v>170</v>
      </c>
    </row>
    <row r="23" spans="1:19" hidden="1" x14ac:dyDescent="0.25">
      <c r="A23" s="4" t="s">
        <v>91</v>
      </c>
      <c r="B23" s="4" t="s">
        <v>22</v>
      </c>
      <c r="C23" s="4" t="s">
        <v>124</v>
      </c>
      <c r="D23" s="4" t="s">
        <v>121</v>
      </c>
      <c r="E23" s="4">
        <v>0</v>
      </c>
      <c r="F23" s="4">
        <v>40</v>
      </c>
      <c r="G23" s="4">
        <f t="shared" si="0"/>
        <v>40</v>
      </c>
      <c r="H23" s="4" t="s">
        <v>120</v>
      </c>
      <c r="M23" s="4">
        <v>0.6</v>
      </c>
      <c r="N23" s="4">
        <v>4070</v>
      </c>
      <c r="O23" s="6">
        <v>45427</v>
      </c>
      <c r="P23" s="4" t="s">
        <v>137</v>
      </c>
      <c r="Q23" s="10" t="s">
        <v>194</v>
      </c>
      <c r="R23" s="1" t="s">
        <v>155</v>
      </c>
      <c r="S23" s="10" t="s">
        <v>170</v>
      </c>
    </row>
    <row r="24" spans="1:19" hidden="1" x14ac:dyDescent="0.25">
      <c r="A24" s="4" t="s">
        <v>92</v>
      </c>
      <c r="B24" s="4" t="s">
        <v>23</v>
      </c>
      <c r="C24" s="4" t="s">
        <v>124</v>
      </c>
      <c r="D24" s="4" t="s">
        <v>121</v>
      </c>
      <c r="E24" s="4">
        <v>0</v>
      </c>
      <c r="F24" s="4">
        <v>40</v>
      </c>
      <c r="G24" s="4">
        <f t="shared" si="0"/>
        <v>40</v>
      </c>
      <c r="H24" s="4" t="s">
        <v>120</v>
      </c>
      <c r="M24" s="4">
        <v>0.6</v>
      </c>
      <c r="N24" s="4">
        <v>4070</v>
      </c>
      <c r="O24" s="6">
        <v>45427</v>
      </c>
      <c r="P24" s="4" t="s">
        <v>137</v>
      </c>
      <c r="Q24" s="10" t="s">
        <v>194</v>
      </c>
      <c r="R24" s="1" t="s">
        <v>156</v>
      </c>
      <c r="S24" s="10" t="s">
        <v>170</v>
      </c>
    </row>
    <row r="25" spans="1:19" hidden="1" x14ac:dyDescent="0.25">
      <c r="A25" s="4" t="s">
        <v>93</v>
      </c>
      <c r="B25" s="4" t="s">
        <v>24</v>
      </c>
      <c r="C25" s="4" t="s">
        <v>124</v>
      </c>
      <c r="D25" s="4" t="s">
        <v>121</v>
      </c>
      <c r="E25" s="4">
        <v>0</v>
      </c>
      <c r="F25" s="4">
        <v>40</v>
      </c>
      <c r="G25" s="4">
        <f t="shared" si="0"/>
        <v>40</v>
      </c>
      <c r="H25" s="4" t="s">
        <v>120</v>
      </c>
      <c r="M25" s="4">
        <v>0.6</v>
      </c>
      <c r="N25" s="4">
        <v>4070</v>
      </c>
      <c r="O25" s="6">
        <v>45427</v>
      </c>
      <c r="P25" s="4" t="s">
        <v>137</v>
      </c>
      <c r="Q25" s="10" t="s">
        <v>194</v>
      </c>
      <c r="R25" s="1" t="s">
        <v>155</v>
      </c>
      <c r="S25" s="10" t="s">
        <v>170</v>
      </c>
    </row>
    <row r="26" spans="1:19" hidden="1" x14ac:dyDescent="0.25">
      <c r="A26" s="4" t="s">
        <v>94</v>
      </c>
      <c r="B26" s="4" t="s">
        <v>25</v>
      </c>
      <c r="C26" s="4" t="s">
        <v>124</v>
      </c>
      <c r="D26" s="4" t="s">
        <v>121</v>
      </c>
      <c r="E26" s="4">
        <v>0</v>
      </c>
      <c r="F26" s="4">
        <v>40</v>
      </c>
      <c r="G26" s="4">
        <f t="shared" si="0"/>
        <v>40</v>
      </c>
      <c r="H26" s="4" t="s">
        <v>120</v>
      </c>
      <c r="M26" s="4">
        <v>0.6</v>
      </c>
      <c r="N26" s="4">
        <v>4070</v>
      </c>
      <c r="O26" s="6">
        <v>45427</v>
      </c>
      <c r="P26" s="4" t="s">
        <v>137</v>
      </c>
      <c r="Q26" s="10" t="s">
        <v>194</v>
      </c>
      <c r="R26" s="1" t="s">
        <v>156</v>
      </c>
      <c r="S26" s="10" t="s">
        <v>170</v>
      </c>
    </row>
    <row r="27" spans="1:19" hidden="1" x14ac:dyDescent="0.25">
      <c r="A27" s="4" t="s">
        <v>95</v>
      </c>
      <c r="B27" s="4" t="s">
        <v>26</v>
      </c>
      <c r="C27" s="4" t="s">
        <v>124</v>
      </c>
      <c r="D27" s="4" t="s">
        <v>121</v>
      </c>
      <c r="E27" s="4">
        <v>0</v>
      </c>
      <c r="F27" s="4">
        <v>40</v>
      </c>
      <c r="G27" s="4">
        <f t="shared" si="0"/>
        <v>40</v>
      </c>
      <c r="H27" s="4" t="s">
        <v>120</v>
      </c>
      <c r="M27" s="4">
        <v>0.6</v>
      </c>
      <c r="N27" s="4">
        <v>4070</v>
      </c>
      <c r="O27" s="6">
        <v>45427</v>
      </c>
      <c r="P27" s="4" t="s">
        <v>137</v>
      </c>
      <c r="Q27" s="10" t="s">
        <v>194</v>
      </c>
      <c r="R27" s="1" t="s">
        <v>157</v>
      </c>
      <c r="S27" s="10" t="s">
        <v>170</v>
      </c>
    </row>
    <row r="28" spans="1:19" hidden="1" x14ac:dyDescent="0.25">
      <c r="A28" s="4" t="s">
        <v>96</v>
      </c>
      <c r="B28" s="4" t="s">
        <v>27</v>
      </c>
      <c r="C28" s="4" t="s">
        <v>124</v>
      </c>
      <c r="D28" s="4" t="s">
        <v>121</v>
      </c>
      <c r="E28" s="4">
        <v>0</v>
      </c>
      <c r="F28" s="4">
        <v>40</v>
      </c>
      <c r="G28" s="4">
        <f t="shared" ref="G28:G65" si="1">IF(F28="","",F28)</f>
        <v>40</v>
      </c>
      <c r="H28" s="4" t="s">
        <v>120</v>
      </c>
      <c r="M28" s="4">
        <v>0.6</v>
      </c>
      <c r="N28" s="4">
        <v>4070</v>
      </c>
      <c r="O28" s="6">
        <v>45427</v>
      </c>
      <c r="P28" s="4" t="s">
        <v>137</v>
      </c>
      <c r="Q28" s="10" t="s">
        <v>194</v>
      </c>
      <c r="R28" s="1" t="s">
        <v>158</v>
      </c>
      <c r="S28" s="10" t="s">
        <v>170</v>
      </c>
    </row>
    <row r="29" spans="1:19" hidden="1" x14ac:dyDescent="0.25">
      <c r="A29" s="4" t="s">
        <v>97</v>
      </c>
      <c r="B29" s="4" t="s">
        <v>28</v>
      </c>
      <c r="C29" s="4" t="s">
        <v>124</v>
      </c>
      <c r="D29" s="4" t="s">
        <v>121</v>
      </c>
      <c r="E29" s="4">
        <v>0</v>
      </c>
      <c r="F29" s="4">
        <v>40</v>
      </c>
      <c r="G29" s="4">
        <f t="shared" si="1"/>
        <v>40</v>
      </c>
      <c r="H29" s="4" t="s">
        <v>120</v>
      </c>
      <c r="M29" s="4">
        <v>0.6</v>
      </c>
      <c r="N29" s="4">
        <v>4070</v>
      </c>
      <c r="O29" s="6">
        <v>45427</v>
      </c>
      <c r="P29" s="4" t="s">
        <v>137</v>
      </c>
      <c r="Q29" s="10" t="s">
        <v>194</v>
      </c>
      <c r="R29" s="1" t="s">
        <v>157</v>
      </c>
      <c r="S29" s="10" t="s">
        <v>170</v>
      </c>
    </row>
    <row r="30" spans="1:19" hidden="1" x14ac:dyDescent="0.25">
      <c r="A30" s="4" t="s">
        <v>98</v>
      </c>
      <c r="B30" s="4" t="s">
        <v>29</v>
      </c>
      <c r="C30" s="4" t="s">
        <v>124</v>
      </c>
      <c r="D30" s="4" t="s">
        <v>121</v>
      </c>
      <c r="E30" s="4">
        <v>0</v>
      </c>
      <c r="F30" s="4">
        <v>40</v>
      </c>
      <c r="G30" s="4">
        <f t="shared" si="1"/>
        <v>40</v>
      </c>
      <c r="H30" s="4" t="s">
        <v>120</v>
      </c>
      <c r="M30" s="4">
        <v>0.6</v>
      </c>
      <c r="N30" s="4">
        <v>4070</v>
      </c>
      <c r="O30" s="6">
        <v>45427</v>
      </c>
      <c r="P30" s="4" t="s">
        <v>137</v>
      </c>
      <c r="Q30" s="10" t="s">
        <v>194</v>
      </c>
      <c r="R30" s="1" t="s">
        <v>158</v>
      </c>
      <c r="S30" s="10" t="s">
        <v>170</v>
      </c>
    </row>
    <row r="31" spans="1:19" hidden="1" x14ac:dyDescent="0.25">
      <c r="A31" s="4" t="s">
        <v>99</v>
      </c>
      <c r="B31" s="4" t="s">
        <v>30</v>
      </c>
      <c r="C31" s="4" t="s">
        <v>124</v>
      </c>
      <c r="D31" s="4" t="s">
        <v>121</v>
      </c>
      <c r="E31" s="4">
        <v>0</v>
      </c>
      <c r="F31" s="4">
        <v>40</v>
      </c>
      <c r="G31" s="4">
        <f t="shared" si="1"/>
        <v>40</v>
      </c>
      <c r="H31" s="4" t="s">
        <v>120</v>
      </c>
      <c r="M31" s="4">
        <v>0.6</v>
      </c>
      <c r="N31" s="4">
        <v>4070</v>
      </c>
      <c r="O31" s="6">
        <v>45427</v>
      </c>
      <c r="P31" s="4" t="s">
        <v>137</v>
      </c>
      <c r="Q31" s="10" t="s">
        <v>194</v>
      </c>
      <c r="R31" s="1" t="s">
        <v>159</v>
      </c>
      <c r="S31" s="10" t="s">
        <v>170</v>
      </c>
    </row>
    <row r="32" spans="1:19" hidden="1" x14ac:dyDescent="0.25">
      <c r="A32" s="4" t="s">
        <v>100</v>
      </c>
      <c r="B32" s="4" t="s">
        <v>31</v>
      </c>
      <c r="C32" s="4" t="s">
        <v>124</v>
      </c>
      <c r="D32" s="4" t="s">
        <v>121</v>
      </c>
      <c r="E32" s="4">
        <v>0</v>
      </c>
      <c r="F32" s="4">
        <v>40</v>
      </c>
      <c r="G32" s="4">
        <f t="shared" si="1"/>
        <v>40</v>
      </c>
      <c r="H32" s="4" t="s">
        <v>120</v>
      </c>
      <c r="M32" s="4">
        <v>0.6</v>
      </c>
      <c r="N32" s="4">
        <v>4070</v>
      </c>
      <c r="O32" s="6">
        <v>45427</v>
      </c>
      <c r="P32" s="4" t="s">
        <v>137</v>
      </c>
      <c r="Q32" s="10" t="s">
        <v>194</v>
      </c>
      <c r="R32" s="1" t="s">
        <v>160</v>
      </c>
      <c r="S32" s="10" t="s">
        <v>170</v>
      </c>
    </row>
    <row r="33" spans="1:19" hidden="1" x14ac:dyDescent="0.25">
      <c r="A33" s="4" t="s">
        <v>101</v>
      </c>
      <c r="B33" s="4" t="s">
        <v>32</v>
      </c>
      <c r="C33" s="4" t="s">
        <v>124</v>
      </c>
      <c r="D33" s="4" t="s">
        <v>121</v>
      </c>
      <c r="E33" s="4">
        <v>0</v>
      </c>
      <c r="F33" s="4">
        <v>40</v>
      </c>
      <c r="G33" s="4">
        <f t="shared" si="1"/>
        <v>40</v>
      </c>
      <c r="H33" s="4" t="s">
        <v>120</v>
      </c>
      <c r="M33" s="4">
        <v>0.6</v>
      </c>
      <c r="N33" s="4">
        <v>4070</v>
      </c>
      <c r="O33" s="6">
        <v>45427</v>
      </c>
      <c r="P33" s="4" t="s">
        <v>137</v>
      </c>
      <c r="Q33" s="10" t="s">
        <v>194</v>
      </c>
      <c r="R33" s="1" t="s">
        <v>159</v>
      </c>
      <c r="S33" s="10" t="s">
        <v>170</v>
      </c>
    </row>
    <row r="34" spans="1:19" hidden="1" x14ac:dyDescent="0.25">
      <c r="A34" s="4" t="s">
        <v>102</v>
      </c>
      <c r="B34" s="4" t="s">
        <v>33</v>
      </c>
      <c r="C34" s="4" t="s">
        <v>124</v>
      </c>
      <c r="D34" s="4" t="s">
        <v>121</v>
      </c>
      <c r="E34" s="4">
        <v>0</v>
      </c>
      <c r="F34" s="4">
        <v>40</v>
      </c>
      <c r="G34" s="4">
        <f t="shared" si="1"/>
        <v>40</v>
      </c>
      <c r="H34" s="4" t="s">
        <v>120</v>
      </c>
      <c r="M34" s="4">
        <v>0.6</v>
      </c>
      <c r="N34" s="4">
        <v>4070</v>
      </c>
      <c r="O34" s="6">
        <v>45427</v>
      </c>
      <c r="P34" s="4" t="s">
        <v>137</v>
      </c>
      <c r="Q34" s="10" t="s">
        <v>194</v>
      </c>
      <c r="R34" s="1" t="s">
        <v>160</v>
      </c>
      <c r="S34" s="10" t="s">
        <v>170</v>
      </c>
    </row>
    <row r="35" spans="1:19" hidden="1" x14ac:dyDescent="0.25">
      <c r="A35" s="4" t="s">
        <v>103</v>
      </c>
      <c r="B35" s="4" t="s">
        <v>34</v>
      </c>
      <c r="C35" s="4" t="s">
        <v>124</v>
      </c>
      <c r="D35" s="4" t="s">
        <v>121</v>
      </c>
      <c r="E35" s="4">
        <v>0</v>
      </c>
      <c r="F35" s="4">
        <v>40</v>
      </c>
      <c r="G35" s="4">
        <f t="shared" si="1"/>
        <v>40</v>
      </c>
      <c r="H35" s="4" t="s">
        <v>120</v>
      </c>
      <c r="M35" s="4">
        <v>0.6</v>
      </c>
      <c r="N35" s="4">
        <v>4070</v>
      </c>
      <c r="O35" s="6">
        <v>45427</v>
      </c>
      <c r="P35" s="4" t="s">
        <v>137</v>
      </c>
      <c r="Q35" s="10" t="s">
        <v>194</v>
      </c>
      <c r="R35" s="1" t="s">
        <v>161</v>
      </c>
      <c r="S35" s="10" t="s">
        <v>170</v>
      </c>
    </row>
    <row r="36" spans="1:19" hidden="1" x14ac:dyDescent="0.25">
      <c r="A36" s="4" t="s">
        <v>104</v>
      </c>
      <c r="B36" s="4" t="s">
        <v>35</v>
      </c>
      <c r="C36" s="4" t="s">
        <v>124</v>
      </c>
      <c r="D36" s="4" t="s">
        <v>121</v>
      </c>
      <c r="E36" s="4">
        <v>0</v>
      </c>
      <c r="F36" s="4">
        <v>40</v>
      </c>
      <c r="G36" s="4">
        <f t="shared" si="1"/>
        <v>40</v>
      </c>
      <c r="H36" s="4" t="s">
        <v>120</v>
      </c>
      <c r="M36" s="4">
        <v>0.6</v>
      </c>
      <c r="N36" s="4">
        <v>4070</v>
      </c>
      <c r="O36" s="6">
        <v>45427</v>
      </c>
      <c r="P36" s="4" t="s">
        <v>137</v>
      </c>
      <c r="Q36" s="10" t="s">
        <v>194</v>
      </c>
      <c r="R36" s="1" t="s">
        <v>163</v>
      </c>
      <c r="S36" s="10" t="s">
        <v>170</v>
      </c>
    </row>
    <row r="37" spans="1:19" hidden="1" x14ac:dyDescent="0.25">
      <c r="A37" s="4" t="s">
        <v>105</v>
      </c>
      <c r="B37" s="4" t="s">
        <v>36</v>
      </c>
      <c r="C37" s="4" t="s">
        <v>124</v>
      </c>
      <c r="D37" s="4" t="s">
        <v>121</v>
      </c>
      <c r="E37" s="4">
        <v>0</v>
      </c>
      <c r="F37" s="4">
        <v>40</v>
      </c>
      <c r="G37" s="4">
        <f t="shared" si="1"/>
        <v>40</v>
      </c>
      <c r="H37" s="4" t="s">
        <v>120</v>
      </c>
      <c r="M37" s="4">
        <v>0.6</v>
      </c>
      <c r="N37" s="4">
        <v>4070</v>
      </c>
      <c r="O37" s="6">
        <v>45427</v>
      </c>
      <c r="P37" s="4" t="s">
        <v>137</v>
      </c>
      <c r="Q37" s="10" t="s">
        <v>194</v>
      </c>
      <c r="R37" s="1" t="s">
        <v>161</v>
      </c>
      <c r="S37" s="10" t="s">
        <v>170</v>
      </c>
    </row>
    <row r="38" spans="1:19" hidden="1" x14ac:dyDescent="0.25">
      <c r="A38" s="4" t="s">
        <v>106</v>
      </c>
      <c r="B38" s="4" t="s">
        <v>37</v>
      </c>
      <c r="C38" s="4" t="s">
        <v>124</v>
      </c>
      <c r="D38" s="4" t="s">
        <v>121</v>
      </c>
      <c r="E38" s="4">
        <v>0</v>
      </c>
      <c r="F38" s="4">
        <v>40</v>
      </c>
      <c r="G38" s="4">
        <f t="shared" si="1"/>
        <v>40</v>
      </c>
      <c r="H38" s="4" t="s">
        <v>120</v>
      </c>
      <c r="M38" s="4">
        <v>0.6</v>
      </c>
      <c r="N38" s="4">
        <v>4070</v>
      </c>
      <c r="O38" s="6">
        <v>45427</v>
      </c>
      <c r="P38" s="4" t="s">
        <v>137</v>
      </c>
      <c r="Q38" s="10" t="s">
        <v>194</v>
      </c>
      <c r="R38" s="1" t="s">
        <v>163</v>
      </c>
      <c r="S38" s="10" t="s">
        <v>170</v>
      </c>
    </row>
    <row r="39" spans="1:19" hidden="1" x14ac:dyDescent="0.25">
      <c r="A39" s="4" t="s">
        <v>107</v>
      </c>
      <c r="B39" s="4" t="s">
        <v>38</v>
      </c>
      <c r="C39" s="4" t="s">
        <v>124</v>
      </c>
      <c r="D39" s="4" t="s">
        <v>121</v>
      </c>
      <c r="E39" s="4">
        <v>0</v>
      </c>
      <c r="F39" s="4">
        <v>40</v>
      </c>
      <c r="G39" s="4">
        <f t="shared" si="1"/>
        <v>40</v>
      </c>
      <c r="H39" s="4" t="s">
        <v>120</v>
      </c>
      <c r="M39" s="4">
        <v>0.6</v>
      </c>
      <c r="N39" s="4">
        <v>4070</v>
      </c>
      <c r="O39" s="6">
        <v>45427</v>
      </c>
      <c r="P39" s="4" t="s">
        <v>137</v>
      </c>
      <c r="Q39" s="10" t="s">
        <v>194</v>
      </c>
      <c r="R39" s="1" t="s">
        <v>162</v>
      </c>
      <c r="S39" s="10" t="s">
        <v>170</v>
      </c>
    </row>
    <row r="40" spans="1:19" hidden="1" x14ac:dyDescent="0.25">
      <c r="A40" s="4" t="s">
        <v>108</v>
      </c>
      <c r="B40" s="4" t="s">
        <v>39</v>
      </c>
      <c r="C40" s="4" t="s">
        <v>124</v>
      </c>
      <c r="D40" s="4" t="s">
        <v>121</v>
      </c>
      <c r="E40" s="4">
        <v>0</v>
      </c>
      <c r="F40" s="4">
        <v>40</v>
      </c>
      <c r="G40" s="4">
        <f t="shared" si="1"/>
        <v>40</v>
      </c>
      <c r="H40" s="4" t="s">
        <v>120</v>
      </c>
      <c r="M40" s="4">
        <v>0.6</v>
      </c>
      <c r="N40" s="4">
        <v>4070</v>
      </c>
      <c r="O40" s="6">
        <v>45427</v>
      </c>
      <c r="P40" s="4" t="s">
        <v>137</v>
      </c>
      <c r="Q40" s="10" t="s">
        <v>194</v>
      </c>
      <c r="R40" s="1" t="s">
        <v>164</v>
      </c>
      <c r="S40" s="10" t="s">
        <v>170</v>
      </c>
    </row>
    <row r="41" spans="1:19" hidden="1" x14ac:dyDescent="0.25">
      <c r="A41" s="4" t="s">
        <v>109</v>
      </c>
      <c r="B41" s="4" t="s">
        <v>40</v>
      </c>
      <c r="C41" s="4" t="s">
        <v>124</v>
      </c>
      <c r="D41" s="4" t="s">
        <v>121</v>
      </c>
      <c r="E41" s="4">
        <v>0</v>
      </c>
      <c r="F41" s="4">
        <v>40</v>
      </c>
      <c r="G41" s="4">
        <f t="shared" si="1"/>
        <v>40</v>
      </c>
      <c r="H41" s="4" t="s">
        <v>120</v>
      </c>
      <c r="M41" s="4">
        <v>0.6</v>
      </c>
      <c r="N41" s="4">
        <v>4070</v>
      </c>
      <c r="O41" s="6">
        <v>45427</v>
      </c>
      <c r="P41" s="4" t="s">
        <v>137</v>
      </c>
      <c r="Q41" s="10" t="s">
        <v>194</v>
      </c>
      <c r="R41" s="1" t="s">
        <v>162</v>
      </c>
      <c r="S41" s="10" t="s">
        <v>170</v>
      </c>
    </row>
    <row r="42" spans="1:19" hidden="1" x14ac:dyDescent="0.25">
      <c r="A42" s="4" t="s">
        <v>110</v>
      </c>
      <c r="B42" s="4" t="s">
        <v>41</v>
      </c>
      <c r="C42" s="4" t="s">
        <v>124</v>
      </c>
      <c r="D42" s="4" t="s">
        <v>121</v>
      </c>
      <c r="E42" s="4">
        <v>0</v>
      </c>
      <c r="F42" s="4">
        <v>40</v>
      </c>
      <c r="G42" s="4">
        <f t="shared" si="1"/>
        <v>40</v>
      </c>
      <c r="H42" s="4" t="s">
        <v>120</v>
      </c>
      <c r="M42" s="4">
        <v>0.6</v>
      </c>
      <c r="N42" s="4">
        <v>4070</v>
      </c>
      <c r="O42" s="6">
        <v>45427</v>
      </c>
      <c r="P42" s="4" t="s">
        <v>137</v>
      </c>
      <c r="Q42" s="10" t="s">
        <v>194</v>
      </c>
      <c r="R42" s="1" t="s">
        <v>164</v>
      </c>
      <c r="S42" s="10" t="s">
        <v>170</v>
      </c>
    </row>
    <row r="43" spans="1:19" hidden="1" x14ac:dyDescent="0.25">
      <c r="A43" s="1" t="s">
        <v>172</v>
      </c>
      <c r="B43" s="1" t="s">
        <v>42</v>
      </c>
      <c r="C43" s="4" t="s">
        <v>125</v>
      </c>
      <c r="D43" s="4" t="s">
        <v>121</v>
      </c>
      <c r="E43" s="4">
        <v>0</v>
      </c>
      <c r="F43" s="4">
        <v>2.5</v>
      </c>
      <c r="G43" s="4">
        <f t="shared" si="1"/>
        <v>2.5</v>
      </c>
      <c r="H43" s="4" t="s">
        <v>120</v>
      </c>
      <c r="M43" s="4">
        <v>0.6</v>
      </c>
      <c r="N43" s="4">
        <v>4070</v>
      </c>
      <c r="O43" s="6">
        <v>45427</v>
      </c>
      <c r="P43" s="4" t="s">
        <v>137</v>
      </c>
      <c r="Q43" s="1" t="s">
        <v>195</v>
      </c>
      <c r="R43" s="1" t="s">
        <v>155</v>
      </c>
    </row>
    <row r="44" spans="1:19" hidden="1" x14ac:dyDescent="0.25">
      <c r="A44" s="1" t="s">
        <v>173</v>
      </c>
      <c r="B44" s="1" t="s">
        <v>43</v>
      </c>
      <c r="C44" s="4" t="s">
        <v>125</v>
      </c>
      <c r="D44" s="4" t="s">
        <v>121</v>
      </c>
      <c r="E44" s="4">
        <v>0</v>
      </c>
      <c r="F44" s="4">
        <v>2.5</v>
      </c>
      <c r="G44" s="4">
        <f t="shared" si="1"/>
        <v>2.5</v>
      </c>
      <c r="H44" s="4" t="s">
        <v>120</v>
      </c>
      <c r="M44" s="4">
        <v>0.6</v>
      </c>
      <c r="N44" s="4">
        <v>4070</v>
      </c>
      <c r="O44" s="6">
        <v>45427</v>
      </c>
      <c r="P44" s="4" t="s">
        <v>137</v>
      </c>
      <c r="Q44" s="1" t="s">
        <v>195</v>
      </c>
      <c r="R44" s="1" t="s">
        <v>156</v>
      </c>
    </row>
    <row r="45" spans="1:19" hidden="1" x14ac:dyDescent="0.25">
      <c r="A45" s="1" t="s">
        <v>174</v>
      </c>
      <c r="B45" s="1" t="s">
        <v>44</v>
      </c>
      <c r="C45" s="4" t="s">
        <v>125</v>
      </c>
      <c r="D45" s="4" t="s">
        <v>121</v>
      </c>
      <c r="E45" s="4">
        <v>0</v>
      </c>
      <c r="F45" s="4">
        <v>2.5</v>
      </c>
      <c r="G45" s="4">
        <f t="shared" si="1"/>
        <v>2.5</v>
      </c>
      <c r="H45" s="4" t="s">
        <v>120</v>
      </c>
      <c r="M45" s="4">
        <v>0.6</v>
      </c>
      <c r="N45" s="4">
        <v>4070</v>
      </c>
      <c r="O45" s="6">
        <v>45427</v>
      </c>
      <c r="P45" s="4" t="s">
        <v>137</v>
      </c>
      <c r="Q45" s="1" t="s">
        <v>195</v>
      </c>
      <c r="R45" s="1" t="s">
        <v>155</v>
      </c>
    </row>
    <row r="46" spans="1:19" hidden="1" x14ac:dyDescent="0.25">
      <c r="A46" s="1" t="s">
        <v>175</v>
      </c>
      <c r="B46" s="1" t="s">
        <v>45</v>
      </c>
      <c r="C46" s="4" t="s">
        <v>125</v>
      </c>
      <c r="D46" s="4" t="s">
        <v>121</v>
      </c>
      <c r="E46" s="4">
        <v>0</v>
      </c>
      <c r="F46" s="4">
        <v>2.5</v>
      </c>
      <c r="G46" s="4">
        <f t="shared" si="1"/>
        <v>2.5</v>
      </c>
      <c r="H46" s="4" t="s">
        <v>120</v>
      </c>
      <c r="M46" s="4">
        <v>0.6</v>
      </c>
      <c r="N46" s="4">
        <v>4070</v>
      </c>
      <c r="O46" s="6">
        <v>45427</v>
      </c>
      <c r="P46" s="4" t="s">
        <v>137</v>
      </c>
      <c r="Q46" s="1" t="s">
        <v>195</v>
      </c>
      <c r="R46" s="1" t="s">
        <v>156</v>
      </c>
    </row>
    <row r="47" spans="1:19" hidden="1" x14ac:dyDescent="0.25">
      <c r="A47" s="1" t="s">
        <v>176</v>
      </c>
      <c r="B47" s="1" t="s">
        <v>46</v>
      </c>
      <c r="C47" s="4" t="s">
        <v>125</v>
      </c>
      <c r="D47" s="4" t="s">
        <v>121</v>
      </c>
      <c r="E47" s="4">
        <v>0</v>
      </c>
      <c r="F47" s="4">
        <v>2.5</v>
      </c>
      <c r="G47" s="4">
        <f t="shared" si="1"/>
        <v>2.5</v>
      </c>
      <c r="H47" s="4" t="s">
        <v>120</v>
      </c>
      <c r="M47" s="4">
        <v>0.6</v>
      </c>
      <c r="N47" s="4">
        <v>4070</v>
      </c>
      <c r="O47" s="6">
        <v>45427</v>
      </c>
      <c r="P47" s="4" t="s">
        <v>137</v>
      </c>
      <c r="Q47" s="1" t="s">
        <v>195</v>
      </c>
      <c r="R47" s="1" t="s">
        <v>157</v>
      </c>
    </row>
    <row r="48" spans="1:19" hidden="1" x14ac:dyDescent="0.25">
      <c r="A48" s="1" t="s">
        <v>177</v>
      </c>
      <c r="B48" s="1" t="s">
        <v>47</v>
      </c>
      <c r="C48" s="4" t="s">
        <v>125</v>
      </c>
      <c r="D48" s="4" t="s">
        <v>121</v>
      </c>
      <c r="E48" s="4">
        <v>0</v>
      </c>
      <c r="F48" s="4">
        <v>2.5</v>
      </c>
      <c r="G48" s="4">
        <f t="shared" si="1"/>
        <v>2.5</v>
      </c>
      <c r="H48" s="4" t="s">
        <v>120</v>
      </c>
      <c r="M48" s="4">
        <v>0.6</v>
      </c>
      <c r="N48" s="4">
        <v>4070</v>
      </c>
      <c r="O48" s="6">
        <v>45427</v>
      </c>
      <c r="P48" s="4" t="s">
        <v>137</v>
      </c>
      <c r="Q48" s="1" t="s">
        <v>195</v>
      </c>
      <c r="R48" s="1" t="s">
        <v>158</v>
      </c>
    </row>
    <row r="49" spans="1:19" hidden="1" x14ac:dyDescent="0.25">
      <c r="A49" s="1" t="s">
        <v>178</v>
      </c>
      <c r="B49" s="1" t="s">
        <v>48</v>
      </c>
      <c r="C49" s="4" t="s">
        <v>125</v>
      </c>
      <c r="D49" s="4" t="s">
        <v>121</v>
      </c>
      <c r="E49" s="4">
        <v>0</v>
      </c>
      <c r="F49" s="4">
        <v>2.5</v>
      </c>
      <c r="G49" s="4">
        <f t="shared" si="1"/>
        <v>2.5</v>
      </c>
      <c r="H49" s="4" t="s">
        <v>120</v>
      </c>
      <c r="M49" s="4">
        <v>0.6</v>
      </c>
      <c r="N49" s="4">
        <v>4070</v>
      </c>
      <c r="O49" s="6">
        <v>45427</v>
      </c>
      <c r="P49" s="4" t="s">
        <v>137</v>
      </c>
      <c r="Q49" s="1" t="s">
        <v>195</v>
      </c>
      <c r="R49" s="1" t="s">
        <v>157</v>
      </c>
    </row>
    <row r="50" spans="1:19" hidden="1" x14ac:dyDescent="0.25">
      <c r="A50" s="1" t="s">
        <v>179</v>
      </c>
      <c r="B50" s="1" t="s">
        <v>49</v>
      </c>
      <c r="C50" s="4" t="s">
        <v>125</v>
      </c>
      <c r="D50" s="4" t="s">
        <v>121</v>
      </c>
      <c r="E50" s="4">
        <v>0</v>
      </c>
      <c r="F50" s="4">
        <v>2.5</v>
      </c>
      <c r="G50" s="4">
        <f t="shared" si="1"/>
        <v>2.5</v>
      </c>
      <c r="H50" s="4" t="s">
        <v>120</v>
      </c>
      <c r="M50" s="4">
        <v>0.6</v>
      </c>
      <c r="N50" s="4">
        <v>4070</v>
      </c>
      <c r="O50" s="6">
        <v>45427</v>
      </c>
      <c r="P50" s="4" t="s">
        <v>137</v>
      </c>
      <c r="Q50" s="1" t="s">
        <v>195</v>
      </c>
      <c r="R50" s="1" t="s">
        <v>158</v>
      </c>
    </row>
    <row r="51" spans="1:19" hidden="1" x14ac:dyDescent="0.25">
      <c r="A51" s="1" t="s">
        <v>180</v>
      </c>
      <c r="B51" s="1" t="s">
        <v>50</v>
      </c>
      <c r="C51" s="4" t="s">
        <v>125</v>
      </c>
      <c r="D51" s="4" t="s">
        <v>121</v>
      </c>
      <c r="E51" s="4">
        <v>0</v>
      </c>
      <c r="F51" s="4">
        <v>2.5</v>
      </c>
      <c r="G51" s="4">
        <f t="shared" si="1"/>
        <v>2.5</v>
      </c>
      <c r="H51" s="4" t="s">
        <v>120</v>
      </c>
      <c r="M51" s="4">
        <v>0.6</v>
      </c>
      <c r="N51" s="4">
        <v>4070</v>
      </c>
      <c r="O51" s="6">
        <v>45427</v>
      </c>
      <c r="P51" s="4" t="s">
        <v>137</v>
      </c>
      <c r="Q51" s="1" t="s">
        <v>195</v>
      </c>
      <c r="R51" s="1" t="s">
        <v>159</v>
      </c>
    </row>
    <row r="52" spans="1:19" hidden="1" x14ac:dyDescent="0.25">
      <c r="A52" s="1" t="s">
        <v>181</v>
      </c>
      <c r="B52" s="1" t="s">
        <v>51</v>
      </c>
      <c r="C52" s="4" t="s">
        <v>125</v>
      </c>
      <c r="D52" s="4" t="s">
        <v>121</v>
      </c>
      <c r="E52" s="4">
        <v>0</v>
      </c>
      <c r="F52" s="4">
        <v>2.5</v>
      </c>
      <c r="G52" s="4">
        <f t="shared" si="1"/>
        <v>2.5</v>
      </c>
      <c r="H52" s="4" t="s">
        <v>120</v>
      </c>
      <c r="M52" s="4">
        <v>0.6</v>
      </c>
      <c r="N52" s="4">
        <v>4070</v>
      </c>
      <c r="O52" s="6">
        <v>45427</v>
      </c>
      <c r="P52" s="4" t="s">
        <v>137</v>
      </c>
      <c r="Q52" s="1" t="s">
        <v>195</v>
      </c>
      <c r="R52" s="1" t="s">
        <v>160</v>
      </c>
    </row>
    <row r="53" spans="1:19" hidden="1" x14ac:dyDescent="0.25">
      <c r="A53" s="1" t="s">
        <v>182</v>
      </c>
      <c r="B53" s="1" t="s">
        <v>52</v>
      </c>
      <c r="C53" s="4" t="s">
        <v>125</v>
      </c>
      <c r="D53" s="4" t="s">
        <v>121</v>
      </c>
      <c r="E53" s="4">
        <v>0</v>
      </c>
      <c r="F53" s="4">
        <v>2.5</v>
      </c>
      <c r="G53" s="4">
        <f t="shared" si="1"/>
        <v>2.5</v>
      </c>
      <c r="H53" s="4" t="s">
        <v>120</v>
      </c>
      <c r="M53" s="4">
        <v>0.6</v>
      </c>
      <c r="N53" s="4">
        <v>4070</v>
      </c>
      <c r="O53" s="6">
        <v>45427</v>
      </c>
      <c r="P53" s="4" t="s">
        <v>137</v>
      </c>
      <c r="Q53" s="1" t="s">
        <v>195</v>
      </c>
      <c r="R53" s="1" t="s">
        <v>159</v>
      </c>
    </row>
    <row r="54" spans="1:19" hidden="1" x14ac:dyDescent="0.25">
      <c r="A54" s="1" t="s">
        <v>183</v>
      </c>
      <c r="B54" s="1" t="s">
        <v>53</v>
      </c>
      <c r="C54" s="4" t="s">
        <v>125</v>
      </c>
      <c r="D54" s="4" t="s">
        <v>121</v>
      </c>
      <c r="E54" s="4">
        <v>0</v>
      </c>
      <c r="F54" s="4">
        <v>2.5</v>
      </c>
      <c r="G54" s="4">
        <f t="shared" si="1"/>
        <v>2.5</v>
      </c>
      <c r="H54" s="4" t="s">
        <v>120</v>
      </c>
      <c r="M54" s="4">
        <v>0.6</v>
      </c>
      <c r="N54" s="4">
        <v>4070</v>
      </c>
      <c r="O54" s="6">
        <v>45427</v>
      </c>
      <c r="P54" s="4" t="s">
        <v>137</v>
      </c>
      <c r="Q54" s="1" t="s">
        <v>195</v>
      </c>
      <c r="R54" s="1" t="s">
        <v>160</v>
      </c>
    </row>
    <row r="55" spans="1:19" hidden="1" x14ac:dyDescent="0.25">
      <c r="A55" s="1" t="s">
        <v>184</v>
      </c>
      <c r="B55" s="1" t="s">
        <v>54</v>
      </c>
      <c r="C55" s="4" t="s">
        <v>125</v>
      </c>
      <c r="D55" s="4" t="s">
        <v>121</v>
      </c>
      <c r="E55" s="4">
        <v>0</v>
      </c>
      <c r="F55" s="4">
        <v>2.5</v>
      </c>
      <c r="G55" s="4">
        <f t="shared" si="1"/>
        <v>2.5</v>
      </c>
      <c r="H55" s="4" t="s">
        <v>120</v>
      </c>
      <c r="M55" s="4">
        <v>0.6</v>
      </c>
      <c r="N55" s="4">
        <v>4070</v>
      </c>
      <c r="O55" s="6">
        <v>45427</v>
      </c>
      <c r="P55" s="4" t="s">
        <v>137</v>
      </c>
      <c r="Q55" s="1" t="s">
        <v>195</v>
      </c>
      <c r="R55" s="1" t="s">
        <v>161</v>
      </c>
    </row>
    <row r="56" spans="1:19" hidden="1" x14ac:dyDescent="0.25">
      <c r="A56" s="1" t="s">
        <v>185</v>
      </c>
      <c r="B56" s="1" t="s">
        <v>55</v>
      </c>
      <c r="C56" s="4" t="s">
        <v>125</v>
      </c>
      <c r="D56" s="4" t="s">
        <v>121</v>
      </c>
      <c r="E56" s="4">
        <v>0</v>
      </c>
      <c r="F56" s="4">
        <v>2.5</v>
      </c>
      <c r="G56" s="4">
        <f t="shared" si="1"/>
        <v>2.5</v>
      </c>
      <c r="H56" s="4" t="s">
        <v>120</v>
      </c>
      <c r="M56" s="4">
        <v>0.6</v>
      </c>
      <c r="N56" s="4">
        <v>4070</v>
      </c>
      <c r="O56" s="6">
        <v>45427</v>
      </c>
      <c r="P56" s="4" t="s">
        <v>137</v>
      </c>
      <c r="Q56" s="1" t="s">
        <v>195</v>
      </c>
      <c r="R56" s="1" t="s">
        <v>163</v>
      </c>
    </row>
    <row r="57" spans="1:19" hidden="1" x14ac:dyDescent="0.25">
      <c r="A57" s="1" t="s">
        <v>186</v>
      </c>
      <c r="B57" s="1" t="s">
        <v>56</v>
      </c>
      <c r="C57" s="4" t="s">
        <v>125</v>
      </c>
      <c r="D57" s="4" t="s">
        <v>121</v>
      </c>
      <c r="E57" s="4">
        <v>0</v>
      </c>
      <c r="F57" s="4">
        <v>2.5</v>
      </c>
      <c r="G57" s="4">
        <f t="shared" si="1"/>
        <v>2.5</v>
      </c>
      <c r="H57" s="4" t="s">
        <v>120</v>
      </c>
      <c r="M57" s="4">
        <v>0.6</v>
      </c>
      <c r="N57" s="4">
        <v>4070</v>
      </c>
      <c r="O57" s="6">
        <v>45427</v>
      </c>
      <c r="P57" s="4" t="s">
        <v>137</v>
      </c>
      <c r="Q57" s="1" t="s">
        <v>195</v>
      </c>
      <c r="R57" s="1" t="s">
        <v>161</v>
      </c>
    </row>
    <row r="58" spans="1:19" hidden="1" x14ac:dyDescent="0.25">
      <c r="A58" s="1" t="s">
        <v>187</v>
      </c>
      <c r="B58" s="1" t="s">
        <v>57</v>
      </c>
      <c r="C58" s="4" t="s">
        <v>125</v>
      </c>
      <c r="D58" s="4" t="s">
        <v>121</v>
      </c>
      <c r="E58" s="4">
        <v>0</v>
      </c>
      <c r="F58" s="4">
        <v>2.5</v>
      </c>
      <c r="G58" s="4">
        <f t="shared" si="1"/>
        <v>2.5</v>
      </c>
      <c r="H58" s="4" t="s">
        <v>120</v>
      </c>
      <c r="M58" s="4">
        <v>0.6</v>
      </c>
      <c r="N58" s="4">
        <v>4070</v>
      </c>
      <c r="O58" s="6">
        <v>45427</v>
      </c>
      <c r="P58" s="4" t="s">
        <v>137</v>
      </c>
      <c r="Q58" s="1" t="s">
        <v>195</v>
      </c>
      <c r="R58" s="1" t="s">
        <v>163</v>
      </c>
    </row>
    <row r="59" spans="1:19" hidden="1" x14ac:dyDescent="0.25">
      <c r="A59" s="1" t="s">
        <v>188</v>
      </c>
      <c r="B59" s="1" t="s">
        <v>58</v>
      </c>
      <c r="C59" s="4" t="s">
        <v>125</v>
      </c>
      <c r="D59" s="4" t="s">
        <v>121</v>
      </c>
      <c r="E59" s="4">
        <v>0</v>
      </c>
      <c r="F59" s="4">
        <v>2.5</v>
      </c>
      <c r="G59" s="4">
        <f t="shared" si="1"/>
        <v>2.5</v>
      </c>
      <c r="H59" s="4" t="s">
        <v>120</v>
      </c>
      <c r="M59" s="4">
        <v>0.6</v>
      </c>
      <c r="N59" s="4">
        <v>4070</v>
      </c>
      <c r="O59" s="6">
        <v>45427</v>
      </c>
      <c r="P59" s="4" t="s">
        <v>137</v>
      </c>
      <c r="Q59" s="1" t="s">
        <v>195</v>
      </c>
      <c r="R59" s="1" t="s">
        <v>162</v>
      </c>
    </row>
    <row r="60" spans="1:19" hidden="1" x14ac:dyDescent="0.25">
      <c r="A60" s="1" t="s">
        <v>189</v>
      </c>
      <c r="B60" s="1" t="s">
        <v>59</v>
      </c>
      <c r="C60" s="4" t="s">
        <v>125</v>
      </c>
      <c r="D60" s="4" t="s">
        <v>121</v>
      </c>
      <c r="E60" s="4">
        <v>0</v>
      </c>
      <c r="F60" s="4">
        <v>2.5</v>
      </c>
      <c r="G60" s="4">
        <f t="shared" si="1"/>
        <v>2.5</v>
      </c>
      <c r="H60" s="4" t="s">
        <v>120</v>
      </c>
      <c r="M60" s="4">
        <v>0.6</v>
      </c>
      <c r="N60" s="4">
        <v>4070</v>
      </c>
      <c r="O60" s="6">
        <v>45427</v>
      </c>
      <c r="P60" s="4" t="s">
        <v>137</v>
      </c>
      <c r="Q60" s="1" t="s">
        <v>195</v>
      </c>
      <c r="R60" s="1" t="s">
        <v>164</v>
      </c>
    </row>
    <row r="61" spans="1:19" hidden="1" x14ac:dyDescent="0.25">
      <c r="A61" s="1" t="s">
        <v>190</v>
      </c>
      <c r="B61" s="1" t="s">
        <v>60</v>
      </c>
      <c r="C61" s="4" t="s">
        <v>125</v>
      </c>
      <c r="D61" s="4" t="s">
        <v>121</v>
      </c>
      <c r="E61" s="4">
        <v>0</v>
      </c>
      <c r="F61" s="4">
        <v>2.5</v>
      </c>
      <c r="G61" s="4">
        <f t="shared" si="1"/>
        <v>2.5</v>
      </c>
      <c r="H61" s="4" t="s">
        <v>120</v>
      </c>
      <c r="M61" s="4">
        <v>0.6</v>
      </c>
      <c r="N61" s="4">
        <v>4070</v>
      </c>
      <c r="O61" s="6">
        <v>45427</v>
      </c>
      <c r="P61" s="4" t="s">
        <v>137</v>
      </c>
      <c r="Q61" s="1" t="s">
        <v>195</v>
      </c>
      <c r="R61" s="1" t="s">
        <v>162</v>
      </c>
    </row>
    <row r="62" spans="1:19" hidden="1" x14ac:dyDescent="0.25">
      <c r="A62" s="1" t="s">
        <v>191</v>
      </c>
      <c r="B62" s="1" t="s">
        <v>61</v>
      </c>
      <c r="C62" s="4" t="s">
        <v>125</v>
      </c>
      <c r="D62" s="4" t="s">
        <v>121</v>
      </c>
      <c r="E62" s="4">
        <v>0</v>
      </c>
      <c r="F62" s="4">
        <v>2.5</v>
      </c>
      <c r="G62" s="4">
        <f t="shared" si="1"/>
        <v>2.5</v>
      </c>
      <c r="H62" s="4" t="s">
        <v>120</v>
      </c>
      <c r="M62" s="4">
        <v>0.6</v>
      </c>
      <c r="N62" s="4">
        <v>4070</v>
      </c>
      <c r="O62" s="6">
        <v>45427</v>
      </c>
      <c r="P62" s="4" t="s">
        <v>137</v>
      </c>
      <c r="Q62" s="1" t="s">
        <v>195</v>
      </c>
      <c r="R62" s="1" t="s">
        <v>164</v>
      </c>
    </row>
    <row r="63" spans="1:19" hidden="1" x14ac:dyDescent="0.25">
      <c r="A63" s="1" t="s">
        <v>111</v>
      </c>
      <c r="B63" s="1" t="s">
        <v>62</v>
      </c>
      <c r="C63" s="4" t="s">
        <v>123</v>
      </c>
      <c r="D63" s="4" t="s">
        <v>121</v>
      </c>
      <c r="E63" s="4">
        <v>0</v>
      </c>
      <c r="F63" s="4">
        <v>100</v>
      </c>
      <c r="G63" s="4">
        <f t="shared" si="1"/>
        <v>100</v>
      </c>
      <c r="H63" s="4" t="s">
        <v>120</v>
      </c>
      <c r="M63" s="4">
        <v>0.4</v>
      </c>
      <c r="N63" s="4">
        <v>955</v>
      </c>
      <c r="O63" s="6">
        <v>45427</v>
      </c>
      <c r="P63" s="4" t="s">
        <v>137</v>
      </c>
      <c r="Q63" s="1" t="s">
        <v>192</v>
      </c>
      <c r="S63" s="10" t="s">
        <v>170</v>
      </c>
    </row>
    <row r="64" spans="1:19" hidden="1" x14ac:dyDescent="0.25">
      <c r="A64" s="1" t="s">
        <v>116</v>
      </c>
      <c r="B64" s="1" t="s">
        <v>63</v>
      </c>
      <c r="C64" s="4" t="s">
        <v>126</v>
      </c>
      <c r="D64" s="4" t="s">
        <v>121</v>
      </c>
      <c r="E64" s="4">
        <v>-30</v>
      </c>
      <c r="F64" s="4">
        <v>70</v>
      </c>
      <c r="G64" s="4">
        <f t="shared" si="1"/>
        <v>70</v>
      </c>
      <c r="H64" s="4" t="s">
        <v>153</v>
      </c>
      <c r="M64" s="4">
        <v>0.4</v>
      </c>
      <c r="N64" s="4">
        <v>2250</v>
      </c>
      <c r="O64" s="6">
        <v>45427</v>
      </c>
      <c r="P64" s="4" t="s">
        <v>137</v>
      </c>
      <c r="Q64" s="1" t="s">
        <v>196</v>
      </c>
      <c r="S64" s="1" t="s">
        <v>170</v>
      </c>
    </row>
    <row r="65" spans="1:19" hidden="1" x14ac:dyDescent="0.25">
      <c r="A65" s="1" t="s">
        <v>112</v>
      </c>
      <c r="B65" s="1" t="s">
        <v>64</v>
      </c>
      <c r="C65" s="4" t="s">
        <v>123</v>
      </c>
      <c r="D65" s="4" t="s">
        <v>121</v>
      </c>
      <c r="E65" s="4">
        <v>0</v>
      </c>
      <c r="F65" s="4">
        <v>100</v>
      </c>
      <c r="G65" s="4">
        <f t="shared" si="1"/>
        <v>100</v>
      </c>
      <c r="H65" s="4" t="s">
        <v>120</v>
      </c>
      <c r="M65" s="4">
        <v>0.4</v>
      </c>
      <c r="N65" s="4">
        <v>955</v>
      </c>
      <c r="O65" s="6">
        <v>45427</v>
      </c>
      <c r="P65" s="4" t="s">
        <v>137</v>
      </c>
      <c r="Q65" s="1" t="s">
        <v>192</v>
      </c>
      <c r="S65" s="10" t="s">
        <v>170</v>
      </c>
    </row>
    <row r="66" spans="1:19" hidden="1" x14ac:dyDescent="0.25">
      <c r="A66" s="1" t="s">
        <v>117</v>
      </c>
      <c r="B66" s="1" t="s">
        <v>65</v>
      </c>
      <c r="C66" s="4" t="s">
        <v>127</v>
      </c>
      <c r="D66" s="4" t="s">
        <v>121</v>
      </c>
      <c r="E66" s="4">
        <v>0</v>
      </c>
      <c r="F66" s="4">
        <v>250</v>
      </c>
      <c r="G66" s="4">
        <f t="shared" ref="G66:G71" si="2">IF(F66="","",F66)</f>
        <v>250</v>
      </c>
      <c r="H66" s="4" t="s">
        <v>153</v>
      </c>
      <c r="M66" s="4">
        <v>0.4</v>
      </c>
      <c r="N66" s="4">
        <v>2250</v>
      </c>
      <c r="O66" s="6">
        <v>45427</v>
      </c>
      <c r="P66" s="4" t="s">
        <v>137</v>
      </c>
      <c r="Q66" s="1" t="s">
        <v>193</v>
      </c>
    </row>
    <row r="67" spans="1:19" hidden="1" x14ac:dyDescent="0.25">
      <c r="A67" s="1" t="s">
        <v>113</v>
      </c>
      <c r="B67" s="1" t="s">
        <v>66</v>
      </c>
      <c r="C67" s="4" t="s">
        <v>168</v>
      </c>
      <c r="D67" s="4" t="s">
        <v>121</v>
      </c>
      <c r="E67" s="4">
        <v>0</v>
      </c>
      <c r="F67" s="4">
        <v>4</v>
      </c>
      <c r="G67" s="4">
        <f t="shared" si="2"/>
        <v>4</v>
      </c>
      <c r="H67" s="4" t="s">
        <v>122</v>
      </c>
      <c r="M67" s="4">
        <v>0.7</v>
      </c>
      <c r="N67" s="4">
        <v>1510</v>
      </c>
      <c r="O67" s="6">
        <v>45427</v>
      </c>
      <c r="P67" s="4" t="s">
        <v>137</v>
      </c>
      <c r="Q67" s="1" t="s">
        <v>195</v>
      </c>
      <c r="R67" s="1" t="s">
        <v>165</v>
      </c>
    </row>
    <row r="68" spans="1:19" hidden="1" x14ac:dyDescent="0.25">
      <c r="A68" s="1" t="s">
        <v>114</v>
      </c>
      <c r="B68" s="1" t="s">
        <v>67</v>
      </c>
      <c r="C68" s="4" t="s">
        <v>168</v>
      </c>
      <c r="D68" s="4" t="s">
        <v>121</v>
      </c>
      <c r="E68" s="4">
        <v>0</v>
      </c>
      <c r="F68" s="4">
        <v>4</v>
      </c>
      <c r="G68" s="4">
        <f t="shared" si="2"/>
        <v>4</v>
      </c>
      <c r="H68" s="4" t="s">
        <v>122</v>
      </c>
      <c r="M68" s="4">
        <v>0.4</v>
      </c>
      <c r="N68" s="4">
        <v>1510</v>
      </c>
      <c r="O68" s="6">
        <v>45427</v>
      </c>
      <c r="P68" s="7" t="s">
        <v>137</v>
      </c>
      <c r="Q68" s="1" t="s">
        <v>195</v>
      </c>
      <c r="R68" s="1" t="s">
        <v>165</v>
      </c>
    </row>
    <row r="69" spans="1:19" hidden="1" x14ac:dyDescent="0.25">
      <c r="A69" s="1" t="s">
        <v>118</v>
      </c>
      <c r="B69" s="1" t="s">
        <v>68</v>
      </c>
      <c r="C69" s="4" t="s">
        <v>127</v>
      </c>
      <c r="D69" s="4" t="s">
        <v>121</v>
      </c>
      <c r="E69" s="4">
        <v>0</v>
      </c>
      <c r="F69" s="4">
        <v>250</v>
      </c>
      <c r="G69" s="4">
        <f t="shared" si="2"/>
        <v>250</v>
      </c>
      <c r="H69" s="4" t="s">
        <v>153</v>
      </c>
      <c r="M69" s="4">
        <v>0.4</v>
      </c>
      <c r="N69" s="4">
        <v>2250</v>
      </c>
      <c r="O69" s="6">
        <v>45427</v>
      </c>
      <c r="P69" s="7" t="s">
        <v>137</v>
      </c>
      <c r="Q69" s="1" t="s">
        <v>193</v>
      </c>
    </row>
    <row r="70" spans="1:19" hidden="1" x14ac:dyDescent="0.25">
      <c r="A70" s="1" t="s">
        <v>115</v>
      </c>
      <c r="B70" s="1" t="s">
        <v>69</v>
      </c>
      <c r="C70" s="4" t="s">
        <v>167</v>
      </c>
      <c r="D70" s="4" t="s">
        <v>121</v>
      </c>
      <c r="E70" s="4">
        <v>-0.8</v>
      </c>
      <c r="F70" s="4">
        <v>0.8</v>
      </c>
      <c r="G70" s="4">
        <f t="shared" si="2"/>
        <v>0.8</v>
      </c>
      <c r="H70" s="4" t="s">
        <v>120</v>
      </c>
      <c r="M70" s="4">
        <v>0.6</v>
      </c>
      <c r="N70" s="4">
        <v>4070</v>
      </c>
      <c r="O70" s="6">
        <v>45427</v>
      </c>
      <c r="P70" s="7" t="s">
        <v>137</v>
      </c>
      <c r="Q70" s="10" t="s">
        <v>195</v>
      </c>
      <c r="R70" s="1" t="s">
        <v>171</v>
      </c>
    </row>
    <row r="71" spans="1:19" hidden="1" x14ac:dyDescent="0.25">
      <c r="A71" s="1" t="s">
        <v>119</v>
      </c>
      <c r="B71" s="1" t="s">
        <v>70</v>
      </c>
      <c r="C71" s="4" t="s">
        <v>128</v>
      </c>
      <c r="D71" s="4" t="s">
        <v>121</v>
      </c>
      <c r="E71" s="4">
        <v>0</v>
      </c>
      <c r="F71" s="4">
        <v>450</v>
      </c>
      <c r="G71" s="4">
        <f t="shared" si="2"/>
        <v>450</v>
      </c>
      <c r="H71" s="4" t="s">
        <v>153</v>
      </c>
      <c r="M71" s="4">
        <v>0.4</v>
      </c>
      <c r="N71" s="4">
        <v>2250</v>
      </c>
      <c r="O71" s="6">
        <v>45427</v>
      </c>
      <c r="P71" s="7" t="s">
        <v>137</v>
      </c>
      <c r="Q71" s="1" t="s">
        <v>197</v>
      </c>
    </row>
    <row r="72" spans="1:19" hidden="1" x14ac:dyDescent="0.25">
      <c r="A72" s="4" t="s">
        <v>133</v>
      </c>
      <c r="B72" s="1" t="s">
        <v>129</v>
      </c>
      <c r="C72" s="4" t="s">
        <v>166</v>
      </c>
      <c r="D72" s="4" t="s">
        <v>130</v>
      </c>
      <c r="G72" s="4" t="str">
        <f t="shared" ref="G72:G74" si="3">IF(F72="","",F72)</f>
        <v/>
      </c>
      <c r="L72" s="8"/>
      <c r="M72" s="4">
        <v>6</v>
      </c>
      <c r="N72" s="4">
        <v>18300</v>
      </c>
      <c r="O72" s="6">
        <v>45428</v>
      </c>
      <c r="P72" s="4" t="s">
        <v>137</v>
      </c>
    </row>
    <row r="73" spans="1:19" hidden="1" x14ac:dyDescent="0.25">
      <c r="A73" s="4" t="s">
        <v>132</v>
      </c>
      <c r="B73" s="1" t="s">
        <v>129</v>
      </c>
      <c r="C73" s="4" t="s">
        <v>166</v>
      </c>
      <c r="D73" s="4" t="s">
        <v>130</v>
      </c>
      <c r="G73" s="4" t="str">
        <f t="shared" si="3"/>
        <v/>
      </c>
      <c r="L73" s="8"/>
      <c r="M73" s="4">
        <v>6</v>
      </c>
      <c r="N73" s="4">
        <v>18300</v>
      </c>
      <c r="O73" s="6">
        <v>45428</v>
      </c>
      <c r="P73" s="4" t="s">
        <v>137</v>
      </c>
    </row>
    <row r="74" spans="1:19" hidden="1" x14ac:dyDescent="0.25">
      <c r="A74" s="4" t="s">
        <v>134</v>
      </c>
      <c r="B74" s="1" t="s">
        <v>129</v>
      </c>
      <c r="C74" s="4" t="s">
        <v>166</v>
      </c>
      <c r="D74" s="4" t="s">
        <v>130</v>
      </c>
      <c r="G74" s="4" t="str">
        <f t="shared" si="3"/>
        <v/>
      </c>
      <c r="L74" s="8"/>
      <c r="M74" s="4">
        <v>6</v>
      </c>
      <c r="N74" s="4">
        <v>18300</v>
      </c>
      <c r="O74" s="6">
        <v>45428</v>
      </c>
      <c r="P74" s="4" t="s">
        <v>137</v>
      </c>
    </row>
    <row r="75" spans="1:19" hidden="1" x14ac:dyDescent="0.25">
      <c r="A75" s="4" t="s">
        <v>135</v>
      </c>
      <c r="B75" s="1" t="s">
        <v>129</v>
      </c>
      <c r="C75" s="4" t="s">
        <v>166</v>
      </c>
      <c r="D75" s="4" t="s">
        <v>130</v>
      </c>
      <c r="G75" s="4" t="str">
        <f t="shared" ref="G75:G77" si="4">IF(F75="","",F75)</f>
        <v/>
      </c>
      <c r="L75" s="8"/>
      <c r="M75" s="4">
        <v>6</v>
      </c>
      <c r="N75" s="4">
        <v>18300</v>
      </c>
      <c r="O75" s="6">
        <v>45428</v>
      </c>
      <c r="P75" s="4" t="s">
        <v>137</v>
      </c>
    </row>
    <row r="76" spans="1:19" hidden="1" x14ac:dyDescent="0.25">
      <c r="A76" s="4" t="s">
        <v>131</v>
      </c>
      <c r="B76" s="1" t="s">
        <v>129</v>
      </c>
      <c r="C76" s="4" t="s">
        <v>166</v>
      </c>
      <c r="D76" s="4" t="s">
        <v>130</v>
      </c>
      <c r="G76" s="4" t="str">
        <f t="shared" si="4"/>
        <v/>
      </c>
      <c r="L76" s="8"/>
      <c r="M76" s="4">
        <v>6</v>
      </c>
      <c r="N76" s="4">
        <v>18300</v>
      </c>
      <c r="O76" s="6">
        <v>45428</v>
      </c>
      <c r="P76" s="4" t="s">
        <v>137</v>
      </c>
    </row>
    <row r="77" spans="1:19" hidden="1" x14ac:dyDescent="0.25">
      <c r="A77" s="4" t="s">
        <v>136</v>
      </c>
      <c r="B77" s="1" t="s">
        <v>129</v>
      </c>
      <c r="C77" s="4" t="s">
        <v>166</v>
      </c>
      <c r="D77" s="4" t="s">
        <v>130</v>
      </c>
      <c r="G77" s="4" t="str">
        <f t="shared" si="4"/>
        <v/>
      </c>
      <c r="L77" s="8"/>
      <c r="M77" s="4">
        <v>6</v>
      </c>
      <c r="N77" s="4">
        <v>18300</v>
      </c>
      <c r="O77" s="6">
        <v>45428</v>
      </c>
      <c r="P77" s="4" t="s">
        <v>137</v>
      </c>
    </row>
    <row r="78" spans="1:19" ht="16.5" x14ac:dyDescent="0.3">
      <c r="B78" s="3"/>
    </row>
  </sheetData>
  <autoFilter ref="P1:P77">
    <filterColumn colId="0">
      <filters blank="1">
        <filter val="se0001"/>
        <filter val="se0002"/>
        <filter val="se0003"/>
        <filter val="se0005"/>
        <filter val="se0009"/>
        <filter val="se0010"/>
        <filter val="se0011"/>
        <filter val="se0012"/>
        <filter val="se0015"/>
        <filter val="se0018"/>
        <filter val="se0019"/>
        <filter val="se0021"/>
        <filter val="se0022"/>
        <filter val="se0023"/>
        <filter val="se0024"/>
        <filter val="se9996"/>
        <filter val="se9997"/>
        <filter val="se9998"/>
        <filter val="se9999"/>
      </filters>
    </filterColumn>
  </autoFilter>
  <customSheetViews>
    <customSheetView guid="{94AFE664-6F9F-4C88-A677-CD77E4391E8A}" scale="70" filter="1" showAutoFilter="1" hiddenColumns="1">
      <pane ySplit="1" topLeftCell="A2" activePane="bottomLeft" state="frozen"/>
      <selection pane="bottomLeft" activeCell="XO355" sqref="XO355"/>
      <pageMargins left="0.7" right="0.7" top="0.75" bottom="0.75" header="0.3" footer="0.3"/>
      <pageSetup paperSize="9" orientation="portrait" verticalDpi="1200" r:id="rId1"/>
      <autoFilter ref="M1:M339">
        <filterColumn colId="0">
          <filters>
            <filter val="se0023"/>
          </filters>
        </filterColumn>
        <sortState ref="A2:VI319">
          <sortCondition ref="M1:M339"/>
        </sortState>
      </autoFilter>
    </customSheetView>
    <customSheetView guid="{00965184-5F07-49AF-942B-FDDDD13BF4E1}" scale="70" filter="1" showAutoFilter="1" hiddenColumns="1">
      <pane ySplit="1" topLeftCell="A2" activePane="bottomLeft" state="frozen"/>
      <selection pane="bottomLeft" activeCell="M344" sqref="M344"/>
      <pageMargins left="0.7" right="0.7" top="0.75" bottom="0.75" header="0.3" footer="0.3"/>
      <pageSetup paperSize="9" orientation="portrait" verticalDpi="1200" r:id="rId2"/>
      <autoFilter ref="M1:M339">
        <filterColumn colId="0">
          <filters>
            <filter val="se0022"/>
          </filters>
        </filterColumn>
        <sortState ref="A2:VI319">
          <sortCondition ref="M1:M339"/>
        </sortState>
      </autoFilter>
    </customSheetView>
    <customSheetView guid="{099C950B-C184-4ABA-8688-C905D9335CA6}" scale="70" filter="1" showAutoFilter="1" hiddenColumns="1">
      <pane ySplit="1" topLeftCell="A2" activePane="bottomLeft" state="frozen"/>
      <selection pane="bottomLeft" activeCell="B340" sqref="B340"/>
      <pageMargins left="0.7" right="0.7" top="0.75" bottom="0.75" header="0.3" footer="0.3"/>
      <pageSetup paperSize="9" orientation="portrait" verticalDpi="1200" r:id="rId3"/>
      <autoFilter ref="M1:M339">
        <filterColumn colId="0">
          <filters>
            <filter val="se0021"/>
          </filters>
        </filterColumn>
        <sortState ref="A2:VI319">
          <sortCondition ref="M1:M339"/>
        </sortState>
      </autoFilter>
    </customSheetView>
    <customSheetView guid="{5DB4B317-1107-4097-864F-03CAFC567DFC}" scale="70" filter="1" showAutoFilter="1" hiddenColumns="1">
      <pane ySplit="1" topLeftCell="A2" activePane="bottomLeft" state="frozen"/>
      <selection pane="bottomLeft" activeCell="M350" sqref="M350"/>
      <pageMargins left="0.7" right="0.7" top="0.75" bottom="0.75" header="0.3" footer="0.3"/>
      <pageSetup paperSize="9" orientation="portrait" verticalDpi="1200" r:id="rId4"/>
      <autoFilter ref="M1:M339">
        <filterColumn colId="0">
          <filters>
            <filter val="se0019"/>
          </filters>
        </filterColumn>
        <sortState ref="A2:VI319">
          <sortCondition ref="M1:M339"/>
        </sortState>
      </autoFilter>
    </customSheetView>
    <customSheetView guid="{D7FA2CF1-6692-4835-8AA4-C5163A4BA952}" scale="70" filter="1" showAutoFilter="1" hiddenColumns="1">
      <pane ySplit="1" topLeftCell="A2" activePane="bottomLeft" state="frozen"/>
      <selection pane="bottomLeft" activeCell="N358" sqref="N357:N358"/>
      <pageMargins left="0.7" right="0.7" top="0.75" bottom="0.75" header="0.3" footer="0.3"/>
      <pageSetup paperSize="9" orientation="portrait" verticalDpi="1200" r:id="rId5"/>
      <autoFilter ref="M1:M339">
        <filterColumn colId="0">
          <filters>
            <filter val="se0018"/>
          </filters>
        </filterColumn>
        <sortState ref="A2:VI319">
          <sortCondition ref="M1:M339"/>
        </sortState>
      </autoFilter>
    </customSheetView>
    <customSheetView guid="{1F246874-A1A7-4D74-AABA-53EADE2E744A}" scale="70" filter="1" showAutoFilter="1" hiddenColumns="1">
      <pane ySplit="1" topLeftCell="A2" activePane="bottomLeft" state="frozen"/>
      <selection pane="bottomLeft" activeCell="N343" sqref="N343"/>
      <pageMargins left="0.7" right="0.7" top="0.75" bottom="0.75" header="0.3" footer="0.3"/>
      <pageSetup paperSize="9" orientation="portrait" verticalDpi="1200" r:id="rId6"/>
      <autoFilter ref="M1:M339">
        <filterColumn colId="0">
          <filters>
            <filter val="se0015"/>
          </filters>
        </filterColumn>
        <sortState ref="A2:VI319">
          <sortCondition ref="M1:M339"/>
        </sortState>
      </autoFilter>
    </customSheetView>
    <customSheetView guid="{CE42496B-9D54-40D2-8A45-E77C95517B55}" scale="70" filter="1" showAutoFilter="1" hiddenColumns="1">
      <pane ySplit="1" topLeftCell="A2" activePane="bottomLeft" state="frozen"/>
      <selection pane="bottomLeft" activeCell="B343" sqref="B343"/>
      <pageMargins left="0.7" right="0.7" top="0.75" bottom="0.75" header="0.3" footer="0.3"/>
      <pageSetup paperSize="9" orientation="portrait" verticalDpi="1200" r:id="rId7"/>
      <autoFilter ref="M1:M339">
        <filterColumn colId="0">
          <filters>
            <filter val="se0012"/>
          </filters>
        </filterColumn>
        <sortState ref="A2:VI319">
          <sortCondition ref="M1:M339"/>
        </sortState>
      </autoFilter>
    </customSheetView>
    <customSheetView guid="{7F066C16-B167-4A85-9D7A-3FAA5A5EF85F}" scale="70" filter="1" showAutoFilter="1" hiddenColumns="1">
      <pane ySplit="1" topLeftCell="A2" activePane="bottomLeft" state="frozen"/>
      <selection pane="bottomLeft" activeCell="N343" sqref="N343"/>
      <pageMargins left="0.7" right="0.7" top="0.75" bottom="0.75" header="0.3" footer="0.3"/>
      <pageSetup paperSize="9" orientation="portrait" verticalDpi="1200" r:id="rId8"/>
      <autoFilter ref="M1:M339">
        <filterColumn colId="0">
          <filters>
            <filter val="se0011"/>
          </filters>
        </filterColumn>
        <sortState ref="A2:VI319">
          <sortCondition ref="M1:M339"/>
        </sortState>
      </autoFilter>
    </customSheetView>
    <customSheetView guid="{ADF9CFFD-E10C-4D15-8736-0609514E4916}" scale="70" filter="1" showAutoFilter="1" hiddenColumns="1">
      <pane ySplit="1" topLeftCell="A2" activePane="bottomLeft" state="frozen"/>
      <selection pane="bottomLeft" activeCell="N341" sqref="N341"/>
      <pageMargins left="0.7" right="0.7" top="0.75" bottom="0.75" header="0.3" footer="0.3"/>
      <pageSetup paperSize="9" orientation="portrait" verticalDpi="1200" r:id="rId9"/>
      <autoFilter ref="M1:M339">
        <filterColumn colId="0">
          <filters>
            <filter val="se0010"/>
          </filters>
        </filterColumn>
        <sortState ref="A2:VI319">
          <sortCondition ref="M1:M339"/>
        </sortState>
      </autoFilter>
    </customSheetView>
    <customSheetView guid="{D22D260E-088E-4599-BCB2-97087AAD8AE5}" scale="70" filter="1" showAutoFilter="1" hiddenColumns="1">
      <pane ySplit="1" topLeftCell="A2" activePane="bottomLeft" state="frozen"/>
      <selection pane="bottomLeft" activeCell="N344" sqref="N344"/>
      <pageMargins left="0.7" right="0.7" top="0.75" bottom="0.75" header="0.3" footer="0.3"/>
      <pageSetup paperSize="9" orientation="portrait" verticalDpi="1200" r:id="rId10"/>
      <autoFilter ref="M1:M339">
        <filterColumn colId="0">
          <filters>
            <filter val="se0009"/>
          </filters>
        </filterColumn>
        <sortState ref="A2:VI319">
          <sortCondition ref="M1:M339"/>
        </sortState>
      </autoFilter>
    </customSheetView>
    <customSheetView guid="{B205BA54-71A4-47C5-B56A-169243A959A8}" scale="70" filter="1" showAutoFilter="1" hiddenColumns="1">
      <pane ySplit="1" topLeftCell="A2" activePane="bottomLeft" state="frozen"/>
      <selection pane="bottomLeft" activeCell="DK366" sqref="DK366"/>
      <pageMargins left="0.7" right="0.7" top="0.75" bottom="0.75" header="0.3" footer="0.3"/>
      <pageSetup paperSize="9" orientation="portrait" verticalDpi="1200" r:id="rId11"/>
      <autoFilter ref="M1:M339">
        <filterColumn colId="0">
          <filters>
            <filter val="se0005"/>
          </filters>
        </filterColumn>
        <sortState ref="A2:VI319">
          <sortCondition ref="M1:M339"/>
        </sortState>
      </autoFilter>
    </customSheetView>
    <customSheetView guid="{D7ECF9BA-B840-4CB9-86EE-C6C8ADBF9F09}" scale="70" filter="1" showAutoFilter="1" hiddenColumns="1">
      <pane ySplit="1" topLeftCell="A2" activePane="bottomLeft" state="frozen"/>
      <selection pane="bottomLeft" activeCell="BM192" sqref="BM192"/>
      <pageMargins left="0.7" right="0.7" top="0.75" bottom="0.75" header="0.3" footer="0.3"/>
      <pageSetup paperSize="9" orientation="portrait" verticalDpi="1200" r:id="rId12"/>
      <autoFilter ref="M1:M339">
        <filterColumn colId="0">
          <filters>
            <filter val="se0003"/>
          </filters>
        </filterColumn>
        <sortState ref="A2:VI319">
          <sortCondition ref="M1:M339"/>
        </sortState>
      </autoFilter>
    </customSheetView>
    <customSheetView guid="{A2283EE0-A24A-4CDC-857A-4B7175209974}" scale="70" filter="1" showAutoFilter="1" hiddenColumns="1">
      <pane ySplit="1" topLeftCell="A2" activePane="bottomLeft" state="frozen"/>
      <selection pane="bottomLeft" activeCell="AG342" sqref="AG342"/>
      <pageMargins left="0.7" right="0.7" top="0.75" bottom="0.75" header="0.3" footer="0.3"/>
      <pageSetup paperSize="9" orientation="portrait" verticalDpi="1200" r:id="rId13"/>
      <autoFilter ref="M1:M339">
        <filterColumn colId="0">
          <filters>
            <filter val="se0002"/>
          </filters>
        </filterColumn>
        <sortState ref="A2:VI319">
          <sortCondition ref="M1:M339"/>
        </sortState>
      </autoFilter>
    </customSheetView>
    <customSheetView guid="{FF63D40D-C45A-43CA-A9C5-895EDFA71399}" scale="55" filter="1" showAutoFilter="1" hiddenColumns="1">
      <pane ySplit="1" topLeftCell="A2" activePane="bottomLeft" state="frozen"/>
      <selection pane="bottomLeft" activeCell="Y15" sqref="Y15"/>
      <pageMargins left="0.7" right="0.7" top="0.75" bottom="0.75" header="0.3" footer="0.3"/>
      <pageSetup paperSize="9" orientation="portrait" verticalDpi="1200" r:id="rId14"/>
      <autoFilter ref="M1:M339">
        <filterColumn colId="0">
          <filters>
            <filter val="se0001"/>
          </filters>
        </filterColumn>
        <sortState ref="A2:VI319">
          <sortCondition ref="M1:M339"/>
        </sortState>
      </autoFilter>
    </customSheetView>
    <customSheetView guid="{95780374-5F6E-4995-810F-F6EFCCC977B7}" scale="55" showAutoFilter="1">
      <pane ySplit="1" topLeftCell="A2" activePane="bottomLeft" state="frozen"/>
      <selection pane="bottomLeft" activeCell="B250" sqref="B250"/>
      <pageMargins left="0.7" right="0.7" top="0.75" bottom="0.75" header="0.3" footer="0.3"/>
      <pageSetup paperSize="9" orientation="portrait" verticalDpi="1200" r:id="rId15"/>
      <autoFilter ref="M1:M339">
        <sortState ref="A2:VI319">
          <sortCondition ref="M1:M339"/>
        </sortState>
      </autoFilter>
    </customSheetView>
    <customSheetView guid="{A298CBA9-1955-45DC-966F-0472E427A6C6}" scale="70" filter="1" showAutoFilter="1" hiddenColumns="1">
      <pane ySplit="340" topLeftCell="A342" activePane="bottomLeft" state="frozen"/>
      <selection pane="bottomLeft" activeCell="N341" sqref="N341"/>
      <pageMargins left="0.7" right="0.7" top="0.75" bottom="0.75" header="0.3" footer="0.3"/>
      <pageSetup paperSize="9" orientation="portrait" verticalDpi="1200" r:id="rId16"/>
      <autoFilter ref="P1:P341">
        <filterColumn colId="0">
          <filters>
            <filter val="se0024"/>
          </filters>
        </filterColumn>
        <sortState ref="A2:VL319">
          <sortCondition ref="P1:P339"/>
        </sortState>
      </autoFilter>
    </customSheetView>
  </customSheetViews>
  <conditionalFormatting sqref="A83:A1048576 A1:A77">
    <cfRule type="duplicateValues" dxfId="0" priority="3"/>
  </conditionalFormatting>
  <pageMargins left="0.7" right="0.7" top="0.75" bottom="0.75" header="0.3" footer="0.3"/>
  <pageSetup paperSize="9" orientation="portrait" verticalDpi="120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241113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makskorp</dc:creator>
  <cp:lastModifiedBy>Admin</cp:lastModifiedBy>
  <cp:lastPrinted>2024-10-06T16:27:20Z</cp:lastPrinted>
  <dcterms:created xsi:type="dcterms:W3CDTF">2024-04-15T07:56:59Z</dcterms:created>
  <dcterms:modified xsi:type="dcterms:W3CDTF">2025-05-19T05:05:13Z</dcterms:modified>
</cp:coreProperties>
</file>