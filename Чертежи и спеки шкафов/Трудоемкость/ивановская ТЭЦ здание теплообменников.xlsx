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<sst xmlns="http://schemas.openxmlformats.org/spreadsheetml/2006/main" count="62" uniqueCount="48">
  <si>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№ п/п</t>
  </si>
  <si>
    <t>Шифр</t>
  </si>
  <si>
    <t>Наименование</t>
  </si>
  <si>
    <t>Состав работ</t>
  </si>
  <si>
    <t>Трудо-емкость на ед., ч/ч</t>
  </si>
  <si>
    <t>Ед.изм.</t>
  </si>
  <si>
    <t>Кол-во</t>
  </si>
  <si>
    <t>Трудо-емкость общая, ч/ч</t>
  </si>
  <si>
    <t>Примечание</t>
  </si>
  <si>
    <t>м11-01-001-02</t>
  </si>
  <si>
    <t>Конструкции для установки приборов, масса до 2 кг</t>
  </si>
  <si>
    <t>Не предусмотрен</t>
  </si>
  <si>
    <t>шт</t>
  </si>
  <si>
    <t>din-рейка например, но не по метражу, а по кол-ву отрезков</t>
  </si>
  <si>
    <t>м11-01-001-04</t>
  </si>
  <si>
    <t>Конструкции для установки приборов, масса до 5 кг</t>
  </si>
  <si>
    <t>м08-01-082-01</t>
  </si>
  <si>
    <t xml:space="preserve">Зажим наборный без кожуха </t>
  </si>
  <si>
    <t>01. Сборка и установка зажимов без присоединения (присоединение делать отдельно по п.10).</t>
  </si>
  <si>
    <t>клеммник</t>
  </si>
  <si>
    <t>м11-03-001-01</t>
  </si>
  <si>
    <t>Приборы, устанавливаемые на металлоконструкциях, щитах и пультах, масса до 5 кг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</si>
  <si>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</si>
  <si>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м11-03-001-02</t>
  </si>
  <si>
    <t>Приборы, устанавливаемые на металлоконструкциях, щитах и пультах, масса до 10 кг</t>
  </si>
  <si>
    <t>м11-03-001-03</t>
  </si>
  <si>
    <t>Добавлять за каждые 5 кг свыше 10 кг</t>
  </si>
  <si>
    <t>кг</t>
  </si>
  <si>
    <t>м08-03-591-08</t>
  </si>
  <si>
    <t>Розетка штепсельная неутопленного типа при открытой проводке</t>
  </si>
  <si>
    <t>01. Установка приборов.
02. Присоединение.
03. Опробование на зажигание.</t>
  </si>
  <si>
    <t>м08-03-593-09</t>
  </si>
  <si>
    <t>Светильник местного освещения</t>
  </si>
  <si>
    <t>01. Монтаж светильника.
02. Присоединение.
03. Ввертывание ламп.
04. Опробование на зажигание.</t>
  </si>
  <si>
    <t>м11-06-002-01</t>
  </si>
  <si>
    <t>Электрические проводки в щитах и пультах шкафных и панельных</t>
  </si>
  <si>
    <t>м</t>
  </si>
  <si>
    <t>м11-08-001-01</t>
  </si>
  <si>
    <t>Присоединение к приборам электрических проводок под винт с оконцеванием наконечником</t>
  </si>
  <si>
    <t>жила</t>
  </si>
  <si>
    <t>Считаем, сколько жил подходит-отходит от каждого прибора из п.3-7 и все сюда</t>
  </si>
  <si>
    <t>ЕНиР32-88-3,4</t>
  </si>
  <si>
    <t>Маркировка кабелей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</si>
  <si>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</si>
  <si>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на каждую жилу</t>
  </si>
  <si>
    <t>м08-02-390-01</t>
  </si>
  <si>
    <t>Короба пластмассовые шириной до 40 мм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</si>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</sst>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4">
    <font>
      <sz val="11"/>
      <name val="Calibri"/>
      <charset val="134"/>
    </font>
    <font>
      <sz val="11"/>
      <color rgb="FF000000"/>
      <name val="Calibri"/>
      <charset val="204"/>
    </font>
    <font>
      <i/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115" zoomScaleNormal="115" topLeftCell="D1" workbookViewId="0">
      <selection activeCell="G13" sqref="G13"/>
    </sheetView>
  </sheetViews>
  <sheetFormatPr defaultColWidth="10" defaultRowHeight="15"/>
  <cols>
    <col min="1" max="1" width="4.14285714285714" customWidth="1"/>
    <col min="2" max="2" width="13.7142857142857" hidden="1" customWidth="1"/>
    <col min="3" max="3" width="52" customWidth="1"/>
    <col min="4" max="4" width="50.8571428571429" customWidth="1"/>
    <col min="5" max="5" width="8.28571428571429" customWidth="1"/>
    <col min="6" max="6" width="7.71428571428571" customWidth="1"/>
    <col min="7" max="7" width="5.14285714285714" customWidth="1"/>
    <col min="8" max="8" width="8.42857142857143" customWidth="1"/>
    <col min="9" max="9" width="51.1428571428571" customWidth="1"/>
  </cols>
  <sheetData>
    <row r="1" ht="6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0.58</v>
      </c>
      <c r="F2" s="2" t="s">
        <v>12</v>
      </c>
      <c r="G2" s="3">
        <v>31</v>
      </c>
      <c r="H2" s="4">
        <f>G2*E2</f>
        <v>17.98</v>
      </c>
      <c r="I2" s="7" t="s">
        <v>13</v>
      </c>
    </row>
    <row r="3" spans="1:9">
      <c r="A3" s="2">
        <v>2</v>
      </c>
      <c r="B3" s="2" t="s">
        <v>14</v>
      </c>
      <c r="C3" s="2" t="s">
        <v>15</v>
      </c>
      <c r="D3" s="2" t="s">
        <v>11</v>
      </c>
      <c r="E3" s="2">
        <v>1.15</v>
      </c>
      <c r="F3" s="2" t="s">
        <v>12</v>
      </c>
      <c r="G3" s="3">
        <v>0</v>
      </c>
      <c r="H3" s="4">
        <f>G3*E3</f>
        <v>0</v>
      </c>
      <c r="I3" s="8"/>
    </row>
    <row r="4" ht="30" spans="1:9">
      <c r="A4" s="2">
        <v>3</v>
      </c>
      <c r="B4" s="2" t="s">
        <v>16</v>
      </c>
      <c r="C4" s="2" t="s">
        <v>17</v>
      </c>
      <c r="D4" s="2" t="s">
        <v>18</v>
      </c>
      <c r="E4" s="2">
        <f>47.11/100-2*E11</f>
        <v>0.2451</v>
      </c>
      <c r="F4" s="2" t="s">
        <v>12</v>
      </c>
      <c r="G4" s="3">
        <v>1100</v>
      </c>
      <c r="H4" s="4">
        <f>G4*E4</f>
        <v>269.61</v>
      </c>
      <c r="I4" s="9" t="s">
        <v>19</v>
      </c>
    </row>
    <row r="5" ht="30" spans="1:9">
      <c r="A5" s="2">
        <v>4</v>
      </c>
      <c r="B5" s="2" t="s">
        <v>20</v>
      </c>
      <c r="C5" s="2" t="s">
        <v>21</v>
      </c>
      <c r="D5" s="2" t="s">
        <v>11</v>
      </c>
      <c r="E5" s="2">
        <v>0.52</v>
      </c>
      <c r="F5" s="2" t="s">
        <v>12</v>
      </c>
      <c r="G5" s="3">
        <v>770</v>
      </c>
      <c r="H5" s="4">
        <f t="shared" ref="H5:H13" si="0">G5*E5</f>
        <v>400.4</v>
      </c>
      <c r="I5" s="7" t="s">
        <v>22</v>
      </c>
    </row>
    <row r="6" ht="30" spans="1:9">
      <c r="A6" s="2">
        <v>5</v>
      </c>
      <c r="B6" s="2" t="s">
        <v>23</v>
      </c>
      <c r="C6" s="2" t="s">
        <v>24</v>
      </c>
      <c r="D6" s="2" t="s">
        <v>11</v>
      </c>
      <c r="E6" s="2">
        <v>1.03</v>
      </c>
      <c r="F6" s="2" t="s">
        <v>12</v>
      </c>
      <c r="G6" s="3">
        <v>0</v>
      </c>
      <c r="H6" s="4">
        <f t="shared" si="0"/>
        <v>0</v>
      </c>
      <c r="I6" s="10"/>
    </row>
    <row r="7" spans="1:9">
      <c r="A7" s="2">
        <v>6</v>
      </c>
      <c r="B7" s="2" t="s">
        <v>25</v>
      </c>
      <c r="C7" s="2" t="s">
        <v>26</v>
      </c>
      <c r="D7" s="2" t="s">
        <v>11</v>
      </c>
      <c r="E7" s="2">
        <f>1.03/5</f>
        <v>0.206</v>
      </c>
      <c r="F7" s="2" t="s">
        <v>27</v>
      </c>
      <c r="G7" s="3">
        <v>0</v>
      </c>
      <c r="H7" s="4">
        <f t="shared" si="0"/>
        <v>0</v>
      </c>
      <c r="I7" s="8"/>
    </row>
    <row r="8" ht="45" spans="1:9">
      <c r="A8" s="2">
        <v>7</v>
      </c>
      <c r="B8" s="2" t="s">
        <v>28</v>
      </c>
      <c r="C8" s="2" t="s">
        <v>29</v>
      </c>
      <c r="D8" s="2" t="s">
        <v>30</v>
      </c>
      <c r="E8" s="2">
        <f>43.6/100</f>
        <v>0.436</v>
      </c>
      <c r="F8" s="2" t="s">
        <v>12</v>
      </c>
      <c r="G8" s="3">
        <v>2</v>
      </c>
      <c r="H8" s="4">
        <f t="shared" si="0"/>
        <v>0.872</v>
      </c>
      <c r="I8" s="2"/>
    </row>
    <row r="9" ht="60" spans="1:9">
      <c r="A9" s="2">
        <v>8</v>
      </c>
      <c r="B9" s="2" t="s">
        <v>31</v>
      </c>
      <c r="C9" s="2" t="s">
        <v>32</v>
      </c>
      <c r="D9" s="2" t="s">
        <v>33</v>
      </c>
      <c r="E9" s="2">
        <f>85.46/100</f>
        <v>0.8546</v>
      </c>
      <c r="F9" s="2" t="s">
        <v>12</v>
      </c>
      <c r="G9" s="3">
        <v>6</v>
      </c>
      <c r="H9" s="4">
        <f t="shared" si="0"/>
        <v>5.1276</v>
      </c>
      <c r="I9" s="2"/>
    </row>
    <row r="10" ht="30" spans="1:9">
      <c r="A10" s="2">
        <v>9</v>
      </c>
      <c r="B10" s="2" t="s">
        <v>34</v>
      </c>
      <c r="C10" s="2" t="s">
        <v>35</v>
      </c>
      <c r="D10" s="2" t="s">
        <v>11</v>
      </c>
      <c r="E10" s="2">
        <f>9.27/100</f>
        <v>0.0927</v>
      </c>
      <c r="F10" s="2" t="s">
        <v>36</v>
      </c>
      <c r="G10" s="3">
        <v>1200</v>
      </c>
      <c r="H10" s="4">
        <f t="shared" si="0"/>
        <v>111.24</v>
      </c>
      <c r="I10" s="2"/>
    </row>
    <row r="11" ht="30" spans="1:9">
      <c r="A11" s="2">
        <v>10</v>
      </c>
      <c r="B11" s="2" t="s">
        <v>37</v>
      </c>
      <c r="C11" s="2" t="s">
        <v>38</v>
      </c>
      <c r="D11" s="2" t="s">
        <v>11</v>
      </c>
      <c r="E11" s="2">
        <f>11.3/100</f>
        <v>0.113</v>
      </c>
      <c r="F11" s="2" t="s">
        <v>39</v>
      </c>
      <c r="G11" s="3">
        <v>4506</v>
      </c>
      <c r="H11" s="4">
        <f t="shared" si="0"/>
        <v>509.178</v>
      </c>
      <c r="I11" s="2" t="s">
        <v>40</v>
      </c>
    </row>
    <row r="12" ht="75" spans="1:9">
      <c r="A12" s="2">
        <v>11</v>
      </c>
      <c r="B12" s="2" t="s">
        <v>41</v>
      </c>
      <c r="C12" s="2" t="s">
        <v>42</v>
      </c>
      <c r="D12" s="2" t="s">
        <v>43</v>
      </c>
      <c r="E12" s="2">
        <f>(2.3+2.2)/100</f>
        <v>0.045</v>
      </c>
      <c r="F12" s="2" t="s">
        <v>39</v>
      </c>
      <c r="G12" s="4">
        <f>G11</f>
        <v>4506</v>
      </c>
      <c r="H12" s="4">
        <f t="shared" si="0"/>
        <v>202.77</v>
      </c>
      <c r="I12" s="9" t="s">
        <v>44</v>
      </c>
    </row>
    <row r="13" ht="105.75" spans="1:9">
      <c r="A13" s="2">
        <v>12</v>
      </c>
      <c r="B13" s="2" t="s">
        <v>45</v>
      </c>
      <c r="C13" s="2" t="s">
        <v>46</v>
      </c>
      <c r="D13" s="2" t="s">
        <v>47</v>
      </c>
      <c r="E13" s="2">
        <f>16.29/100</f>
        <v>0.1629</v>
      </c>
      <c r="F13" s="2" t="s">
        <v>36</v>
      </c>
      <c r="G13" s="3">
        <v>28</v>
      </c>
      <c r="H13" s="5">
        <f t="shared" si="0"/>
        <v>4.5612</v>
      </c>
      <c r="I13" s="2"/>
    </row>
    <row r="14" ht="15.75" spans="8:8">
      <c r="H14" s="6">
        <f>SUM(H5:H13)</f>
        <v>1234.1488</v>
      </c>
    </row>
  </sheetData>
  <mergeCells count="2">
    <mergeCell ref="I2:I3"/>
    <mergeCell ref="I5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diakov.net</Company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2018-03-07T13:14:00Z</dcterms:created>
  <dcterms:modified xsi:type="dcterms:W3CDTF">2025-09-14T19:05:33Z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4C944EF694BB4C1ABF9D124F3EB78B9F_13</vt:lpwstr>
  </property>
  <property fmtid="{D5CDD505-2E9C-101B-9397-08002B2CF9AE}" pid="3" name="KSOProductBuildVer">
    <vt:lpwstr>1049-12.2.0.22549</vt:lpwstr>
  </property>
</Properties>
</file>