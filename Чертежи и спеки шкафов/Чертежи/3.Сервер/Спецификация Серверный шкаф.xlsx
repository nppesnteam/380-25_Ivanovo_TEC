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470" windowHeight="99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H5" i="1" l="1"/>
  <c r="H6" i="1"/>
  <c r="H7" i="1"/>
  <c r="H8" i="1"/>
  <c r="H9" i="1"/>
  <c r="H10" i="1"/>
  <c r="H11" i="1"/>
  <c r="H12" i="1"/>
  <c r="H13" i="1"/>
  <c r="H15" i="1"/>
  <c r="H16" i="1"/>
  <c r="H4" i="1"/>
  <c r="H31" i="1"/>
  <c r="H30" i="1"/>
  <c r="H26" i="1"/>
  <c r="H27" i="1"/>
  <c r="H28" i="1"/>
  <c r="H29" i="1"/>
  <c r="H25" i="1"/>
  <c r="H24" i="1"/>
  <c r="H23" i="1"/>
  <c r="H22" i="1"/>
  <c r="H21" i="1"/>
  <c r="H20" i="1"/>
  <c r="H19" i="1"/>
  <c r="H17" i="1"/>
  <c r="H18" i="1"/>
  <c r="H33" i="1" l="1"/>
</calcChain>
</file>

<file path=xl/sharedStrings.xml><?xml version="1.0" encoding="utf-8"?>
<sst xmlns="http://schemas.openxmlformats.org/spreadsheetml/2006/main" count="120" uniqueCount="75">
  <si>
    <t>Обозн</t>
  </si>
  <si>
    <t>Наименоваие</t>
  </si>
  <si>
    <t>Тип, марка</t>
  </si>
  <si>
    <t>Ед.изм.</t>
  </si>
  <si>
    <t>Кол-во</t>
  </si>
  <si>
    <t>Производитель</t>
  </si>
  <si>
    <t>DKC</t>
  </si>
  <si>
    <t>Шт.</t>
  </si>
  <si>
    <t>LDBO0-3001-4-4000-K01</t>
  </si>
  <si>
    <t>IEK</t>
  </si>
  <si>
    <t>SR1103L</t>
  </si>
  <si>
    <t>Онлайн ИБП   (3 кВА / 2,7 кВт)</t>
  </si>
  <si>
    <t xml:space="preserve">Батарейный модуль </t>
  </si>
  <si>
    <t>BMR-96-09</t>
  </si>
  <si>
    <t>Клемма винтовая проходная, 2.5 мм², серая</t>
  </si>
  <si>
    <t>EKF</t>
  </si>
  <si>
    <t>scr-ut-2,5-g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</si>
  <si>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</si>
  <si>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</si>
  <si>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</si>
  <si>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</si>
  <si>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</si>
  <si>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</si>
  <si>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Серверный шкаф</t>
  </si>
  <si>
    <t>Разобранный 19" IT-CQE 38U 600х1800х800, двери стекло + сплошная, RAL7011/7035</t>
  </si>
  <si>
    <t>R5IT3868GS</t>
  </si>
  <si>
    <t>Ролики для напольных 19" IT-корпусов ДКС серии CQE, 4шт</t>
  </si>
  <si>
    <t>R5A41</t>
  </si>
  <si>
    <t>Заглушка сплошная 19" 1U RAL9005</t>
  </si>
  <si>
    <t>R5PRK1B</t>
  </si>
  <si>
    <t>Заглушка сплошная 19" 2U RAL9005</t>
  </si>
  <si>
    <t>R5PRK2B</t>
  </si>
  <si>
    <t>Модуль 3U с DIN рейкой для 19" IT-корпусов, RAL9005</t>
  </si>
  <si>
    <t>R5CMDIT3HEB</t>
  </si>
  <si>
    <t>Блок распределения питания (PDU) 19" 10A с выключателем, Вых:8 Schuko, Вх:С14</t>
  </si>
  <si>
    <t>R519SH8OPSHC14</t>
  </si>
  <si>
    <t>Уплотнитель для ввода кабеля в корпуса CQE шириной 600 мм</t>
  </si>
  <si>
    <t>R5FPC600</t>
  </si>
  <si>
    <t xml:space="preserve">Потолочный модуль 4 вентилятора с термостатом IT CQE </t>
  </si>
  <si>
    <t>R5VSIT6004FT</t>
  </si>
  <si>
    <t xml:space="preserve">Компактный отказоустойчивый 1U сервер </t>
  </si>
  <si>
    <t>GS-104-E1</t>
  </si>
  <si>
    <t>AdvantiX</t>
  </si>
  <si>
    <t>Промышленный управляемый коммутатор DKC монтируемый в 19 стойку, 4 порта 100Base X SFP, 24x10/100Base T X порта RJ45</t>
  </si>
  <si>
    <t>N2100-4SFP24T-P5</t>
  </si>
  <si>
    <t>Межсетевой экран</t>
  </si>
  <si>
    <t>D500</t>
  </si>
  <si>
    <t>UserGate</t>
  </si>
  <si>
    <t>8 Портовый переключатель с KVM консолью</t>
  </si>
  <si>
    <t>CL1308N-ATA-RG</t>
  </si>
  <si>
    <t>ATEN</t>
  </si>
  <si>
    <t>ШТИЛЬ</t>
  </si>
  <si>
    <t>Светильник светодиодный линейный ДБО 3001 4Вт 4000K IP20</t>
  </si>
  <si>
    <t>Контактор КМИ-11810 18А 230В/АС3 1NO</t>
  </si>
  <si>
    <t>KKM11-018-230-10</t>
  </si>
  <si>
    <t>Приставка ПКИ-11 дополнительные контакты 1NO+1NC</t>
  </si>
  <si>
    <t>KPK10-11</t>
  </si>
  <si>
    <t>Механизм блокировки для КМИ(09А-32А)</t>
  </si>
  <si>
    <t>KKM10D-MB</t>
  </si>
  <si>
    <t>Лампа сигнальная ЛС-47 неон зеленая</t>
  </si>
  <si>
    <t>MLS10-230-K06</t>
  </si>
  <si>
    <t>Цена б.НДС</t>
  </si>
  <si>
    <t>Сумма б.НДС</t>
  </si>
  <si>
    <t>Автоматический выключатель 2П 10А 6кА</t>
  </si>
  <si>
    <t>MVA20-2-010-C</t>
  </si>
  <si>
    <t>Карта мониторинга IC-RS232/Dry contacts</t>
  </si>
  <si>
    <t>IC-RS232/Dry contacts</t>
  </si>
  <si>
    <t>Штиль</t>
  </si>
  <si>
    <t>Блок питания "MODULAR POWER", однофазный, 15Вт, 0.6А, 24В</t>
  </si>
  <si>
    <t>XCSD1015W024VAA</t>
  </si>
  <si>
    <t>Модуль резервирования 20А</t>
  </si>
  <si>
    <t>DPSRED20A</t>
  </si>
  <si>
    <t>Итог</t>
  </si>
  <si>
    <t>Промышленный гигабитный SFP трансивер</t>
  </si>
  <si>
    <t>N2010-IGMSX850-055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</si>
</sst>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4" fontId="0" fillId="0" borderId="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1">
    <cellStyle name="Обычный" xfId="0" builtinId="0"/>
    <cellStyle name="Обычный 2 2" xfId="2"/>
    <cellStyle name="Обычный 2 2 2" xfId="9"/>
    <cellStyle name="Обычный 2 2 3" xfId="6"/>
    <cellStyle name="Обычный 2_Магадель" xfId="4"/>
    <cellStyle name="Обычный 3 2 3" xfId="1"/>
    <cellStyle name="Обычный 3 2 3 2" xfId="8"/>
    <cellStyle name="Обычный 3 2 3 2 2" xfId="3"/>
    <cellStyle name="Обычный 3 2 3 2 2 2" xfId="10"/>
    <cellStyle name="Обычный 3 2 3 2 2 3" xfId="7"/>
    <cellStyle name="Обычный 3 2 3 3" xfId="5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99"/>
  <sheetViews>
    <sheetView tabSelected="1" zoomScaleNormal="100" workbookViewId="0">
      <selection activeCell="B13" sqref="B13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6.140625" style="9" customWidth="1"/>
    <col min="8" max="8" width="14.140625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0" t="s">
        <v>61</v>
      </c>
      <c r="H1" s="8" t="s">
        <v>62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0">
        <v>7</v>
      </c>
      <c r="H2" s="20">
        <v>8</v>
      </c>
    </row>
    <row r="3" spans="1:8" s="1" customFormat="1" x14ac:dyDescent="0.25">
      <c r="A3" s="2">
        <v>1</v>
      </c>
      <c r="B3" s="10" t="s">
        <v>23</v>
      </c>
      <c r="C3" s="11"/>
      <c r="D3" s="11"/>
      <c r="E3" s="11"/>
      <c r="F3" s="11">
        <v>1</v>
      </c>
      <c r="G3" s="21"/>
      <c r="H3" s="22"/>
    </row>
    <row r="4" spans="1:8" s="1" customFormat="1" x14ac:dyDescent="0.25">
      <c r="A4" s="2"/>
      <c r="B4" s="4" t="s">
        <v>24</v>
      </c>
      <c r="C4" s="2" t="s">
        <v>25</v>
      </c>
      <c r="D4" s="2" t="s">
        <v>6</v>
      </c>
      <c r="E4" s="2" t="s">
        <v>7</v>
      </c>
      <c r="F4" s="2">
        <v>1</v>
      </c>
      <c r="G4" s="23">
        <v>240818.32</v>
      </c>
      <c r="H4" s="20">
        <f>G4*F4</f>
        <v>240818.32</v>
      </c>
    </row>
    <row r="5" spans="1:8" s="1" customFormat="1" x14ac:dyDescent="0.25">
      <c r="A5" s="2"/>
      <c r="B5" s="4" t="s">
        <v>26</v>
      </c>
      <c r="C5" s="2" t="s">
        <v>27</v>
      </c>
      <c r="D5" s="17" t="s">
        <v>6</v>
      </c>
      <c r="E5" s="17" t="s">
        <v>7</v>
      </c>
      <c r="F5" s="17">
        <v>1</v>
      </c>
      <c r="G5" s="20">
        <v>21006.79</v>
      </c>
      <c r="H5" s="20">
        <f t="shared" ref="H5:H16" si="0">G5*F5</f>
        <v>21006.79</v>
      </c>
    </row>
    <row r="6" spans="1:8" s="1" customFormat="1" x14ac:dyDescent="0.25">
      <c r="A6" s="2"/>
      <c r="B6" s="4" t="s">
        <v>28</v>
      </c>
      <c r="C6" s="2" t="s">
        <v>29</v>
      </c>
      <c r="D6" s="17" t="s">
        <v>6</v>
      </c>
      <c r="E6" s="17" t="s">
        <v>7</v>
      </c>
      <c r="F6" s="17">
        <v>4</v>
      </c>
      <c r="G6" s="20">
        <v>573.23</v>
      </c>
      <c r="H6" s="20">
        <f t="shared" si="0"/>
        <v>2292.92</v>
      </c>
    </row>
    <row r="7" spans="1:8" s="1" customFormat="1" x14ac:dyDescent="0.25">
      <c r="A7" s="8"/>
      <c r="B7" s="4" t="s">
        <v>30</v>
      </c>
      <c r="C7" s="2" t="s">
        <v>31</v>
      </c>
      <c r="D7" s="17" t="s">
        <v>6</v>
      </c>
      <c r="E7" s="17" t="s">
        <v>7</v>
      </c>
      <c r="F7" s="17">
        <v>8</v>
      </c>
      <c r="G7" s="20">
        <v>736.3</v>
      </c>
      <c r="H7" s="20">
        <f t="shared" si="0"/>
        <v>5890.4</v>
      </c>
    </row>
    <row r="8" spans="1:8" s="1" customFormat="1" x14ac:dyDescent="0.25">
      <c r="A8" s="2"/>
      <c r="B8" s="4" t="s">
        <v>32</v>
      </c>
      <c r="C8" s="2" t="s">
        <v>33</v>
      </c>
      <c r="D8" s="17" t="s">
        <v>6</v>
      </c>
      <c r="E8" s="17" t="s">
        <v>7</v>
      </c>
      <c r="F8" s="17">
        <v>2</v>
      </c>
      <c r="G8" s="20">
        <v>15933.33</v>
      </c>
      <c r="H8" s="20">
        <f t="shared" si="0"/>
        <v>31866.66</v>
      </c>
    </row>
    <row r="9" spans="1:8" s="1" customFormat="1" x14ac:dyDescent="0.25">
      <c r="A9" s="2"/>
      <c r="B9" s="4" t="s">
        <v>34</v>
      </c>
      <c r="C9" s="2" t="s">
        <v>35</v>
      </c>
      <c r="D9" s="17" t="s">
        <v>6</v>
      </c>
      <c r="E9" s="17" t="s">
        <v>7</v>
      </c>
      <c r="F9" s="17">
        <v>1</v>
      </c>
      <c r="G9" s="20">
        <v>5258.86</v>
      </c>
      <c r="H9" s="20">
        <f t="shared" si="0"/>
        <v>5258.86</v>
      </c>
    </row>
    <row r="10" spans="1:8" s="1" customFormat="1" x14ac:dyDescent="0.25">
      <c r="A10" s="5"/>
      <c r="B10" s="4" t="s">
        <v>36</v>
      </c>
      <c r="C10" s="2" t="s">
        <v>37</v>
      </c>
      <c r="D10" s="17" t="s">
        <v>6</v>
      </c>
      <c r="E10" s="17" t="s">
        <v>7</v>
      </c>
      <c r="F10" s="17">
        <v>1</v>
      </c>
      <c r="G10" s="20">
        <v>3052.71</v>
      </c>
      <c r="H10" s="20">
        <f t="shared" si="0"/>
        <v>3052.71</v>
      </c>
    </row>
    <row r="11" spans="1:8" s="1" customFormat="1" x14ac:dyDescent="0.25">
      <c r="A11" s="8"/>
      <c r="B11" s="4" t="s">
        <v>38</v>
      </c>
      <c r="C11" s="2" t="s">
        <v>39</v>
      </c>
      <c r="D11" s="17" t="s">
        <v>6</v>
      </c>
      <c r="E11" s="17" t="s">
        <v>7</v>
      </c>
      <c r="F11" s="17">
        <v>1</v>
      </c>
      <c r="G11" s="20">
        <v>28000.83</v>
      </c>
      <c r="H11" s="20">
        <f t="shared" si="0"/>
        <v>28000.83</v>
      </c>
    </row>
    <row r="12" spans="1:8" s="1" customFormat="1" x14ac:dyDescent="0.25">
      <c r="A12" s="5"/>
      <c r="B12" s="4" t="s">
        <v>40</v>
      </c>
      <c r="C12" s="2" t="s">
        <v>41</v>
      </c>
      <c r="D12" s="2" t="s">
        <v>42</v>
      </c>
      <c r="E12" s="17" t="s">
        <v>7</v>
      </c>
      <c r="F12" s="17">
        <v>1</v>
      </c>
      <c r="G12" s="28"/>
      <c r="H12" s="20">
        <f t="shared" si="0"/>
        <v>0</v>
      </c>
    </row>
    <row r="13" spans="1:8" s="1" customFormat="1" ht="33" x14ac:dyDescent="0.25">
      <c r="A13" s="5"/>
      <c r="B13" s="15" t="s">
        <v>43</v>
      </c>
      <c r="C13" s="2" t="s">
        <v>44</v>
      </c>
      <c r="D13" s="17" t="s">
        <v>6</v>
      </c>
      <c r="E13" s="17" t="s">
        <v>7</v>
      </c>
      <c r="F13" s="17">
        <v>1</v>
      </c>
      <c r="G13" s="27">
        <v>106619.48</v>
      </c>
      <c r="H13" s="20">
        <f t="shared" si="0"/>
        <v>106619.48</v>
      </c>
    </row>
    <row r="14" spans="1:8" s="1" customFormat="1" x14ac:dyDescent="0.25">
      <c r="A14" s="19"/>
      <c r="B14" s="12" t="s">
        <v>73</v>
      </c>
      <c r="C14" s="18" t="s">
        <v>74</v>
      </c>
      <c r="D14" s="17" t="s">
        <v>6</v>
      </c>
      <c r="E14" s="18" t="s">
        <v>7</v>
      </c>
      <c r="F14" s="24">
        <v>4</v>
      </c>
      <c r="G14" s="27">
        <v>5076.8999999999996</v>
      </c>
      <c r="H14" s="26">
        <f t="shared" si="0"/>
        <v>20307.599999999999</v>
      </c>
    </row>
    <row r="15" spans="1:8" s="1" customFormat="1" x14ac:dyDescent="0.25">
      <c r="A15" s="8"/>
      <c r="B15" s="4" t="s">
        <v>45</v>
      </c>
      <c r="C15" s="2" t="s">
        <v>46</v>
      </c>
      <c r="D15" s="2" t="s">
        <v>47</v>
      </c>
      <c r="E15" s="17" t="s">
        <v>7</v>
      </c>
      <c r="F15" s="17">
        <v>1</v>
      </c>
      <c r="G15" s="28"/>
      <c r="H15" s="20">
        <f t="shared" si="0"/>
        <v>0</v>
      </c>
    </row>
    <row r="16" spans="1:8" s="1" customFormat="1" x14ac:dyDescent="0.25">
      <c r="A16" s="2"/>
      <c r="B16" s="4" t="s">
        <v>48</v>
      </c>
      <c r="C16" s="2" t="s">
        <v>49</v>
      </c>
      <c r="D16" s="2" t="s">
        <v>50</v>
      </c>
      <c r="E16" s="17" t="s">
        <v>7</v>
      </c>
      <c r="F16" s="17">
        <v>1</v>
      </c>
      <c r="G16" s="26">
        <v>115314.17</v>
      </c>
      <c r="H16" s="20">
        <f t="shared" si="0"/>
        <v>115314.17</v>
      </c>
    </row>
    <row r="17" spans="1:8" s="1" customFormat="1" x14ac:dyDescent="0.25">
      <c r="A17" s="13"/>
      <c r="B17" s="12" t="s">
        <v>20</v>
      </c>
      <c r="C17" s="3" t="s">
        <v>19</v>
      </c>
      <c r="D17" s="3" t="s">
        <v>9</v>
      </c>
      <c r="E17" s="17" t="s">
        <v>7</v>
      </c>
      <c r="F17" s="17">
        <v>2</v>
      </c>
      <c r="G17" s="27">
        <v>1176.69</v>
      </c>
      <c r="H17" s="20">
        <f t="shared" ref="H17" si="1">G17*F17</f>
        <v>2353.38</v>
      </c>
    </row>
    <row r="18" spans="1:8" s="1" customFormat="1" x14ac:dyDescent="0.25">
      <c r="A18" s="13"/>
      <c r="B18" s="4" t="s">
        <v>63</v>
      </c>
      <c r="C18" s="17" t="s">
        <v>64</v>
      </c>
      <c r="D18" s="17" t="s">
        <v>9</v>
      </c>
      <c r="E18" s="17" t="s">
        <v>7</v>
      </c>
      <c r="F18" s="24">
        <v>1</v>
      </c>
      <c r="G18" s="27">
        <v>458.33</v>
      </c>
      <c r="H18" s="20">
        <f t="shared" ref="H18:H31" si="2">G18*F18</f>
        <v>458.33</v>
      </c>
    </row>
    <row r="19" spans="1:8" s="1" customFormat="1" x14ac:dyDescent="0.25">
      <c r="A19" s="2"/>
      <c r="B19" s="4" t="s">
        <v>21</v>
      </c>
      <c r="C19" s="2" t="s">
        <v>22</v>
      </c>
      <c r="D19" s="18" t="s">
        <v>9</v>
      </c>
      <c r="E19" s="17" t="s">
        <v>7</v>
      </c>
      <c r="F19" s="17">
        <v>4</v>
      </c>
      <c r="G19" s="27">
        <v>213.21</v>
      </c>
      <c r="H19" s="20">
        <f t="shared" si="2"/>
        <v>852.84</v>
      </c>
    </row>
    <row r="20" spans="1:8" s="1" customFormat="1" x14ac:dyDescent="0.25">
      <c r="A20" s="17"/>
      <c r="B20" s="4" t="s">
        <v>65</v>
      </c>
      <c r="C20" s="17" t="s">
        <v>66</v>
      </c>
      <c r="D20" s="17" t="s">
        <v>67</v>
      </c>
      <c r="E20" s="17" t="s">
        <v>7</v>
      </c>
      <c r="F20" s="17">
        <v>1</v>
      </c>
      <c r="G20" s="27">
        <v>1091.67</v>
      </c>
      <c r="H20" s="20">
        <f t="shared" si="2"/>
        <v>1091.67</v>
      </c>
    </row>
    <row r="21" spans="1:8" s="1" customFormat="1" x14ac:dyDescent="0.25">
      <c r="A21" s="2"/>
      <c r="B21" s="4" t="s">
        <v>11</v>
      </c>
      <c r="C21" s="2" t="s">
        <v>10</v>
      </c>
      <c r="D21" s="2" t="s">
        <v>51</v>
      </c>
      <c r="E21" s="17" t="s">
        <v>7</v>
      </c>
      <c r="F21" s="17">
        <v>1</v>
      </c>
      <c r="G21" s="27">
        <v>56066.67</v>
      </c>
      <c r="H21" s="20">
        <f t="shared" si="2"/>
        <v>56066.67</v>
      </c>
    </row>
    <row r="22" spans="1:8" s="1" customFormat="1" x14ac:dyDescent="0.25">
      <c r="A22" s="2"/>
      <c r="B22" s="4" t="s">
        <v>12</v>
      </c>
      <c r="C22" s="2" t="s">
        <v>13</v>
      </c>
      <c r="D22" s="17" t="s">
        <v>51</v>
      </c>
      <c r="E22" s="17" t="s">
        <v>7</v>
      </c>
      <c r="F22" s="17">
        <v>2</v>
      </c>
      <c r="G22" s="27">
        <v>34533.33</v>
      </c>
      <c r="H22" s="20">
        <f t="shared" si="2"/>
        <v>69066.66</v>
      </c>
    </row>
    <row r="23" spans="1:8" s="1" customFormat="1" x14ac:dyDescent="0.25">
      <c r="A23" s="14"/>
      <c r="B23" s="6" t="s">
        <v>52</v>
      </c>
      <c r="C23" s="14" t="s">
        <v>8</v>
      </c>
      <c r="D23" s="14" t="s">
        <v>9</v>
      </c>
      <c r="E23" s="17" t="s">
        <v>7</v>
      </c>
      <c r="F23" s="17">
        <v>2</v>
      </c>
      <c r="G23" s="27">
        <v>430.07</v>
      </c>
      <c r="H23" s="20">
        <f t="shared" si="2"/>
        <v>860.14</v>
      </c>
    </row>
    <row r="24" spans="1:8" s="1" customFormat="1" x14ac:dyDescent="0.25">
      <c r="A24" s="8"/>
      <c r="B24" s="4" t="s">
        <v>14</v>
      </c>
      <c r="C24" s="2" t="s">
        <v>16</v>
      </c>
      <c r="D24" s="2" t="s">
        <v>15</v>
      </c>
      <c r="E24" s="17" t="s">
        <v>7</v>
      </c>
      <c r="F24" s="17">
        <v>7</v>
      </c>
      <c r="G24" s="27">
        <v>37.53</v>
      </c>
      <c r="H24" s="20">
        <f t="shared" si="2"/>
        <v>262.71000000000004</v>
      </c>
    </row>
    <row r="25" spans="1:8" s="1" customFormat="1" x14ac:dyDescent="0.25">
      <c r="A25" s="8"/>
      <c r="B25" s="16" t="s">
        <v>17</v>
      </c>
      <c r="C25" s="16"/>
      <c r="D25" s="16"/>
      <c r="E25" s="17" t="s">
        <v>18</v>
      </c>
      <c r="F25" s="17">
        <v>10</v>
      </c>
      <c r="G25" s="27">
        <v>33.33</v>
      </c>
      <c r="H25" s="20">
        <f t="shared" si="2"/>
        <v>333.29999999999995</v>
      </c>
    </row>
    <row r="26" spans="1:8" s="1" customFormat="1" x14ac:dyDescent="0.25">
      <c r="A26" s="19"/>
      <c r="B26" s="12" t="s">
        <v>53</v>
      </c>
      <c r="C26" s="18" t="s">
        <v>54</v>
      </c>
      <c r="D26" s="18" t="s">
        <v>9</v>
      </c>
      <c r="E26" s="18" t="s">
        <v>7</v>
      </c>
      <c r="F26" s="18">
        <v>2</v>
      </c>
      <c r="G26" s="27">
        <v>909.33</v>
      </c>
      <c r="H26" s="20">
        <f t="shared" si="2"/>
        <v>1818.66</v>
      </c>
    </row>
    <row r="27" spans="1:8" s="1" customFormat="1" x14ac:dyDescent="0.25">
      <c r="A27" s="19"/>
      <c r="B27" s="12" t="s">
        <v>55</v>
      </c>
      <c r="C27" s="18" t="s">
        <v>56</v>
      </c>
      <c r="D27" s="18" t="s">
        <v>9</v>
      </c>
      <c r="E27" s="18" t="s">
        <v>7</v>
      </c>
      <c r="F27" s="18">
        <v>2</v>
      </c>
      <c r="G27" s="27">
        <v>228</v>
      </c>
      <c r="H27" s="20">
        <f t="shared" si="2"/>
        <v>456</v>
      </c>
    </row>
    <row r="28" spans="1:8" s="1" customFormat="1" x14ac:dyDescent="0.25">
      <c r="A28" s="19"/>
      <c r="B28" s="12" t="s">
        <v>57</v>
      </c>
      <c r="C28" s="18" t="s">
        <v>58</v>
      </c>
      <c r="D28" s="18" t="s">
        <v>9</v>
      </c>
      <c r="E28" s="18" t="s">
        <v>7</v>
      </c>
      <c r="F28" s="18">
        <v>1</v>
      </c>
      <c r="G28" s="27">
        <v>296.88</v>
      </c>
      <c r="H28" s="20">
        <f t="shared" si="2"/>
        <v>296.88</v>
      </c>
    </row>
    <row r="29" spans="1:8" s="1" customFormat="1" x14ac:dyDescent="0.25">
      <c r="A29" s="8"/>
      <c r="B29" s="8" t="s">
        <v>59</v>
      </c>
      <c r="C29" s="17" t="s">
        <v>60</v>
      </c>
      <c r="D29" s="18" t="s">
        <v>9</v>
      </c>
      <c r="E29" s="18" t="s">
        <v>7</v>
      </c>
      <c r="F29" s="18">
        <v>2</v>
      </c>
      <c r="G29" s="26">
        <v>114.17</v>
      </c>
      <c r="H29" s="20">
        <f t="shared" si="2"/>
        <v>228.34</v>
      </c>
    </row>
    <row r="30" spans="1:8" s="1" customFormat="1" x14ac:dyDescent="0.25">
      <c r="A30" s="16"/>
      <c r="B30" s="4" t="s">
        <v>68</v>
      </c>
      <c r="C30" s="17" t="s">
        <v>69</v>
      </c>
      <c r="D30" s="17" t="s">
        <v>6</v>
      </c>
      <c r="E30" s="17" t="s">
        <v>7</v>
      </c>
      <c r="F30" s="17">
        <v>6</v>
      </c>
      <c r="G30" s="27">
        <v>5517.97</v>
      </c>
      <c r="H30" s="20">
        <f t="shared" si="2"/>
        <v>33107.82</v>
      </c>
    </row>
    <row r="31" spans="1:8" s="1" customFormat="1" ht="23.25" customHeight="1" x14ac:dyDescent="0.25">
      <c r="A31" s="16"/>
      <c r="B31" s="15" t="s">
        <v>70</v>
      </c>
      <c r="C31" s="17" t="s">
        <v>71</v>
      </c>
      <c r="D31" s="17" t="s">
        <v>6</v>
      </c>
      <c r="E31" s="17" t="s">
        <v>7</v>
      </c>
      <c r="F31" s="17">
        <v>2</v>
      </c>
      <c r="G31" s="27">
        <v>7555.21</v>
      </c>
      <c r="H31" s="20">
        <f t="shared" si="2"/>
        <v>15110.42</v>
      </c>
    </row>
    <row r="32" spans="1:8" s="1" customFormat="1" ht="15" x14ac:dyDescent="0.25"/>
    <row r="33" spans="7:8" s="1" customFormat="1" ht="19.5" customHeight="1" x14ac:dyDescent="0.25">
      <c r="G33" s="25" t="s">
        <v>72</v>
      </c>
      <c r="H33" s="25">
        <f>SUM(H4:H31)</f>
        <v>762792.56</v>
      </c>
    </row>
    <row r="34" spans="7:8" s="1" customFormat="1" ht="15" x14ac:dyDescent="0.25"/>
    <row r="35" spans="7:8" s="1" customFormat="1" ht="16.5" customHeight="1" x14ac:dyDescent="0.25"/>
    <row r="36" spans="7:8" s="1" customFormat="1" ht="15" x14ac:dyDescent="0.25"/>
    <row r="37" spans="7:8" s="1" customFormat="1" ht="15" x14ac:dyDescent="0.25"/>
    <row r="38" spans="7:8" s="1" customFormat="1" ht="15" x14ac:dyDescent="0.25"/>
    <row r="39" spans="7:8" s="1" customFormat="1" ht="15" x14ac:dyDescent="0.25"/>
    <row r="40" spans="7:8" s="1" customFormat="1" ht="15" x14ac:dyDescent="0.25"/>
    <row r="41" spans="7:8" s="1" customFormat="1" ht="15.75" customHeight="1" x14ac:dyDescent="0.25"/>
    <row r="42" spans="7:8" s="1" customFormat="1" ht="15" x14ac:dyDescent="0.25"/>
    <row r="43" spans="7:8" s="1" customFormat="1" ht="15" x14ac:dyDescent="0.25"/>
    <row r="44" spans="7:8" s="1" customFormat="1" ht="15" x14ac:dyDescent="0.25"/>
    <row r="45" spans="7:8" s="1" customFormat="1" ht="15" x14ac:dyDescent="0.25"/>
    <row r="46" spans="7:8" s="1" customFormat="1" ht="15" x14ac:dyDescent="0.25"/>
    <row r="47" spans="7:8" s="1" customFormat="1" ht="16.149999999999999" customHeight="1" x14ac:dyDescent="0.25"/>
    <row r="48" spans="7:8" s="1" customFormat="1" ht="15" x14ac:dyDescent="0.25"/>
    <row r="49" s="1" customFormat="1" ht="15" x14ac:dyDescent="0.25"/>
    <row r="50" s="1" customFormat="1" ht="15" x14ac:dyDescent="0.25"/>
    <row r="51" s="1" customFormat="1" ht="15" x14ac:dyDescent="0.25"/>
    <row r="52" s="1" customFormat="1" ht="15" x14ac:dyDescent="0.25"/>
    <row r="53" s="1" customFormat="1" ht="15" x14ac:dyDescent="0.25"/>
    <row r="54" s="1" customFormat="1" ht="15" x14ac:dyDescent="0.25"/>
    <row r="55" s="1" customFormat="1" ht="15" x14ac:dyDescent="0.25"/>
    <row r="56" s="1" customFormat="1" ht="15" x14ac:dyDescent="0.25"/>
    <row r="57" s="1" customFormat="1" ht="15" x14ac:dyDescent="0.25"/>
    <row r="58" s="1" customFormat="1" ht="15" x14ac:dyDescent="0.25"/>
    <row r="59" s="1" customFormat="1" ht="15" x14ac:dyDescent="0.25"/>
    <row r="60" s="1" customFormat="1" ht="15" x14ac:dyDescent="0.25"/>
    <row r="61" s="1" customFormat="1" ht="15" x14ac:dyDescent="0.25"/>
    <row r="62" s="1" customFormat="1" ht="15" x14ac:dyDescent="0.25"/>
    <row r="63" s="1" customFormat="1" ht="15" x14ac:dyDescent="0.25"/>
    <row r="64" s="1" customFormat="1" ht="15" x14ac:dyDescent="0.25"/>
    <row r="65" spans="7:10" s="1" customFormat="1" ht="15" x14ac:dyDescent="0.25"/>
    <row r="66" spans="7:10" ht="15" x14ac:dyDescent="0.25">
      <c r="G66"/>
      <c r="J66"/>
    </row>
    <row r="67" spans="7:10" ht="15" x14ac:dyDescent="0.25">
      <c r="G67"/>
      <c r="J67"/>
    </row>
    <row r="68" spans="7:10" ht="15" x14ac:dyDescent="0.25">
      <c r="G68"/>
      <c r="J68"/>
    </row>
    <row r="69" spans="7:10" ht="15" x14ac:dyDescent="0.25">
      <c r="G69"/>
      <c r="J69"/>
    </row>
    <row r="70" spans="7:10" ht="15" x14ac:dyDescent="0.25">
      <c r="G70"/>
      <c r="J70"/>
    </row>
    <row r="71" spans="7:10" ht="15" x14ac:dyDescent="0.25">
      <c r="G71"/>
      <c r="J71"/>
    </row>
    <row r="72" spans="7:10" ht="15" x14ac:dyDescent="0.25">
      <c r="G72"/>
      <c r="J72"/>
    </row>
    <row r="73" spans="7:10" ht="15" x14ac:dyDescent="0.25">
      <c r="G73"/>
      <c r="J73"/>
    </row>
    <row r="74" spans="7:10" ht="15" x14ac:dyDescent="0.25">
      <c r="G74"/>
      <c r="J74"/>
    </row>
    <row r="75" spans="7:10" ht="15" x14ac:dyDescent="0.25">
      <c r="G75"/>
      <c r="J75"/>
    </row>
    <row r="76" spans="7:10" ht="15" x14ac:dyDescent="0.25">
      <c r="G76"/>
      <c r="J76"/>
    </row>
    <row r="77" spans="7:10" ht="15" x14ac:dyDescent="0.25">
      <c r="G77"/>
      <c r="J77"/>
    </row>
    <row r="78" spans="7:10" ht="15" x14ac:dyDescent="0.25">
      <c r="G78"/>
      <c r="J78"/>
    </row>
    <row r="79" spans="7:10" ht="15" x14ac:dyDescent="0.25">
      <c r="G79"/>
      <c r="J79"/>
    </row>
    <row r="80" spans="7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28.15" customHeight="1" x14ac:dyDescent="0.25">
      <c r="G94"/>
      <c r="J94"/>
    </row>
    <row r="95" spans="7:10" ht="28.15" customHeight="1" x14ac:dyDescent="0.25">
      <c r="G95"/>
      <c r="J95"/>
    </row>
    <row r="96" spans="7:10" ht="15" x14ac:dyDescent="0.25">
      <c r="G96"/>
      <c r="J96"/>
    </row>
    <row r="97" spans="7:10" ht="15" x14ac:dyDescent="0.25">
      <c r="G97"/>
      <c r="J97"/>
    </row>
    <row r="98" spans="7:10" ht="15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37.9" customHeight="1" x14ac:dyDescent="0.25">
      <c r="G162"/>
      <c r="J162"/>
    </row>
    <row r="163" spans="7:10" ht="24.6" customHeight="1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15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34.9" customHeight="1" x14ac:dyDescent="0.25">
      <c r="G216"/>
      <c r="J216"/>
    </row>
    <row r="217" spans="7:10" ht="33.6" customHeight="1" x14ac:dyDescent="0.25">
      <c r="G217"/>
      <c r="J217"/>
    </row>
    <row r="218" spans="7:10" ht="34.15" customHeight="1" x14ac:dyDescent="0.25">
      <c r="G218"/>
      <c r="J218"/>
    </row>
    <row r="219" spans="7:10" ht="59.45" customHeight="1" x14ac:dyDescent="0.25">
      <c r="G219"/>
      <c r="J219"/>
    </row>
    <row r="220" spans="7:10" ht="15" x14ac:dyDescent="0.25">
      <c r="G220"/>
      <c r="J220"/>
    </row>
    <row r="221" spans="7:10" ht="15" x14ac:dyDescent="0.25">
      <c r="G221"/>
      <c r="J221"/>
    </row>
    <row r="222" spans="7:10" ht="15" x14ac:dyDescent="0.25">
      <c r="G222"/>
      <c r="J222"/>
    </row>
    <row r="223" spans="7:10" ht="15" x14ac:dyDescent="0.25">
      <c r="G223"/>
      <c r="J223"/>
    </row>
    <row r="224" spans="7:10" ht="15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27" customHeight="1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27" customHeight="1" x14ac:dyDescent="0.25">
      <c r="G287"/>
      <c r="J287"/>
    </row>
    <row r="288" spans="7:10" ht="33.6" customHeight="1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15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31.9" customHeight="1" x14ac:dyDescent="0.25">
      <c r="G338"/>
      <c r="J338"/>
    </row>
    <row r="339" spans="7:10" ht="29.45" customHeight="1" x14ac:dyDescent="0.25">
      <c r="G339"/>
      <c r="J339"/>
    </row>
    <row r="340" spans="7:10" ht="15" x14ac:dyDescent="0.25">
      <c r="G340"/>
      <c r="J340"/>
    </row>
    <row r="341" spans="7:10" ht="66.599999999999994" customHeight="1" x14ac:dyDescent="0.25">
      <c r="G341"/>
      <c r="J341"/>
    </row>
    <row r="342" spans="7:10" ht="15" x14ac:dyDescent="0.25">
      <c r="G342"/>
      <c r="J342"/>
    </row>
    <row r="343" spans="7:10" ht="15" x14ac:dyDescent="0.25">
      <c r="G343"/>
      <c r="J343"/>
    </row>
    <row r="344" spans="7:10" ht="15" x14ac:dyDescent="0.25">
      <c r="G344"/>
      <c r="J344"/>
    </row>
    <row r="345" spans="7:10" ht="15" x14ac:dyDescent="0.25">
      <c r="G345"/>
      <c r="J345"/>
    </row>
    <row r="346" spans="7:10" ht="15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28.9" customHeight="1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J380"/>
    </row>
    <row r="381" spans="7:10" ht="15" x14ac:dyDescent="0.25">
      <c r="J381"/>
    </row>
    <row r="382" spans="7:10" ht="15" x14ac:dyDescent="0.25">
      <c r="J382"/>
    </row>
    <row r="383" spans="7:10" ht="15" x14ac:dyDescent="0.25"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2025-09-01T06:43:22Z</dcterms:modified>
</cp:coreProperties>
</file>