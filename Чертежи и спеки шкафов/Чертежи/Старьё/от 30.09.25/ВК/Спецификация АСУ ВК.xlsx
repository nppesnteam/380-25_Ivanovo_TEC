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5" i="1" l="1"/>
  <c r="H28" i="1" l="1"/>
  <c r="H29" i="1"/>
  <c r="H30" i="1"/>
  <c r="H82" i="1" l="1"/>
  <c r="H81" i="1"/>
  <c r="H80" i="1"/>
  <c r="H79" i="1"/>
  <c r="H78" i="1"/>
  <c r="H77" i="1"/>
  <c r="H76" i="1"/>
  <c r="H75" i="1"/>
  <c r="H72" i="1"/>
  <c r="H71" i="1"/>
  <c r="H74" i="1"/>
  <c r="H73" i="1"/>
  <c r="H70" i="1"/>
  <c r="H69" i="1"/>
  <c r="H68" i="1"/>
  <c r="H66" i="1"/>
  <c r="H67" i="1"/>
  <c r="H58" i="1"/>
  <c r="H59" i="1"/>
  <c r="H60" i="1"/>
  <c r="H61" i="1"/>
  <c r="H62" i="1"/>
  <c r="H63" i="1"/>
  <c r="H64" i="1"/>
  <c r="H65" i="1"/>
  <c r="H57" i="1"/>
  <c r="H54" i="1"/>
  <c r="H53" i="1"/>
  <c r="H56" i="1"/>
  <c r="H52" i="1"/>
  <c r="H51" i="1"/>
  <c r="H50" i="1"/>
  <c r="H49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84" i="1" l="1"/>
</calcChain>
</file>

<file path=xl/sharedStrings.xml><?xml version="1.0" encoding="utf-8"?>
<sst xmlns="http://schemas.openxmlformats.org/spreadsheetml/2006/main" count="317" uniqueCount="158">
  <si>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</si>
  <si>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</si>
  <si>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</si>
  <si>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</si>
  <si>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</si>
  <si>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</si>
  <si>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</si>
  <si>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</si>
  <si>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</si>
  <si>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</si>
  <si>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</si>
  <si>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</si>
  <si>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</si>
  <si>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</si>
  <si>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</si>
  <si>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</si>
  <si>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</si>
  <si>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</si>
  <si>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</si>
  <si>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</si>
  <si>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</si>
  <si>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</si>
  <si>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</si>
  <si>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</si>
  <si>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</si>
  <si>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</si>
  <si>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</si>
  <si>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</si>
  <si>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</si>
  <si>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</si>
  <si>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</si>
  <si>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</si>
  <si>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</si>
  <si>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</si>
  <si>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</si>
  <si>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</si>
  <si>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</si>
  <si>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</si>
  <si>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</si>
  <si>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</si>
  <si>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</si>
  <si>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</si>
  <si>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</si>
  <si>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</si>
  <si>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</si>
  <si>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</si>
  <si>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</si>
  <si>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</si>
  <si>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</si>
  <si>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</si>
  <si>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</si>
  <si>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</si>
  <si>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</si>
  <si>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</si>
  <si>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</si>
  <si>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</si>
  <si>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</si>
  <si>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</si>
  <si>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</si>
  <si>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</si>
  <si>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</si>
  <si>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</si>
  <si>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</si>
  <si>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</si>
  <si>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</si>
  <si>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</si>
  <si>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</si>
  <si>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</si>
  <si>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</si>
  <si>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</si>
  <si>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</si>
  <si>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</si>
  <si>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</si>
  <si>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</si>
  <si>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</si>
  <si>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</si>
  <si>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</si>
  <si>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</si>
  <si>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</si>
  <si>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</si>
  <si>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</si>
  <si>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</si>
  <si>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</si>
  <si>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</si>
  <si>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</si>
  <si>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</si>
  <si>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</si>
  <si>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</si>
  <si>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</si>
  <si>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</si>
  <si>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</si>
  <si>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</si>
  <si>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</si>
  <si>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</si>
  <si>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</si>
  <si>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</si>
  <si>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</si>
  <si>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</si>
  <si>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</si>
  <si>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</si>
  <si>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</si>
  <si>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</si>
  <si>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</si>
  <si>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</si>
  <si>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</si>
  <si>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</si>
  <si>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</si>
  <si>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</si>
  <si>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</si>
  <si>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</si>
  <si>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</si>
  <si>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</si>
  <si>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</si>
  <si>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</si>
  <si>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</si>
  <si>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</si>
  <si>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</si>
  <si>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</si>
  <si>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</si>
  <si>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</si>
  <si>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</si>
  <si>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</si>
  <si>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</si>
  <si>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</si>
  <si>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</si>
  <si>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</si>
  <si>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</si>
  <si>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</si>
  <si>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</si>
  <si>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</si>
  <si>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</si>
  <si>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</si>
  <si>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</si>
  <si>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</si>
  <si>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</si>
  <si>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</si>
  <si>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</si>
  <si>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АСУ ВК</t>
  </si>
  <si>
    <t>Автоматический выключатель 2П 10А 6кА</t>
  </si>
  <si>
    <t>MVA20-2-010-C</t>
  </si>
  <si>
    <t>Контактор КМИ-11810 18А 230В/АС3 1NO</t>
  </si>
  <si>
    <t>KKM11-018-230-10</t>
  </si>
  <si>
    <t>Приставка ПКИ-11 дополнительные контакты 1NO+1NC</t>
  </si>
  <si>
    <t>KPK10-11</t>
  </si>
  <si>
    <t>Механизм блокировки для КМИ(09А-32А)</t>
  </si>
  <si>
    <t>KKM10D-MB</t>
  </si>
  <si>
    <t>N2100-4SFP24T-P5</t>
  </si>
  <si>
    <t>Цена б.НДС</t>
  </si>
  <si>
    <t>Сумма б.НДС</t>
  </si>
  <si>
    <t>Интерфейсный модуль электромеханического реле 6А; 220В AC/DC</t>
  </si>
  <si>
    <t>38.51.7.220.0050</t>
  </si>
  <si>
    <t>Кабель для соединения каркасов и модулей</t>
  </si>
  <si>
    <t>CIDC</t>
  </si>
  <si>
    <t>CIDCS</t>
  </si>
  <si>
    <t>Итог</t>
  </si>
  <si>
    <t>Терминальная панель дискретного ввода</t>
  </si>
  <si>
    <t>Промышленный гигабитный SFP трансивер</t>
  </si>
  <si>
    <t>N2010-IGMSX850-055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</si>
</sst>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/>
    <xf numFmtId="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5"/>
  <sheetViews>
    <sheetView tabSelected="1" topLeftCell="A26" zoomScaleNormal="100" workbookViewId="0">
      <selection activeCell="L49" sqref="L49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5.42578125" style="10" customWidth="1"/>
    <col min="8" max="8" width="14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30" t="s">
        <v>147</v>
      </c>
      <c r="H1" s="8" t="s">
        <v>148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30">
        <v>7</v>
      </c>
      <c r="H2" s="30">
        <v>8</v>
      </c>
    </row>
    <row r="3" spans="1:8" s="1" customFormat="1" x14ac:dyDescent="0.25">
      <c r="A3" s="2">
        <v>1</v>
      </c>
      <c r="B3" s="11" t="s">
        <v>137</v>
      </c>
      <c r="C3" s="12"/>
      <c r="D3" s="12"/>
      <c r="E3" s="12"/>
      <c r="F3" s="12">
        <v>1</v>
      </c>
      <c r="G3" s="31"/>
      <c r="H3" s="32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5</v>
      </c>
      <c r="G4" s="29">
        <v>13336.66</v>
      </c>
      <c r="H4" s="30">
        <f>G4*F4</f>
        <v>66683.3</v>
      </c>
    </row>
    <row r="5" spans="1:8" s="1" customFormat="1" x14ac:dyDescent="0.25">
      <c r="A5" s="2"/>
      <c r="B5" s="4" t="s">
        <v>33</v>
      </c>
      <c r="C5" s="2" t="s">
        <v>32</v>
      </c>
      <c r="D5" s="2" t="s">
        <v>8</v>
      </c>
      <c r="E5" s="2" t="s">
        <v>9</v>
      </c>
      <c r="F5" s="2">
        <v>3</v>
      </c>
      <c r="G5" s="29">
        <v>34945.07</v>
      </c>
      <c r="H5" s="30">
        <f t="shared" ref="H5:H55" si="0">G5*F5</f>
        <v>104835.20999999999</v>
      </c>
    </row>
    <row r="6" spans="1:8" s="1" customFormat="1" x14ac:dyDescent="0.25">
      <c r="A6" s="2"/>
      <c r="B6" s="4" t="s">
        <v>10</v>
      </c>
      <c r="C6" s="2" t="s">
        <v>11</v>
      </c>
      <c r="D6" s="2" t="s">
        <v>8</v>
      </c>
      <c r="E6" s="2" t="s">
        <v>9</v>
      </c>
      <c r="F6" s="2">
        <v>2</v>
      </c>
      <c r="G6" s="29">
        <v>31500.62</v>
      </c>
      <c r="H6" s="30">
        <f t="shared" si="0"/>
        <v>63001.24</v>
      </c>
    </row>
    <row r="7" spans="1:8" s="1" customFormat="1" x14ac:dyDescent="0.25">
      <c r="A7" s="8"/>
      <c r="B7" s="4" t="s">
        <v>35</v>
      </c>
      <c r="C7" s="2" t="s">
        <v>34</v>
      </c>
      <c r="D7" s="2" t="s">
        <v>8</v>
      </c>
      <c r="E7" s="2" t="s">
        <v>9</v>
      </c>
      <c r="F7" s="2">
        <v>6</v>
      </c>
      <c r="G7" s="29">
        <v>25451.62</v>
      </c>
      <c r="H7" s="30">
        <f t="shared" si="0"/>
        <v>152709.72</v>
      </c>
    </row>
    <row r="8" spans="1:8" s="1" customFormat="1" x14ac:dyDescent="0.25">
      <c r="A8" s="2"/>
      <c r="B8" s="4" t="s">
        <v>13</v>
      </c>
      <c r="C8" s="2" t="s">
        <v>12</v>
      </c>
      <c r="D8" s="2" t="s">
        <v>8</v>
      </c>
      <c r="E8" s="2" t="s">
        <v>9</v>
      </c>
      <c r="F8" s="2">
        <v>4</v>
      </c>
      <c r="G8" s="29">
        <v>20219.900000000001</v>
      </c>
      <c r="H8" s="30">
        <f t="shared" si="0"/>
        <v>80879.600000000006</v>
      </c>
    </row>
    <row r="9" spans="1:8" s="1" customFormat="1" x14ac:dyDescent="0.25">
      <c r="A9" s="2"/>
      <c r="B9" s="4" t="s">
        <v>14</v>
      </c>
      <c r="C9" s="2" t="s">
        <v>15</v>
      </c>
      <c r="D9" s="2" t="s">
        <v>8</v>
      </c>
      <c r="E9" s="2" t="s">
        <v>9</v>
      </c>
      <c r="F9" s="2">
        <v>1</v>
      </c>
      <c r="G9" s="29">
        <v>16230.47</v>
      </c>
      <c r="H9" s="30">
        <f t="shared" si="0"/>
        <v>16230.47</v>
      </c>
    </row>
    <row r="10" spans="1:8" s="1" customFormat="1" x14ac:dyDescent="0.25">
      <c r="A10" s="5"/>
      <c r="B10" s="4" t="s">
        <v>16</v>
      </c>
      <c r="C10" s="2" t="s">
        <v>17</v>
      </c>
      <c r="D10" s="2" t="s">
        <v>8</v>
      </c>
      <c r="E10" s="2" t="s">
        <v>9</v>
      </c>
      <c r="F10" s="2">
        <v>4</v>
      </c>
      <c r="G10" s="29">
        <v>13856.99</v>
      </c>
      <c r="H10" s="30">
        <f t="shared" si="0"/>
        <v>55427.96</v>
      </c>
    </row>
    <row r="11" spans="1:8" s="1" customFormat="1" x14ac:dyDescent="0.25">
      <c r="A11" s="8"/>
      <c r="B11" s="4" t="s">
        <v>36</v>
      </c>
      <c r="C11" s="2" t="s">
        <v>37</v>
      </c>
      <c r="D11" s="2" t="s">
        <v>8</v>
      </c>
      <c r="E11" s="2" t="s">
        <v>9</v>
      </c>
      <c r="F11" s="2">
        <v>5</v>
      </c>
      <c r="G11" s="29">
        <v>17472.740000000002</v>
      </c>
      <c r="H11" s="30">
        <f t="shared" si="0"/>
        <v>87363.700000000012</v>
      </c>
    </row>
    <row r="12" spans="1:8" s="1" customFormat="1" x14ac:dyDescent="0.25">
      <c r="A12" s="5"/>
      <c r="B12" s="4" t="s">
        <v>18</v>
      </c>
      <c r="C12" s="2" t="s">
        <v>19</v>
      </c>
      <c r="D12" s="2" t="s">
        <v>8</v>
      </c>
      <c r="E12" s="2" t="s">
        <v>9</v>
      </c>
      <c r="F12" s="2">
        <v>5</v>
      </c>
      <c r="G12" s="29">
        <v>8312.18</v>
      </c>
      <c r="H12" s="30">
        <f t="shared" si="0"/>
        <v>41560.9</v>
      </c>
    </row>
    <row r="13" spans="1:8" s="1" customFormat="1" x14ac:dyDescent="0.25">
      <c r="A13" s="5"/>
      <c r="B13" s="4" t="s">
        <v>20</v>
      </c>
      <c r="C13" s="2" t="s">
        <v>21</v>
      </c>
      <c r="D13" s="2" t="s">
        <v>8</v>
      </c>
      <c r="E13" s="2" t="s">
        <v>9</v>
      </c>
      <c r="F13" s="2">
        <v>7</v>
      </c>
      <c r="G13" s="29">
        <v>4050.05</v>
      </c>
      <c r="H13" s="30">
        <f t="shared" si="0"/>
        <v>28350.350000000002</v>
      </c>
    </row>
    <row r="14" spans="1:8" s="1" customFormat="1" x14ac:dyDescent="0.25">
      <c r="A14" s="8"/>
      <c r="B14" s="4" t="s">
        <v>38</v>
      </c>
      <c r="C14" s="2" t="s">
        <v>39</v>
      </c>
      <c r="D14" s="2" t="s">
        <v>8</v>
      </c>
      <c r="E14" s="2" t="s">
        <v>9</v>
      </c>
      <c r="F14" s="2">
        <v>3</v>
      </c>
      <c r="G14" s="29">
        <v>5666.02</v>
      </c>
      <c r="H14" s="30">
        <f t="shared" si="0"/>
        <v>16998.060000000001</v>
      </c>
    </row>
    <row r="15" spans="1:8" s="1" customFormat="1" x14ac:dyDescent="0.25">
      <c r="A15" s="2"/>
      <c r="B15" s="4" t="s">
        <v>22</v>
      </c>
      <c r="C15" s="2" t="s">
        <v>23</v>
      </c>
      <c r="D15" s="2" t="s">
        <v>8</v>
      </c>
      <c r="E15" s="2" t="s">
        <v>9</v>
      </c>
      <c r="F15" s="2">
        <v>2</v>
      </c>
      <c r="G15" s="29">
        <v>7881.08</v>
      </c>
      <c r="H15" s="30">
        <f t="shared" si="0"/>
        <v>15762.16</v>
      </c>
    </row>
    <row r="16" spans="1:8" s="1" customFormat="1" x14ac:dyDescent="0.25">
      <c r="A16" s="15"/>
      <c r="B16" s="13" t="s">
        <v>40</v>
      </c>
      <c r="C16" s="3" t="s">
        <v>41</v>
      </c>
      <c r="D16" s="3" t="s">
        <v>8</v>
      </c>
      <c r="E16" s="3" t="s">
        <v>9</v>
      </c>
      <c r="F16" s="3">
        <v>9</v>
      </c>
      <c r="G16" s="29">
        <v>2625.96</v>
      </c>
      <c r="H16" s="30">
        <f t="shared" si="0"/>
        <v>23633.64</v>
      </c>
    </row>
    <row r="17" spans="1:8" s="1" customFormat="1" x14ac:dyDescent="0.25">
      <c r="A17" s="2"/>
      <c r="B17" s="4" t="s">
        <v>24</v>
      </c>
      <c r="C17" s="2" t="s">
        <v>25</v>
      </c>
      <c r="D17" s="2" t="s">
        <v>8</v>
      </c>
      <c r="E17" s="2" t="s">
        <v>9</v>
      </c>
      <c r="F17" s="2">
        <v>4</v>
      </c>
      <c r="G17" s="29">
        <v>2423.9699999999998</v>
      </c>
      <c r="H17" s="30">
        <f t="shared" si="0"/>
        <v>9695.8799999999992</v>
      </c>
    </row>
    <row r="18" spans="1:8" s="1" customFormat="1" x14ac:dyDescent="0.25">
      <c r="A18" s="2"/>
      <c r="B18" s="4" t="s">
        <v>26</v>
      </c>
      <c r="C18" s="2" t="s">
        <v>27</v>
      </c>
      <c r="D18" s="2" t="s">
        <v>8</v>
      </c>
      <c r="E18" s="2" t="s">
        <v>9</v>
      </c>
      <c r="F18" s="2">
        <v>5</v>
      </c>
      <c r="G18" s="29">
        <v>1368.58</v>
      </c>
      <c r="H18" s="30">
        <f t="shared" si="0"/>
        <v>6842.9</v>
      </c>
    </row>
    <row r="19" spans="1:8" s="1" customFormat="1" x14ac:dyDescent="0.25">
      <c r="A19" s="2"/>
      <c r="B19" s="4" t="s">
        <v>28</v>
      </c>
      <c r="C19" s="2" t="s">
        <v>29</v>
      </c>
      <c r="D19" s="2" t="s">
        <v>8</v>
      </c>
      <c r="E19" s="2" t="s">
        <v>9</v>
      </c>
      <c r="F19" s="2">
        <v>9</v>
      </c>
      <c r="G19" s="29">
        <v>5070.55</v>
      </c>
      <c r="H19" s="30">
        <f t="shared" si="0"/>
        <v>45634.950000000004</v>
      </c>
    </row>
    <row r="20" spans="1:8" s="1" customFormat="1" ht="33" x14ac:dyDescent="0.25">
      <c r="A20" s="19"/>
      <c r="B20" s="6" t="s">
        <v>30</v>
      </c>
      <c r="C20" s="19" t="s">
        <v>31</v>
      </c>
      <c r="D20" s="19" t="s">
        <v>8</v>
      </c>
      <c r="E20" s="19" t="s">
        <v>9</v>
      </c>
      <c r="F20" s="19">
        <v>9</v>
      </c>
      <c r="G20" s="29">
        <v>1545.28</v>
      </c>
      <c r="H20" s="30">
        <f t="shared" si="0"/>
        <v>13907.52</v>
      </c>
    </row>
    <row r="21" spans="1:8" s="1" customFormat="1" x14ac:dyDescent="0.25">
      <c r="A21" s="8"/>
      <c r="B21" s="4" t="s">
        <v>94</v>
      </c>
      <c r="C21" s="2" t="s">
        <v>95</v>
      </c>
      <c r="D21" s="2" t="s">
        <v>8</v>
      </c>
      <c r="E21" s="2" t="s">
        <v>9</v>
      </c>
      <c r="F21" s="2">
        <v>2</v>
      </c>
      <c r="G21" s="29">
        <v>4848.87</v>
      </c>
      <c r="H21" s="30">
        <f t="shared" si="0"/>
        <v>9697.74</v>
      </c>
    </row>
    <row r="22" spans="1:8" s="1" customFormat="1" x14ac:dyDescent="0.25">
      <c r="A22" s="8"/>
      <c r="B22" s="4" t="s">
        <v>96</v>
      </c>
      <c r="C22" s="2" t="s">
        <v>97</v>
      </c>
      <c r="D22" s="2" t="s">
        <v>8</v>
      </c>
      <c r="E22" s="2" t="s">
        <v>9</v>
      </c>
      <c r="F22" s="2">
        <v>1</v>
      </c>
      <c r="G22" s="29">
        <v>26355.73</v>
      </c>
      <c r="H22" s="30">
        <f t="shared" si="0"/>
        <v>26355.73</v>
      </c>
    </row>
    <row r="23" spans="1:8" s="1" customFormat="1" ht="33" x14ac:dyDescent="0.25">
      <c r="A23" s="20"/>
      <c r="B23" s="6" t="s">
        <v>99</v>
      </c>
      <c r="C23" s="19" t="s">
        <v>98</v>
      </c>
      <c r="D23" s="19" t="s">
        <v>8</v>
      </c>
      <c r="E23" s="19" t="s">
        <v>9</v>
      </c>
      <c r="F23" s="19">
        <v>9</v>
      </c>
      <c r="G23" s="29">
        <v>1524.03</v>
      </c>
      <c r="H23" s="30">
        <f t="shared" si="0"/>
        <v>13716.27</v>
      </c>
    </row>
    <row r="24" spans="1:8" s="1" customFormat="1" x14ac:dyDescent="0.25">
      <c r="A24" s="17"/>
      <c r="B24" s="13" t="s">
        <v>44</v>
      </c>
      <c r="C24" s="3" t="s">
        <v>42</v>
      </c>
      <c r="D24" s="3" t="s">
        <v>43</v>
      </c>
      <c r="E24" s="3" t="s">
        <v>9</v>
      </c>
      <c r="F24" s="3">
        <v>9</v>
      </c>
      <c r="G24" s="29">
        <v>430.07</v>
      </c>
      <c r="H24" s="30">
        <f t="shared" si="0"/>
        <v>3870.63</v>
      </c>
    </row>
    <row r="25" spans="1:8" s="1" customFormat="1" x14ac:dyDescent="0.25">
      <c r="A25" s="17"/>
      <c r="B25" s="13" t="s">
        <v>128</v>
      </c>
      <c r="C25" s="3" t="s">
        <v>127</v>
      </c>
      <c r="D25" s="27" t="s">
        <v>43</v>
      </c>
      <c r="E25" s="3" t="s">
        <v>9</v>
      </c>
      <c r="F25" s="3">
        <v>2</v>
      </c>
      <c r="G25" s="29">
        <v>1176.69</v>
      </c>
      <c r="H25" s="30">
        <f t="shared" si="0"/>
        <v>2353.38</v>
      </c>
    </row>
    <row r="26" spans="1:8" s="1" customFormat="1" x14ac:dyDescent="0.25">
      <c r="A26" s="25"/>
      <c r="B26" s="4" t="s">
        <v>138</v>
      </c>
      <c r="C26" s="26" t="s">
        <v>139</v>
      </c>
      <c r="D26" s="26" t="s">
        <v>43</v>
      </c>
      <c r="E26" s="26" t="s">
        <v>9</v>
      </c>
      <c r="F26" s="28">
        <v>1</v>
      </c>
      <c r="G26" s="29">
        <v>458.33</v>
      </c>
      <c r="H26" s="30">
        <f t="shared" si="0"/>
        <v>458.33</v>
      </c>
    </row>
    <row r="27" spans="1:8" s="1" customFormat="1" x14ac:dyDescent="0.25">
      <c r="A27" s="17"/>
      <c r="B27" s="13" t="s">
        <v>129</v>
      </c>
      <c r="C27" s="3" t="s">
        <v>130</v>
      </c>
      <c r="D27" s="27" t="s">
        <v>43</v>
      </c>
      <c r="E27" s="3" t="s">
        <v>9</v>
      </c>
      <c r="F27" s="3">
        <v>23</v>
      </c>
      <c r="G27" s="29">
        <v>213.21</v>
      </c>
      <c r="H27" s="30">
        <f t="shared" si="0"/>
        <v>4903.83</v>
      </c>
    </row>
    <row r="28" spans="1:8" s="1" customFormat="1" x14ac:dyDescent="0.25">
      <c r="A28" s="25"/>
      <c r="B28" s="4" t="s">
        <v>140</v>
      </c>
      <c r="C28" s="26" t="s">
        <v>141</v>
      </c>
      <c r="D28" s="26" t="s">
        <v>43</v>
      </c>
      <c r="E28" s="26" t="s">
        <v>9</v>
      </c>
      <c r="F28" s="26">
        <v>2</v>
      </c>
      <c r="G28" s="29">
        <v>909.33</v>
      </c>
      <c r="H28" s="30">
        <f t="shared" si="0"/>
        <v>1818.66</v>
      </c>
    </row>
    <row r="29" spans="1:8" s="1" customFormat="1" x14ac:dyDescent="0.25">
      <c r="A29" s="25"/>
      <c r="B29" s="4" t="s">
        <v>142</v>
      </c>
      <c r="C29" s="26" t="s">
        <v>143</v>
      </c>
      <c r="D29" s="26" t="s">
        <v>43</v>
      </c>
      <c r="E29" s="26" t="s">
        <v>9</v>
      </c>
      <c r="F29" s="26">
        <v>2</v>
      </c>
      <c r="G29" s="29">
        <v>228</v>
      </c>
      <c r="H29" s="30">
        <f t="shared" si="0"/>
        <v>456</v>
      </c>
    </row>
    <row r="30" spans="1:8" s="1" customFormat="1" x14ac:dyDescent="0.25">
      <c r="A30" s="25"/>
      <c r="B30" s="4" t="s">
        <v>144</v>
      </c>
      <c r="C30" s="26" t="s">
        <v>145</v>
      </c>
      <c r="D30" s="26" t="s">
        <v>43</v>
      </c>
      <c r="E30" s="26" t="s">
        <v>9</v>
      </c>
      <c r="F30" s="26">
        <v>1</v>
      </c>
      <c r="G30" s="29">
        <v>296.88</v>
      </c>
      <c r="H30" s="30">
        <f t="shared" si="0"/>
        <v>296.88</v>
      </c>
    </row>
    <row r="31" spans="1:8" s="1" customFormat="1" x14ac:dyDescent="0.25">
      <c r="A31" s="17"/>
      <c r="B31" s="13" t="s">
        <v>46</v>
      </c>
      <c r="C31" s="3" t="s">
        <v>45</v>
      </c>
      <c r="D31" s="3" t="s">
        <v>8</v>
      </c>
      <c r="E31" s="3" t="s">
        <v>9</v>
      </c>
      <c r="F31" s="3">
        <v>10</v>
      </c>
      <c r="G31" s="29">
        <v>5564.85</v>
      </c>
      <c r="H31" s="30">
        <f t="shared" si="0"/>
        <v>55648.5</v>
      </c>
    </row>
    <row r="32" spans="1:8" s="1" customFormat="1" ht="23.25" customHeight="1" x14ac:dyDescent="0.25">
      <c r="A32" s="17"/>
      <c r="B32" s="13" t="s">
        <v>48</v>
      </c>
      <c r="C32" s="3" t="s">
        <v>47</v>
      </c>
      <c r="D32" s="3" t="s">
        <v>8</v>
      </c>
      <c r="E32" s="3" t="s">
        <v>9</v>
      </c>
      <c r="F32" s="3">
        <v>8</v>
      </c>
      <c r="G32" s="29">
        <v>5517.97</v>
      </c>
      <c r="H32" s="30">
        <f t="shared" si="0"/>
        <v>44143.76</v>
      </c>
    </row>
    <row r="33" spans="1:8" s="1" customFormat="1" x14ac:dyDescent="0.25">
      <c r="A33" s="17"/>
      <c r="B33" s="14" t="s">
        <v>50</v>
      </c>
      <c r="C33" s="18" t="s">
        <v>49</v>
      </c>
      <c r="D33" s="3" t="s">
        <v>8</v>
      </c>
      <c r="E33" s="3" t="s">
        <v>9</v>
      </c>
      <c r="F33" s="3">
        <v>4</v>
      </c>
      <c r="G33" s="29">
        <v>20106.599999999999</v>
      </c>
      <c r="H33" s="30">
        <f t="shared" si="0"/>
        <v>80426.399999999994</v>
      </c>
    </row>
    <row r="34" spans="1:8" s="1" customFormat="1" ht="19.5" customHeight="1" x14ac:dyDescent="0.25">
      <c r="A34" s="17"/>
      <c r="B34" s="14" t="s">
        <v>52</v>
      </c>
      <c r="C34" s="3" t="s">
        <v>51</v>
      </c>
      <c r="D34" s="3" t="s">
        <v>8</v>
      </c>
      <c r="E34" s="3" t="s">
        <v>9</v>
      </c>
      <c r="F34" s="3">
        <v>6</v>
      </c>
      <c r="G34" s="29">
        <v>1151.18</v>
      </c>
      <c r="H34" s="30">
        <f t="shared" si="0"/>
        <v>6907.08</v>
      </c>
    </row>
    <row r="35" spans="1:8" s="1" customFormat="1" x14ac:dyDescent="0.25">
      <c r="A35" s="17"/>
      <c r="B35" s="13" t="s">
        <v>53</v>
      </c>
      <c r="C35" s="3" t="s">
        <v>54</v>
      </c>
      <c r="D35" s="3" t="s">
        <v>8</v>
      </c>
      <c r="E35" s="3" t="s">
        <v>9</v>
      </c>
      <c r="F35" s="3">
        <v>6</v>
      </c>
      <c r="G35" s="29">
        <v>5365.01</v>
      </c>
      <c r="H35" s="30">
        <f t="shared" si="0"/>
        <v>32190.06</v>
      </c>
    </row>
    <row r="36" spans="1:8" s="1" customFormat="1" ht="16.5" customHeight="1" x14ac:dyDescent="0.25">
      <c r="A36" s="17"/>
      <c r="B36" s="13" t="s">
        <v>78</v>
      </c>
      <c r="C36" s="3" t="s">
        <v>79</v>
      </c>
      <c r="D36" s="3" t="s">
        <v>43</v>
      </c>
      <c r="E36" s="3" t="s">
        <v>9</v>
      </c>
      <c r="F36" s="3">
        <v>1</v>
      </c>
      <c r="G36" s="29">
        <v>306.83</v>
      </c>
      <c r="H36" s="30">
        <f t="shared" si="0"/>
        <v>306.83</v>
      </c>
    </row>
    <row r="37" spans="1:8" s="1" customFormat="1" x14ac:dyDescent="0.25">
      <c r="A37" s="17"/>
      <c r="B37" s="13" t="s">
        <v>117</v>
      </c>
      <c r="C37" s="21" t="s">
        <v>118</v>
      </c>
      <c r="D37" s="21" t="s">
        <v>114</v>
      </c>
      <c r="E37" s="3" t="s">
        <v>9</v>
      </c>
      <c r="F37" s="3">
        <v>1</v>
      </c>
      <c r="G37" s="29">
        <v>569.25</v>
      </c>
      <c r="H37" s="30">
        <f t="shared" si="0"/>
        <v>569.25</v>
      </c>
    </row>
    <row r="38" spans="1:8" s="1" customFormat="1" x14ac:dyDescent="0.25">
      <c r="A38" s="17"/>
      <c r="B38" s="13" t="s">
        <v>132</v>
      </c>
      <c r="C38" s="27" t="s">
        <v>133</v>
      </c>
      <c r="D38" s="27" t="s">
        <v>134</v>
      </c>
      <c r="E38" s="27" t="s">
        <v>9</v>
      </c>
      <c r="F38" s="27">
        <v>1</v>
      </c>
      <c r="G38" s="29">
        <v>449</v>
      </c>
      <c r="H38" s="30">
        <f t="shared" si="0"/>
        <v>449</v>
      </c>
    </row>
    <row r="39" spans="1:8" s="1" customFormat="1" x14ac:dyDescent="0.25">
      <c r="A39" s="17"/>
      <c r="B39" s="13" t="s">
        <v>135</v>
      </c>
      <c r="C39" s="27" t="s">
        <v>136</v>
      </c>
      <c r="D39" s="27" t="s">
        <v>43</v>
      </c>
      <c r="E39" s="27" t="s">
        <v>9</v>
      </c>
      <c r="F39" s="27">
        <v>1</v>
      </c>
      <c r="G39" s="29">
        <v>127.71</v>
      </c>
      <c r="H39" s="30">
        <f t="shared" si="0"/>
        <v>127.71</v>
      </c>
    </row>
    <row r="40" spans="1:8" s="1" customFormat="1" x14ac:dyDescent="0.25">
      <c r="A40" s="17"/>
      <c r="B40" s="14" t="s">
        <v>55</v>
      </c>
      <c r="C40" s="3" t="s">
        <v>56</v>
      </c>
      <c r="D40" s="3" t="s">
        <v>8</v>
      </c>
      <c r="E40" s="3" t="s">
        <v>9</v>
      </c>
      <c r="F40" s="3">
        <v>2</v>
      </c>
      <c r="G40" s="29">
        <v>7555.21</v>
      </c>
      <c r="H40" s="30">
        <f t="shared" si="0"/>
        <v>15110.42</v>
      </c>
    </row>
    <row r="41" spans="1:8" s="1" customFormat="1" x14ac:dyDescent="0.25">
      <c r="A41" s="17"/>
      <c r="B41" s="14" t="s">
        <v>69</v>
      </c>
      <c r="C41" s="3" t="s">
        <v>68</v>
      </c>
      <c r="D41" s="3" t="s">
        <v>8</v>
      </c>
      <c r="E41" s="3" t="s">
        <v>9</v>
      </c>
      <c r="F41" s="3">
        <v>2</v>
      </c>
      <c r="G41" s="29">
        <v>1043.51</v>
      </c>
      <c r="H41" s="30">
        <f t="shared" si="0"/>
        <v>2087.02</v>
      </c>
    </row>
    <row r="42" spans="1:8" s="1" customFormat="1" x14ac:dyDescent="0.25">
      <c r="A42" s="17"/>
      <c r="B42" s="13" t="s">
        <v>70</v>
      </c>
      <c r="C42" s="3" t="s">
        <v>71</v>
      </c>
      <c r="D42" s="3" t="s">
        <v>72</v>
      </c>
      <c r="E42" s="3" t="s">
        <v>9</v>
      </c>
      <c r="F42" s="3">
        <v>1</v>
      </c>
      <c r="G42" s="29">
        <v>66578.33</v>
      </c>
      <c r="H42" s="30">
        <f t="shared" si="0"/>
        <v>66578.33</v>
      </c>
    </row>
    <row r="43" spans="1:8" s="1" customFormat="1" ht="15.75" customHeight="1" x14ac:dyDescent="0.25">
      <c r="A43" s="17"/>
      <c r="B43" s="13" t="s">
        <v>107</v>
      </c>
      <c r="C43" s="3" t="s">
        <v>106</v>
      </c>
      <c r="D43" s="3" t="s">
        <v>57</v>
      </c>
      <c r="E43" s="3" t="s">
        <v>9</v>
      </c>
      <c r="F43" s="3">
        <v>10</v>
      </c>
      <c r="G43" s="33"/>
      <c r="H43" s="33">
        <f t="shared" si="0"/>
        <v>0</v>
      </c>
    </row>
    <row r="44" spans="1:8" s="1" customFormat="1" x14ac:dyDescent="0.25">
      <c r="A44" s="17"/>
      <c r="B44" s="13" t="s">
        <v>108</v>
      </c>
      <c r="C44" s="3" t="s">
        <v>109</v>
      </c>
      <c r="D44" s="3" t="s">
        <v>57</v>
      </c>
      <c r="E44" s="3" t="s">
        <v>9</v>
      </c>
      <c r="F44" s="3">
        <v>8</v>
      </c>
      <c r="G44" s="33"/>
      <c r="H44" s="33">
        <f t="shared" si="0"/>
        <v>0</v>
      </c>
    </row>
    <row r="45" spans="1:8" s="1" customFormat="1" x14ac:dyDescent="0.25">
      <c r="A45" s="17"/>
      <c r="B45" s="13" t="s">
        <v>104</v>
      </c>
      <c r="C45" s="3" t="s">
        <v>105</v>
      </c>
      <c r="D45" s="3" t="s">
        <v>57</v>
      </c>
      <c r="E45" s="3" t="s">
        <v>9</v>
      </c>
      <c r="F45" s="3">
        <v>1</v>
      </c>
      <c r="G45" s="33"/>
      <c r="H45" s="33">
        <f t="shared" si="0"/>
        <v>0</v>
      </c>
    </row>
    <row r="46" spans="1:8" s="1" customFormat="1" x14ac:dyDescent="0.25">
      <c r="A46" s="17"/>
      <c r="B46" s="13" t="s">
        <v>104</v>
      </c>
      <c r="C46" s="3" t="s">
        <v>103</v>
      </c>
      <c r="D46" s="3" t="s">
        <v>57</v>
      </c>
      <c r="E46" s="3" t="s">
        <v>9</v>
      </c>
      <c r="F46" s="3">
        <v>1</v>
      </c>
      <c r="G46" s="33"/>
      <c r="H46" s="33">
        <f t="shared" si="0"/>
        <v>0</v>
      </c>
    </row>
    <row r="47" spans="1:8" s="1" customFormat="1" x14ac:dyDescent="0.25">
      <c r="A47" s="17"/>
      <c r="B47" s="13" t="s">
        <v>151</v>
      </c>
      <c r="C47" s="27" t="s">
        <v>152</v>
      </c>
      <c r="D47" s="27" t="s">
        <v>57</v>
      </c>
      <c r="E47" s="27" t="s">
        <v>9</v>
      </c>
      <c r="F47" s="27">
        <v>39</v>
      </c>
      <c r="G47" s="36"/>
      <c r="H47" s="36"/>
    </row>
    <row r="48" spans="1:8" s="1" customFormat="1" x14ac:dyDescent="0.25">
      <c r="A48" s="17"/>
      <c r="B48" s="13" t="s">
        <v>151</v>
      </c>
      <c r="C48" s="27" t="s">
        <v>153</v>
      </c>
      <c r="D48" s="27" t="s">
        <v>57</v>
      </c>
      <c r="E48" s="27" t="s">
        <v>9</v>
      </c>
      <c r="F48" s="27">
        <v>37</v>
      </c>
      <c r="G48" s="36"/>
      <c r="H48" s="36"/>
    </row>
    <row r="49" spans="1:8" s="1" customFormat="1" x14ac:dyDescent="0.25">
      <c r="A49" s="17"/>
      <c r="B49" s="13" t="s">
        <v>112</v>
      </c>
      <c r="C49" s="3" t="s">
        <v>113</v>
      </c>
      <c r="D49" s="3" t="s">
        <v>75</v>
      </c>
      <c r="E49" s="3" t="s">
        <v>9</v>
      </c>
      <c r="F49" s="3">
        <v>1</v>
      </c>
      <c r="G49" s="29">
        <v>1091.67</v>
      </c>
      <c r="H49" s="30">
        <f t="shared" si="0"/>
        <v>1091.67</v>
      </c>
    </row>
    <row r="50" spans="1:8" s="1" customFormat="1" x14ac:dyDescent="0.25">
      <c r="A50" s="17"/>
      <c r="B50" s="13" t="s">
        <v>74</v>
      </c>
      <c r="C50" s="3" t="s">
        <v>73</v>
      </c>
      <c r="D50" s="3" t="s">
        <v>75</v>
      </c>
      <c r="E50" s="3" t="s">
        <v>9</v>
      </c>
      <c r="F50" s="3">
        <v>2</v>
      </c>
      <c r="G50" s="29">
        <v>56066.67</v>
      </c>
      <c r="H50" s="30">
        <f t="shared" si="0"/>
        <v>112133.34</v>
      </c>
    </row>
    <row r="51" spans="1:8" s="1" customFormat="1" ht="16.149999999999999" customHeight="1" x14ac:dyDescent="0.25">
      <c r="A51" s="17"/>
      <c r="B51" s="13" t="s">
        <v>100</v>
      </c>
      <c r="C51" s="3"/>
      <c r="D51" s="3" t="s">
        <v>75</v>
      </c>
      <c r="E51" s="3" t="s">
        <v>9</v>
      </c>
      <c r="F51" s="3">
        <v>6</v>
      </c>
      <c r="G51" s="38"/>
      <c r="H51" s="30">
        <f t="shared" si="0"/>
        <v>0</v>
      </c>
    </row>
    <row r="52" spans="1:8" s="1" customFormat="1" x14ac:dyDescent="0.25">
      <c r="A52" s="17"/>
      <c r="B52" s="13" t="s">
        <v>76</v>
      </c>
      <c r="C52" s="3" t="s">
        <v>77</v>
      </c>
      <c r="D52" s="3" t="s">
        <v>75</v>
      </c>
      <c r="E52" s="3" t="s">
        <v>9</v>
      </c>
      <c r="F52" s="3">
        <v>4</v>
      </c>
      <c r="G52" s="29">
        <v>34533.33</v>
      </c>
      <c r="H52" s="30">
        <f t="shared" si="0"/>
        <v>138133.32</v>
      </c>
    </row>
    <row r="53" spans="1:8" s="1" customFormat="1" x14ac:dyDescent="0.25">
      <c r="A53" s="17"/>
      <c r="B53" s="13" t="s">
        <v>58</v>
      </c>
      <c r="C53" s="3" t="s">
        <v>59</v>
      </c>
      <c r="D53" s="3" t="s">
        <v>57</v>
      </c>
      <c r="E53" s="3" t="s">
        <v>9</v>
      </c>
      <c r="F53" s="3">
        <v>1</v>
      </c>
      <c r="G53" s="33"/>
      <c r="H53" s="33">
        <f t="shared" si="0"/>
        <v>0</v>
      </c>
    </row>
    <row r="54" spans="1:8" s="1" customFormat="1" x14ac:dyDescent="0.25">
      <c r="A54" s="17"/>
      <c r="B54" s="13" t="s">
        <v>60</v>
      </c>
      <c r="C54" s="3" t="s">
        <v>61</v>
      </c>
      <c r="D54" s="3" t="s">
        <v>57</v>
      </c>
      <c r="E54" s="3" t="s">
        <v>9</v>
      </c>
      <c r="F54" s="3">
        <v>4</v>
      </c>
      <c r="G54" s="33"/>
      <c r="H54" s="33">
        <f t="shared" si="0"/>
        <v>0</v>
      </c>
    </row>
    <row r="55" spans="1:8" s="1" customFormat="1" x14ac:dyDescent="0.25">
      <c r="A55" s="17"/>
      <c r="B55" s="13" t="s">
        <v>156</v>
      </c>
      <c r="C55" s="27" t="s">
        <v>157</v>
      </c>
      <c r="D55" s="26" t="s">
        <v>8</v>
      </c>
      <c r="E55" s="27" t="s">
        <v>9</v>
      </c>
      <c r="F55" s="28">
        <v>8</v>
      </c>
      <c r="G55" s="38">
        <v>5076.8999999999996</v>
      </c>
      <c r="H55" s="39">
        <f t="shared" si="0"/>
        <v>40615.199999999997</v>
      </c>
    </row>
    <row r="56" spans="1:8" s="1" customFormat="1" x14ac:dyDescent="0.25">
      <c r="A56" s="17"/>
      <c r="B56" s="4" t="s">
        <v>62</v>
      </c>
      <c r="C56" s="26" t="s">
        <v>146</v>
      </c>
      <c r="D56" s="26" t="s">
        <v>8</v>
      </c>
      <c r="E56" s="26" t="s">
        <v>9</v>
      </c>
      <c r="F56" s="28">
        <v>2</v>
      </c>
      <c r="G56" s="29">
        <v>106619.48</v>
      </c>
      <c r="H56" s="30">
        <f t="shared" ref="H56:H57" si="1">G56*F56</f>
        <v>213238.96</v>
      </c>
    </row>
    <row r="57" spans="1:8" s="1" customFormat="1" x14ac:dyDescent="0.25">
      <c r="A57" s="17"/>
      <c r="B57" s="13" t="s">
        <v>63</v>
      </c>
      <c r="C57" s="3" t="s">
        <v>64</v>
      </c>
      <c r="D57" s="3" t="s">
        <v>57</v>
      </c>
      <c r="E57" s="3" t="s">
        <v>9</v>
      </c>
      <c r="F57" s="3">
        <v>2</v>
      </c>
      <c r="G57" s="33"/>
      <c r="H57" s="33">
        <f t="shared" si="1"/>
        <v>0</v>
      </c>
    </row>
    <row r="58" spans="1:8" s="1" customFormat="1" x14ac:dyDescent="0.25">
      <c r="A58" s="17"/>
      <c r="B58" s="13" t="s">
        <v>155</v>
      </c>
      <c r="C58" s="3" t="s">
        <v>66</v>
      </c>
      <c r="D58" s="3" t="s">
        <v>57</v>
      </c>
      <c r="E58" s="3" t="s">
        <v>9</v>
      </c>
      <c r="F58" s="3">
        <v>20</v>
      </c>
      <c r="G58" s="33"/>
      <c r="H58" s="33">
        <f t="shared" ref="H58:H72" si="2">G58*F58</f>
        <v>0</v>
      </c>
    </row>
    <row r="59" spans="1:8" s="1" customFormat="1" x14ac:dyDescent="0.25">
      <c r="A59" s="17"/>
      <c r="B59" s="13" t="s">
        <v>65</v>
      </c>
      <c r="C59" s="3" t="s">
        <v>67</v>
      </c>
      <c r="D59" s="3" t="s">
        <v>57</v>
      </c>
      <c r="E59" s="3" t="s">
        <v>9</v>
      </c>
      <c r="F59" s="3">
        <v>11</v>
      </c>
      <c r="G59" s="33"/>
      <c r="H59" s="33">
        <f t="shared" si="2"/>
        <v>0</v>
      </c>
    </row>
    <row r="60" spans="1:8" s="1" customFormat="1" x14ac:dyDescent="0.25">
      <c r="A60" s="17"/>
      <c r="B60" s="13" t="s">
        <v>102</v>
      </c>
      <c r="C60" s="3" t="s">
        <v>101</v>
      </c>
      <c r="D60" s="3" t="s">
        <v>57</v>
      </c>
      <c r="E60" s="3" t="s">
        <v>9</v>
      </c>
      <c r="F60" s="3">
        <v>45</v>
      </c>
      <c r="G60" s="33"/>
      <c r="H60" s="33">
        <f t="shared" si="2"/>
        <v>0</v>
      </c>
    </row>
    <row r="61" spans="1:8" s="1" customFormat="1" x14ac:dyDescent="0.25">
      <c r="A61" s="17"/>
      <c r="B61" s="13" t="s">
        <v>80</v>
      </c>
      <c r="C61" s="3" t="s">
        <v>81</v>
      </c>
      <c r="D61" s="3" t="s">
        <v>57</v>
      </c>
      <c r="E61" s="3" t="s">
        <v>9</v>
      </c>
      <c r="F61" s="3">
        <v>1</v>
      </c>
      <c r="G61" s="33"/>
      <c r="H61" s="33">
        <f t="shared" si="2"/>
        <v>0</v>
      </c>
    </row>
    <row r="62" spans="1:8" s="1" customFormat="1" x14ac:dyDescent="0.25">
      <c r="A62" s="17"/>
      <c r="B62" s="13" t="s">
        <v>82</v>
      </c>
      <c r="C62" s="3" t="s">
        <v>83</v>
      </c>
      <c r="D62" s="3" t="s">
        <v>57</v>
      </c>
      <c r="E62" s="3" t="s">
        <v>9</v>
      </c>
      <c r="F62" s="3">
        <v>37</v>
      </c>
      <c r="G62" s="33"/>
      <c r="H62" s="33">
        <f t="shared" si="2"/>
        <v>0</v>
      </c>
    </row>
    <row r="63" spans="1:8" s="1" customFormat="1" x14ac:dyDescent="0.25">
      <c r="A63" s="17"/>
      <c r="B63" s="13" t="s">
        <v>84</v>
      </c>
      <c r="C63" s="3" t="s">
        <v>85</v>
      </c>
      <c r="D63" s="3" t="s">
        <v>57</v>
      </c>
      <c r="E63" s="3" t="s">
        <v>9</v>
      </c>
      <c r="F63" s="3">
        <v>20</v>
      </c>
      <c r="G63" s="33"/>
      <c r="H63" s="33">
        <f t="shared" si="2"/>
        <v>0</v>
      </c>
    </row>
    <row r="64" spans="1:8" s="1" customFormat="1" x14ac:dyDescent="0.25">
      <c r="A64" s="17"/>
      <c r="B64" s="13" t="s">
        <v>86</v>
      </c>
      <c r="C64" s="3" t="s">
        <v>87</v>
      </c>
      <c r="D64" s="3" t="s">
        <v>57</v>
      </c>
      <c r="E64" s="3" t="s">
        <v>9</v>
      </c>
      <c r="F64" s="3">
        <v>11</v>
      </c>
      <c r="G64" s="33"/>
      <c r="H64" s="33">
        <f t="shared" si="2"/>
        <v>0</v>
      </c>
    </row>
    <row r="65" spans="1:10" s="1" customFormat="1" ht="33" x14ac:dyDescent="0.25">
      <c r="A65" s="17"/>
      <c r="B65" s="14" t="s">
        <v>88</v>
      </c>
      <c r="C65" s="3" t="s">
        <v>89</v>
      </c>
      <c r="D65" s="3" t="s">
        <v>57</v>
      </c>
      <c r="E65" s="3" t="s">
        <v>9</v>
      </c>
      <c r="F65" s="3">
        <v>8</v>
      </c>
      <c r="G65" s="33"/>
      <c r="H65" s="33">
        <f t="shared" si="2"/>
        <v>0</v>
      </c>
    </row>
    <row r="66" spans="1:10" s="1" customFormat="1" x14ac:dyDescent="0.25">
      <c r="A66" s="17"/>
      <c r="B66" s="22" t="s">
        <v>149</v>
      </c>
      <c r="C66" s="27" t="s">
        <v>150</v>
      </c>
      <c r="D66" s="27" t="s">
        <v>91</v>
      </c>
      <c r="E66" s="27" t="s">
        <v>9</v>
      </c>
      <c r="F66" s="27">
        <v>422</v>
      </c>
      <c r="G66" s="29">
        <v>1320</v>
      </c>
      <c r="H66" s="30">
        <f t="shared" ref="H66" si="3">G66*F66</f>
        <v>557040</v>
      </c>
    </row>
    <row r="67" spans="1:10" s="16" customFormat="1" x14ac:dyDescent="0.25">
      <c r="A67" s="17"/>
      <c r="B67" s="14" t="s">
        <v>92</v>
      </c>
      <c r="C67" s="3" t="s">
        <v>90</v>
      </c>
      <c r="D67" s="3" t="s">
        <v>91</v>
      </c>
      <c r="E67" s="3" t="s">
        <v>9</v>
      </c>
      <c r="F67" s="3">
        <v>202</v>
      </c>
      <c r="G67" s="29">
        <v>1295</v>
      </c>
      <c r="H67" s="30">
        <f t="shared" si="2"/>
        <v>261590</v>
      </c>
    </row>
    <row r="68" spans="1:10" s="1" customFormat="1" x14ac:dyDescent="0.25">
      <c r="A68" s="17"/>
      <c r="B68" s="14" t="s">
        <v>93</v>
      </c>
      <c r="C68" s="3" t="s">
        <v>115</v>
      </c>
      <c r="D68" s="3" t="s">
        <v>114</v>
      </c>
      <c r="E68" s="3" t="s">
        <v>9</v>
      </c>
      <c r="F68" s="3">
        <v>1530</v>
      </c>
      <c r="G68" s="29">
        <v>37.53</v>
      </c>
      <c r="H68" s="30">
        <f t="shared" si="2"/>
        <v>57420.9</v>
      </c>
    </row>
    <row r="69" spans="1:10" s="1" customFormat="1" x14ac:dyDescent="0.25">
      <c r="A69" s="17"/>
      <c r="B69" s="13" t="s">
        <v>111</v>
      </c>
      <c r="C69" s="3" t="s">
        <v>110</v>
      </c>
      <c r="D69" s="3" t="s">
        <v>57</v>
      </c>
      <c r="E69" s="3" t="s">
        <v>9</v>
      </c>
      <c r="F69" s="3">
        <v>2</v>
      </c>
      <c r="G69" s="33"/>
      <c r="H69" s="33">
        <f t="shared" si="2"/>
        <v>0</v>
      </c>
    </row>
    <row r="70" spans="1:10" s="1" customFormat="1" ht="132" x14ac:dyDescent="0.25">
      <c r="A70" s="8"/>
      <c r="B70" s="22" t="s">
        <v>116</v>
      </c>
      <c r="C70" s="22"/>
      <c r="D70" s="18" t="s">
        <v>57</v>
      </c>
      <c r="E70" s="18" t="s">
        <v>9</v>
      </c>
      <c r="F70" s="18">
        <v>2</v>
      </c>
      <c r="G70" s="35"/>
      <c r="H70" s="33">
        <f t="shared" si="2"/>
        <v>0</v>
      </c>
    </row>
    <row r="71" spans="1:10" s="1" customFormat="1" x14ac:dyDescent="0.25">
      <c r="A71" s="9"/>
      <c r="B71" s="24" t="s">
        <v>123</v>
      </c>
      <c r="C71" s="23" t="s">
        <v>122</v>
      </c>
      <c r="D71" s="23" t="s">
        <v>8</v>
      </c>
      <c r="E71" s="23" t="s">
        <v>119</v>
      </c>
      <c r="F71" s="23">
        <v>12</v>
      </c>
      <c r="G71" s="29">
        <v>421.49</v>
      </c>
      <c r="H71" s="30">
        <f t="shared" si="2"/>
        <v>5057.88</v>
      </c>
    </row>
    <row r="72" spans="1:10" x14ac:dyDescent="0.25">
      <c r="A72" s="9"/>
      <c r="B72" s="24" t="s">
        <v>121</v>
      </c>
      <c r="C72" s="23" t="s">
        <v>120</v>
      </c>
      <c r="D72" s="23" t="s">
        <v>8</v>
      </c>
      <c r="E72" s="23" t="s">
        <v>119</v>
      </c>
      <c r="F72" s="23">
        <v>16</v>
      </c>
      <c r="G72" s="29">
        <v>431.7</v>
      </c>
      <c r="H72" s="30">
        <f t="shared" si="2"/>
        <v>6907.2</v>
      </c>
      <c r="J72"/>
    </row>
    <row r="73" spans="1:10" x14ac:dyDescent="0.25">
      <c r="A73" s="9"/>
      <c r="B73" s="25" t="s">
        <v>124</v>
      </c>
      <c r="C73" s="25"/>
      <c r="D73" s="25"/>
      <c r="E73" s="26" t="s">
        <v>119</v>
      </c>
      <c r="F73" s="26">
        <v>2000</v>
      </c>
      <c r="G73" s="29">
        <v>13</v>
      </c>
      <c r="H73" s="30">
        <f t="shared" ref="H73:H81" si="4">G73*F73</f>
        <v>26000</v>
      </c>
      <c r="J73"/>
    </row>
    <row r="74" spans="1:10" x14ac:dyDescent="0.25">
      <c r="A74" s="9"/>
      <c r="B74" s="25" t="s">
        <v>125</v>
      </c>
      <c r="C74" s="25"/>
      <c r="D74" s="25"/>
      <c r="E74" s="26" t="s">
        <v>126</v>
      </c>
      <c r="F74" s="26">
        <v>200</v>
      </c>
      <c r="G74" s="29">
        <v>33.33</v>
      </c>
      <c r="H74" s="30">
        <f t="shared" si="4"/>
        <v>6666</v>
      </c>
      <c r="J74"/>
    </row>
    <row r="75" spans="1:10" x14ac:dyDescent="0.25">
      <c r="A75" s="26">
        <v>1</v>
      </c>
      <c r="B75" s="11" t="s">
        <v>131</v>
      </c>
      <c r="C75" s="12"/>
      <c r="D75" s="12"/>
      <c r="E75" s="12"/>
      <c r="F75" s="12">
        <v>1</v>
      </c>
      <c r="G75" s="34"/>
      <c r="H75" s="30">
        <f t="shared" si="4"/>
        <v>0</v>
      </c>
      <c r="J75"/>
    </row>
    <row r="76" spans="1:10" x14ac:dyDescent="0.25">
      <c r="A76" s="25"/>
      <c r="B76" s="13" t="s">
        <v>65</v>
      </c>
      <c r="C76" s="27" t="s">
        <v>66</v>
      </c>
      <c r="D76" s="27" t="s">
        <v>57</v>
      </c>
      <c r="E76" s="27" t="s">
        <v>9</v>
      </c>
      <c r="F76" s="27">
        <v>2</v>
      </c>
      <c r="G76" s="33"/>
      <c r="H76" s="30">
        <f t="shared" si="4"/>
        <v>0</v>
      </c>
      <c r="J76"/>
    </row>
    <row r="77" spans="1:10" x14ac:dyDescent="0.25">
      <c r="A77" s="25"/>
      <c r="B77" s="13" t="s">
        <v>65</v>
      </c>
      <c r="C77" s="27" t="s">
        <v>67</v>
      </c>
      <c r="D77" s="27" t="s">
        <v>57</v>
      </c>
      <c r="E77" s="27" t="s">
        <v>9</v>
      </c>
      <c r="F77" s="27">
        <v>2</v>
      </c>
      <c r="G77" s="33"/>
      <c r="H77" s="30">
        <f t="shared" si="4"/>
        <v>0</v>
      </c>
      <c r="J77"/>
    </row>
    <row r="78" spans="1:10" x14ac:dyDescent="0.25">
      <c r="A78" s="25"/>
      <c r="B78" s="13" t="s">
        <v>82</v>
      </c>
      <c r="C78" s="27" t="s">
        <v>83</v>
      </c>
      <c r="D78" s="27" t="s">
        <v>57</v>
      </c>
      <c r="E78" s="27" t="s">
        <v>9</v>
      </c>
      <c r="F78" s="27">
        <v>4</v>
      </c>
      <c r="G78" s="33"/>
      <c r="H78" s="30">
        <f t="shared" si="4"/>
        <v>0</v>
      </c>
      <c r="J78"/>
    </row>
    <row r="79" spans="1:10" x14ac:dyDescent="0.25">
      <c r="A79" s="25"/>
      <c r="B79" s="13" t="s">
        <v>84</v>
      </c>
      <c r="C79" s="27" t="s">
        <v>85</v>
      </c>
      <c r="D79" s="27" t="s">
        <v>57</v>
      </c>
      <c r="E79" s="27" t="s">
        <v>9</v>
      </c>
      <c r="F79" s="27">
        <v>2</v>
      </c>
      <c r="G79" s="33"/>
      <c r="H79" s="30">
        <f t="shared" si="4"/>
        <v>0</v>
      </c>
      <c r="J79"/>
    </row>
    <row r="80" spans="1:10" x14ac:dyDescent="0.25">
      <c r="A80" s="25"/>
      <c r="B80" s="13" t="s">
        <v>86</v>
      </c>
      <c r="C80" s="27" t="s">
        <v>87</v>
      </c>
      <c r="D80" s="27" t="s">
        <v>57</v>
      </c>
      <c r="E80" s="27" t="s">
        <v>9</v>
      </c>
      <c r="F80" s="27">
        <v>1</v>
      </c>
      <c r="G80" s="33"/>
      <c r="H80" s="30">
        <f t="shared" si="4"/>
        <v>0</v>
      </c>
      <c r="J80"/>
    </row>
    <row r="81" spans="1:10" ht="33" x14ac:dyDescent="0.25">
      <c r="A81" s="25"/>
      <c r="B81" s="22" t="s">
        <v>88</v>
      </c>
      <c r="C81" s="27" t="s">
        <v>89</v>
      </c>
      <c r="D81" s="27" t="s">
        <v>57</v>
      </c>
      <c r="E81" s="27" t="s">
        <v>9</v>
      </c>
      <c r="F81" s="27">
        <v>1</v>
      </c>
      <c r="G81" s="33"/>
      <c r="H81" s="30">
        <f t="shared" si="4"/>
        <v>0</v>
      </c>
      <c r="J81"/>
    </row>
    <row r="82" spans="1:10" x14ac:dyDescent="0.25">
      <c r="A82" s="17"/>
      <c r="B82" s="13" t="s">
        <v>102</v>
      </c>
      <c r="C82" s="27" t="s">
        <v>101</v>
      </c>
      <c r="D82" s="27" t="s">
        <v>57</v>
      </c>
      <c r="E82" s="27" t="s">
        <v>9</v>
      </c>
      <c r="F82" s="27">
        <v>5</v>
      </c>
      <c r="G82" s="33"/>
      <c r="H82" s="30">
        <f t="shared" ref="H82" si="5">G82*F82</f>
        <v>0</v>
      </c>
      <c r="J82"/>
    </row>
    <row r="83" spans="1:10" ht="15" x14ac:dyDescent="0.25">
      <c r="G83"/>
      <c r="J83"/>
    </row>
    <row r="84" spans="1:10" ht="15" x14ac:dyDescent="0.25">
      <c r="G84" s="37" t="s">
        <v>154</v>
      </c>
      <c r="H84" s="37">
        <f>SUM(H4:H82)</f>
        <v>2623883.8400000003</v>
      </c>
      <c r="J84"/>
    </row>
    <row r="85" spans="1:10" ht="15" x14ac:dyDescent="0.25">
      <c r="G85"/>
      <c r="J85"/>
    </row>
    <row r="86" spans="1:10" ht="15" x14ac:dyDescent="0.25">
      <c r="G86"/>
      <c r="J86"/>
    </row>
    <row r="87" spans="1:10" ht="15" x14ac:dyDescent="0.25">
      <c r="G87"/>
      <c r="J87"/>
    </row>
    <row r="88" spans="1:10" ht="15" x14ac:dyDescent="0.25">
      <c r="G88"/>
      <c r="J88"/>
    </row>
    <row r="89" spans="1:10" ht="15" x14ac:dyDescent="0.25">
      <c r="G89"/>
      <c r="J89"/>
    </row>
    <row r="90" spans="1:10" ht="15" x14ac:dyDescent="0.25">
      <c r="G90"/>
      <c r="J90"/>
    </row>
    <row r="91" spans="1:10" ht="15" x14ac:dyDescent="0.25">
      <c r="G91"/>
      <c r="J91"/>
    </row>
    <row r="92" spans="1:10" ht="15" x14ac:dyDescent="0.25">
      <c r="G92"/>
      <c r="J92"/>
    </row>
    <row r="93" spans="1:10" ht="15" x14ac:dyDescent="0.25">
      <c r="G93"/>
      <c r="J93"/>
    </row>
    <row r="94" spans="1:10" ht="15" x14ac:dyDescent="0.25">
      <c r="G94"/>
      <c r="J94"/>
    </row>
    <row r="95" spans="1:10" ht="15" x14ac:dyDescent="0.25">
      <c r="G95"/>
      <c r="J95"/>
    </row>
    <row r="96" spans="1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28.15" customHeight="1" x14ac:dyDescent="0.25">
      <c r="G100"/>
      <c r="J100"/>
    </row>
    <row r="101" spans="7:10" ht="28.15" customHeight="1" x14ac:dyDescent="0.25">
      <c r="G101"/>
      <c r="J101"/>
    </row>
    <row r="102" spans="7:10" ht="15" x14ac:dyDescent="0.25">
      <c r="G102"/>
      <c r="J102"/>
    </row>
    <row r="103" spans="7:10" ht="15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37.9" customHeight="1" x14ac:dyDescent="0.25">
      <c r="G168"/>
      <c r="J168"/>
    </row>
    <row r="169" spans="7:10" ht="24.6" customHeight="1" x14ac:dyDescent="0.25">
      <c r="G169"/>
      <c r="J169"/>
    </row>
    <row r="170" spans="7:10" ht="15" x14ac:dyDescent="0.25">
      <c r="G170"/>
      <c r="J170"/>
    </row>
    <row r="171" spans="7:10" ht="15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34.9" customHeight="1" x14ac:dyDescent="0.25">
      <c r="G222"/>
      <c r="J222"/>
    </row>
    <row r="223" spans="7:10" ht="33.6" customHeight="1" x14ac:dyDescent="0.25">
      <c r="G223"/>
      <c r="J223"/>
    </row>
    <row r="224" spans="7:10" ht="34.15" customHeight="1" x14ac:dyDescent="0.25">
      <c r="G224"/>
      <c r="J224"/>
    </row>
    <row r="225" spans="7:10" ht="59.45" customHeight="1" x14ac:dyDescent="0.25">
      <c r="G225"/>
      <c r="J225"/>
    </row>
    <row r="226" spans="7:10" ht="15" x14ac:dyDescent="0.25">
      <c r="G226"/>
      <c r="J226"/>
    </row>
    <row r="227" spans="7:10" ht="15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27" customHeight="1" x14ac:dyDescent="0.25">
      <c r="G245"/>
      <c r="J245"/>
    </row>
    <row r="246" spans="7:10" ht="15" x14ac:dyDescent="0.25">
      <c r="G246"/>
      <c r="J246"/>
    </row>
    <row r="247" spans="7:10" ht="15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27" customHeight="1" x14ac:dyDescent="0.25">
      <c r="G293"/>
      <c r="J293"/>
    </row>
    <row r="294" spans="7:10" ht="33.6" customHeight="1" x14ac:dyDescent="0.25">
      <c r="G294"/>
      <c r="J294"/>
    </row>
    <row r="295" spans="7:10" ht="15" x14ac:dyDescent="0.25">
      <c r="G295"/>
      <c r="J295"/>
    </row>
    <row r="296" spans="7:10" ht="15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31.9" customHeight="1" x14ac:dyDescent="0.25">
      <c r="G344"/>
      <c r="J344"/>
    </row>
    <row r="345" spans="7:10" ht="29.45" customHeight="1" x14ac:dyDescent="0.25">
      <c r="G345"/>
      <c r="J345"/>
    </row>
    <row r="346" spans="7:10" ht="15" x14ac:dyDescent="0.25">
      <c r="G346"/>
      <c r="J346"/>
    </row>
    <row r="347" spans="7:10" ht="66.599999999999994" customHeight="1" x14ac:dyDescent="0.25">
      <c r="G347"/>
      <c r="J347"/>
    </row>
    <row r="348" spans="7:10" ht="15" x14ac:dyDescent="0.25">
      <c r="G348"/>
      <c r="J348"/>
    </row>
    <row r="349" spans="7:10" ht="15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28.9" customHeight="1" x14ac:dyDescent="0.25">
      <c r="G365"/>
      <c r="J365"/>
    </row>
    <row r="366" spans="7:10" ht="15" x14ac:dyDescent="0.25">
      <c r="G366"/>
      <c r="J366"/>
    </row>
    <row r="367" spans="7:10" ht="15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G384"/>
      <c r="J384"/>
    </row>
    <row r="385" spans="10:10" ht="15" x14ac:dyDescent="0.25">
      <c r="J385"/>
    </row>
    <row r="386" spans="10:10" ht="15" x14ac:dyDescent="0.25">
      <c r="J386"/>
    </row>
    <row r="387" spans="10:10" ht="15" x14ac:dyDescent="0.25">
      <c r="J387"/>
    </row>
    <row r="388" spans="10:10" ht="15" x14ac:dyDescent="0.25">
      <c r="J388"/>
    </row>
    <row r="389" spans="10:10" ht="15" x14ac:dyDescent="0.25">
      <c r="J389"/>
    </row>
    <row r="390" spans="10:10" ht="15" x14ac:dyDescent="0.25">
      <c r="J390"/>
    </row>
    <row r="391" spans="10:10" ht="15" x14ac:dyDescent="0.25">
      <c r="J391"/>
    </row>
    <row r="392" spans="10:10" ht="15" x14ac:dyDescent="0.25">
      <c r="J392"/>
    </row>
    <row r="393" spans="10:10" ht="15" x14ac:dyDescent="0.25">
      <c r="J393"/>
    </row>
    <row r="394" spans="10:10" ht="15" x14ac:dyDescent="0.25">
      <c r="J394"/>
    </row>
    <row r="395" spans="10:10" ht="15" x14ac:dyDescent="0.25">
      <c r="J395"/>
    </row>
    <row r="396" spans="10:10" ht="15" x14ac:dyDescent="0.25">
      <c r="J396"/>
    </row>
    <row r="397" spans="10:10" ht="15" x14ac:dyDescent="0.25">
      <c r="J397"/>
    </row>
    <row r="398" spans="10:10" ht="15" x14ac:dyDescent="0.25">
      <c r="J398"/>
    </row>
    <row r="399" spans="10:10" ht="15" x14ac:dyDescent="0.25">
      <c r="J399"/>
    </row>
    <row r="400" spans="10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2025-09-29T10:21:04Z</dcterms:modified>
</cp:coreProperties>
</file>