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4" i="1" l="1"/>
  <c r="H53" i="1"/>
  <c r="H55" i="1" l="1"/>
  <c r="H37" i="1" l="1"/>
  <c r="H72" i="1" l="1"/>
  <c r="H71" i="1"/>
  <c r="H70" i="1"/>
  <c r="H69" i="1"/>
  <c r="H66" i="1"/>
  <c r="H65" i="1"/>
  <c r="H49" i="1"/>
  <c r="H47" i="1"/>
  <c r="H46" i="1"/>
  <c r="H39" i="1"/>
  <c r="H38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82" i="1" l="1"/>
</calcChain>
</file>

<file path=xl/sharedStrings.xml><?xml version="1.0" encoding="utf-8"?>
<sst xmlns="http://schemas.openxmlformats.org/spreadsheetml/2006/main" count="305" uniqueCount="153">
  <si>
    <t>Обозн</t>
  </si>
  <si>
    <t>Наименоваие</t>
  </si>
  <si>
    <t>Тип, марка</t>
  </si>
  <si>
    <t>Ед.изм.</t>
  </si>
  <si>
    <t>Кол-во</t>
  </si>
  <si>
    <t>Производитель</t>
  </si>
  <si>
    <t>АСУ Зд</t>
  </si>
  <si>
    <t>Стойки вертикальные, для шкафов nCQE высотой 2000 мм, 4 шт. RAL7035</t>
  </si>
  <si>
    <t>R5NKMN20</t>
  </si>
  <si>
    <t>DKC</t>
  </si>
  <si>
    <t>Шт.</t>
  </si>
  <si>
    <t>Комплект, крыша и основание, для шкафов nCQE, 600 x 600 мм</t>
  </si>
  <si>
    <t>R5NKTB66</t>
  </si>
  <si>
    <t>R5NCPE2060</t>
  </si>
  <si>
    <t>Дверь сплошная для шкафов CQE N, ВхШ 2000х600 мм</t>
  </si>
  <si>
    <t>Панели боковые для шкафов CQE N, ВхГ 2000х600 мм, комплект 2 шт.</t>
  </si>
  <si>
    <t>R5NLE2062</t>
  </si>
  <si>
    <t>Плата монтажная  для шкафов CQE N ВхШ 2000 x 600 мм</t>
  </si>
  <si>
    <t>R5NPCE2060</t>
  </si>
  <si>
    <t>Комплект угловых элементов с пластиковыми заглушками, В =100 мм, 1 кмп = 4 шт.</t>
  </si>
  <si>
    <t>R5NBP01B</t>
  </si>
  <si>
    <t>Комплект панелей цоколя, Ш/Г=600 мм, В=100 мм, 1 кмп = 2 шт.</t>
  </si>
  <si>
    <t>R5NFPB60</t>
  </si>
  <si>
    <t>Рейка боковая, широкая, для шкафов CQE глубиной 600 мм, 1 упаковка - 4 шт.</t>
  </si>
  <si>
    <t>R5NPDL600</t>
  </si>
  <si>
    <t>Уплотнитель для ввода кабеля для шкафов CQE &amp; CQE N, Ш=600 мм</t>
  </si>
  <si>
    <t>R5NFPC600</t>
  </si>
  <si>
    <t>Рым-болты, М12, 1 упаковка - 4 шт.</t>
  </si>
  <si>
    <t>R5A33</t>
  </si>
  <si>
    <t>Ограничитель угла открытия двери, 90 градусов</t>
  </si>
  <si>
    <t>R5RAE02</t>
  </si>
  <si>
    <t>Концевой выключатель с двумя контактами, нормально открытый + нормально закрытый (NO+NC). Исполнение с кнопкой.</t>
  </si>
  <si>
    <t>R5MC101</t>
  </si>
  <si>
    <t>R5NKTB86</t>
  </si>
  <si>
    <t>Комплект, крыша и основание, для шкафов nCQE, 800 x 600 мм</t>
  </si>
  <si>
    <t>R5NCPE2080</t>
  </si>
  <si>
    <t>Дверь сплошная для шкафов CQE N, ВхШ 2000х800 мм</t>
  </si>
  <si>
    <t>Плата монтажная  для шкафов CQE N ВхШ 2000 x 800 мм</t>
  </si>
  <si>
    <t>R5NPCE2080</t>
  </si>
  <si>
    <t>Комплект панелей цоколя, Ш/Г=800 мм, В=100 мм, 1 кмп = 2 шт.</t>
  </si>
  <si>
    <t>R5NFPB80</t>
  </si>
  <si>
    <t>Уплотнитель для ввода кабеля для шкафов CQE &amp; CQE N, Ш=800 мм</t>
  </si>
  <si>
    <t>R5NFPC800</t>
  </si>
  <si>
    <t>LDBO0-3001-4-4000-K01</t>
  </si>
  <si>
    <t>IEK</t>
  </si>
  <si>
    <t>Светильник светодиодный линейный ДБО 3001 4Вт 4000K IP20 311мм пластик</t>
  </si>
  <si>
    <t>DPSL075W24V</t>
  </si>
  <si>
    <t>Блок питания "ECO POWER", однофазный, 75Вт, 24В</t>
  </si>
  <si>
    <t>XCSD1015W024VAA</t>
  </si>
  <si>
    <t>Блок питания "MODULAR POWER", однофазный, 15Вт, 0.6А, 24В</t>
  </si>
  <si>
    <t>DPSL240W24V</t>
  </si>
  <si>
    <t>Блок питания "ECO POWER", однофазный, 240Вт, 10А, 24В</t>
  </si>
  <si>
    <t>R5RF08</t>
  </si>
  <si>
    <t>Вентиляционная решетка с фильтром RF 112x112 мм, IP54</t>
  </si>
  <si>
    <t>Вентилятор с фильтром RV 10/12 м3/ч, 230 В, 112x112 мм, IP54</t>
  </si>
  <si>
    <t>R5RV08230</t>
  </si>
  <si>
    <t>Модуль резервирования 20А</t>
  </si>
  <si>
    <t>DPSRED20A</t>
  </si>
  <si>
    <t>ТРЭИ</t>
  </si>
  <si>
    <t>Каркас CR6 MR</t>
  </si>
  <si>
    <t>CR6 MR</t>
  </si>
  <si>
    <t>Каркас CR6 IOR</t>
  </si>
  <si>
    <t>CR6 IOR</t>
  </si>
  <si>
    <t>Коммутатор</t>
  </si>
  <si>
    <t>S304</t>
  </si>
  <si>
    <t xml:space="preserve">Сервер </t>
  </si>
  <si>
    <t>S343</t>
  </si>
  <si>
    <t>Терминальная панель дискретного вывода</t>
  </si>
  <si>
    <t>TP-D</t>
  </si>
  <si>
    <t>TP-О</t>
  </si>
  <si>
    <t>ALIL2L220</t>
  </si>
  <si>
    <t>Сигнальный индикатор со встроенным диодом 220В, зеленый</t>
  </si>
  <si>
    <t>Панель оператора</t>
  </si>
  <si>
    <t>Weintek cMT2128X, 12.1″</t>
  </si>
  <si>
    <t xml:space="preserve">Weintek </t>
  </si>
  <si>
    <t>SR1103L</t>
  </si>
  <si>
    <t>Онлайн ИБП   (3 кВА / 2,7 кВт)</t>
  </si>
  <si>
    <t>Штиль</t>
  </si>
  <si>
    <t xml:space="preserve">Батарейный модуль </t>
  </si>
  <si>
    <t>BMR-96-09</t>
  </si>
  <si>
    <t>Розетка РАр10-3-ОПс заземлением на DIN-рейку</t>
  </si>
  <si>
    <t>MRD10-16</t>
  </si>
  <si>
    <t>Заглушка</t>
  </si>
  <si>
    <t>FP-04R</t>
  </si>
  <si>
    <t>Модуль аналогового ввода тока и напряжения с изолированными каналами</t>
  </si>
  <si>
    <t>M1234A</t>
  </si>
  <si>
    <t>Модули дискретного ввода</t>
  </si>
  <si>
    <t>M1252D</t>
  </si>
  <si>
    <t>Модули дискретного вывода</t>
  </si>
  <si>
    <t>M1251O</t>
  </si>
  <si>
    <t>Модуль аналогового ввода температуры и сопротивления с изолированными каналами</t>
  </si>
  <si>
    <t>M1231TR</t>
  </si>
  <si>
    <t>38.51.7.024.0050</t>
  </si>
  <si>
    <t>Finder</t>
  </si>
  <si>
    <t>Интерфейсный модуль электромеханического реле 6А; 24В AC/DC</t>
  </si>
  <si>
    <t>Клемма винтовая проходная, 2.5 мм², серая</t>
  </si>
  <si>
    <t>Стойка верт. для уст. внутр. панелй В=2000 1кмп=2шт. RAM power</t>
  </si>
  <si>
    <t>R5TE20M</t>
  </si>
  <si>
    <t>Полка дверная для корпусов CQE &amp; CQE N, Ш=600 мм RAM block</t>
  </si>
  <si>
    <t>R5NRL600</t>
  </si>
  <si>
    <t>R5A32</t>
  </si>
  <si>
    <t>Карман для документов пластиковый для корпусов CQE &amp; CQE N, ШхВхГ 222х230х30 мм RAM block</t>
  </si>
  <si>
    <t>Комплект для монтажа в стойку</t>
  </si>
  <si>
    <t>TP-U</t>
  </si>
  <si>
    <t>Универсальные терминальные панели</t>
  </si>
  <si>
    <t>CUTP-1G</t>
  </si>
  <si>
    <t>Кабель резервирования</t>
  </si>
  <si>
    <t>CUTP-1R</t>
  </si>
  <si>
    <t>CSB-1</t>
  </si>
  <si>
    <t xml:space="preserve">Соединитель </t>
  </si>
  <si>
    <t xml:space="preserve">Кабель соединения каркасов </t>
  </si>
  <si>
    <t>C401</t>
  </si>
  <si>
    <t>M1201Е-0</t>
  </si>
  <si>
    <t>Программируемый модуль ПЛК</t>
  </si>
  <si>
    <t>Карта мониторинга IC-RS232/Dry contacts</t>
  </si>
  <si>
    <t>IC-RS232/Dry contacts</t>
  </si>
  <si>
    <t>EKF</t>
  </si>
  <si>
    <t>scr-ut-2,5-g</t>
  </si>
  <si>
    <t xml:space="preserve">ПО контроллера (СРВК) для ОС LINUX Модули: Проф-1 с
«горячим» резервированием процессоров на 1-
ом контроллере (TM-канал, модуль
межконтроллерного обмена УСО),
резервирование сети, драйвер протокола
ModBus RTU (сервер/клиент), драйвер протокола
ModBus TСР (сервер/клиент)
</t>
  </si>
  <si>
    <t>Термостат NO (охлаждение) на DIN-рейку 10А 230В IP20</t>
  </si>
  <si>
    <t>TNO10M</t>
  </si>
  <si>
    <t>м</t>
  </si>
  <si>
    <t>01107RL</t>
  </si>
  <si>
    <t>Короб перфорированный, серый RL6 40x60</t>
  </si>
  <si>
    <t>01108RL</t>
  </si>
  <si>
    <t>Короб перфорированный, серый RL6 60x60</t>
  </si>
  <si>
    <t>Провод ПуГВнг 1х0,75</t>
  </si>
  <si>
    <t>Провод ПуГВнг 1х2,5</t>
  </si>
  <si>
    <t>М</t>
  </si>
  <si>
    <t>AR-M06N-2-C016</t>
  </si>
  <si>
    <t>Автоматический выключатель 2П 16А 6кА</t>
  </si>
  <si>
    <t>Автоматический выключатель 1П 6А 4,5кА</t>
  </si>
  <si>
    <t>MVA20-1-006-C</t>
  </si>
  <si>
    <t>ЗИП</t>
  </si>
  <si>
    <t>meyertec</t>
  </si>
  <si>
    <t>Кнопка управления D8-11 d=22мм 1NO+1NC черная</t>
  </si>
  <si>
    <t>BBT30-11-3-22-K02</t>
  </si>
  <si>
    <t>Цена б.НДС</t>
  </si>
  <si>
    <t>Сумма б.НДС</t>
  </si>
  <si>
    <t>Кабель для соединения каркасов и модулей</t>
  </si>
  <si>
    <t>CIDC</t>
  </si>
  <si>
    <t>CIDCS</t>
  </si>
  <si>
    <t>Зуммер, 80дБ, черный, 24V AC/DC, IP40, пластик</t>
  </si>
  <si>
    <t>MT22-FM24</t>
  </si>
  <si>
    <t xml:space="preserve">Сигнальный индикатор со встроенным диодом 220В, красный </t>
  </si>
  <si>
    <t>ALIL1L220</t>
  </si>
  <si>
    <t>Итог</t>
  </si>
  <si>
    <t>Терминальная панель дискретного ввода</t>
  </si>
  <si>
    <t>SFP-модуль на дальность</t>
  </si>
  <si>
    <t>SFP-SM-20-0</t>
  </si>
  <si>
    <t>Промышленный гигабитный SFP трансивер</t>
  </si>
  <si>
    <t>N2010-IGMSX850-055</t>
  </si>
  <si>
    <t>N2100-4SFP24T-P5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</si>
</sst>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sz val="11"/>
      <color indexed="8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3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7">
    <xf numFmtId="0" fontId="0" fillId="0" borderId="0" xfId="0"/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/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vertical="center"/>
    </xf>
    <xf numFmtId="0" fontId="0" fillId="0" borderId="1" xfId="0" applyFill="1" applyBorder="1"/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/>
    <xf numFmtId="0" fontId="0" fillId="4" borderId="1" xfId="0" applyFill="1" applyBorder="1"/>
    <xf numFmtId="2" fontId="4" fillId="0" borderId="1" xfId="0" applyNumberFormat="1" applyFont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1">
    <cellStyle name="Обычный" xfId="0" builtinId="0"/>
    <cellStyle name="Обычный 2 2" xfId="2"/>
    <cellStyle name="Обычный 2 2 2" xfId="9"/>
    <cellStyle name="Обычный 2 2 3" xfId="6"/>
    <cellStyle name="Обычный 2_Магадель" xfId="4"/>
    <cellStyle name="Обычный 3 2 3" xfId="1"/>
    <cellStyle name="Обычный 3 2 3 2" xfId="8"/>
    <cellStyle name="Обычный 3 2 3 2 2" xfId="3"/>
    <cellStyle name="Обычный 3 2 3 2 2 2" xfId="10"/>
    <cellStyle name="Обычный 3 2 3 2 2 3" xfId="7"/>
    <cellStyle name="Обычный 3 2 3 3" xfId="5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02"/>
  <sheetViews>
    <sheetView tabSelected="1" zoomScaleNormal="100" workbookViewId="0">
      <selection activeCell="B53" sqref="B53"/>
    </sheetView>
  </sheetViews>
  <sheetFormatPr defaultRowHeight="16.5" x14ac:dyDescent="0.3"/>
  <cols>
    <col min="1" max="1" width="7.7109375" customWidth="1"/>
    <col min="2" max="2" width="72.7109375" customWidth="1"/>
    <col min="3" max="3" width="21.7109375" customWidth="1"/>
    <col min="4" max="4" width="16.5703125" customWidth="1"/>
    <col min="5" max="5" width="8" customWidth="1"/>
    <col min="6" max="6" width="7.42578125" customWidth="1"/>
    <col min="7" max="7" width="16.85546875" style="10" customWidth="1"/>
    <col min="8" max="8" width="15" customWidth="1"/>
    <col min="9" max="9" width="10.140625" customWidth="1"/>
    <col min="10" max="10" width="8.85546875" style="7" customWidth="1"/>
    <col min="11" max="11" width="9.570312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5</v>
      </c>
      <c r="E1" s="2" t="s">
        <v>3</v>
      </c>
      <c r="F1" s="2" t="s">
        <v>4</v>
      </c>
      <c r="G1" s="27" t="s">
        <v>137</v>
      </c>
      <c r="H1" s="8" t="s">
        <v>138</v>
      </c>
    </row>
    <row r="2" spans="1:8" s="1" customFormat="1" x14ac:dyDescent="0.25">
      <c r="A2" s="2">
        <v>1</v>
      </c>
      <c r="B2" s="2">
        <v>2</v>
      </c>
      <c r="C2" s="2">
        <v>3</v>
      </c>
      <c r="D2" s="2">
        <v>4</v>
      </c>
      <c r="E2" s="2">
        <v>5</v>
      </c>
      <c r="F2" s="2">
        <v>6</v>
      </c>
      <c r="G2" s="27">
        <v>7</v>
      </c>
      <c r="H2" s="27">
        <v>8</v>
      </c>
    </row>
    <row r="3" spans="1:8" s="1" customFormat="1" x14ac:dyDescent="0.25">
      <c r="A3" s="2">
        <v>1</v>
      </c>
      <c r="B3" s="11" t="s">
        <v>6</v>
      </c>
      <c r="C3" s="12"/>
      <c r="D3" s="12"/>
      <c r="E3" s="12"/>
      <c r="F3" s="12">
        <v>1</v>
      </c>
      <c r="G3" s="28"/>
      <c r="H3" s="29"/>
    </row>
    <row r="4" spans="1:8" s="1" customFormat="1" x14ac:dyDescent="0.25">
      <c r="A4" s="2"/>
      <c r="B4" s="4" t="s">
        <v>7</v>
      </c>
      <c r="C4" s="2" t="s">
        <v>8</v>
      </c>
      <c r="D4" s="2" t="s">
        <v>9</v>
      </c>
      <c r="E4" s="2" t="s">
        <v>10</v>
      </c>
      <c r="F4" s="2">
        <v>3</v>
      </c>
      <c r="G4" s="30">
        <v>13336.66</v>
      </c>
      <c r="H4" s="27">
        <f>G4*F4</f>
        <v>40009.979999999996</v>
      </c>
    </row>
    <row r="5" spans="1:8" s="1" customFormat="1" x14ac:dyDescent="0.25">
      <c r="A5" s="2"/>
      <c r="B5" s="4" t="s">
        <v>34</v>
      </c>
      <c r="C5" s="2" t="s">
        <v>33</v>
      </c>
      <c r="D5" s="2" t="s">
        <v>9</v>
      </c>
      <c r="E5" s="2" t="s">
        <v>10</v>
      </c>
      <c r="F5" s="2">
        <v>2</v>
      </c>
      <c r="G5" s="30">
        <v>34945.07</v>
      </c>
      <c r="H5" s="27">
        <f t="shared" ref="H5:H39" si="0">G5*F5</f>
        <v>69890.14</v>
      </c>
    </row>
    <row r="6" spans="1:8" s="1" customFormat="1" x14ac:dyDescent="0.25">
      <c r="A6" s="2"/>
      <c r="B6" s="4" t="s">
        <v>11</v>
      </c>
      <c r="C6" s="2" t="s">
        <v>12</v>
      </c>
      <c r="D6" s="2" t="s">
        <v>9</v>
      </c>
      <c r="E6" s="2" t="s">
        <v>10</v>
      </c>
      <c r="F6" s="2">
        <v>1</v>
      </c>
      <c r="G6" s="30">
        <v>31500.62</v>
      </c>
      <c r="H6" s="27">
        <f t="shared" si="0"/>
        <v>31500.62</v>
      </c>
    </row>
    <row r="7" spans="1:8" s="1" customFormat="1" x14ac:dyDescent="0.25">
      <c r="A7" s="8"/>
      <c r="B7" s="4" t="s">
        <v>36</v>
      </c>
      <c r="C7" s="2" t="s">
        <v>35</v>
      </c>
      <c r="D7" s="2" t="s">
        <v>9</v>
      </c>
      <c r="E7" s="2" t="s">
        <v>10</v>
      </c>
      <c r="F7" s="2">
        <v>4</v>
      </c>
      <c r="G7" s="30">
        <v>25451.62</v>
      </c>
      <c r="H7" s="27">
        <f t="shared" si="0"/>
        <v>101806.48</v>
      </c>
    </row>
    <row r="8" spans="1:8" s="1" customFormat="1" x14ac:dyDescent="0.25">
      <c r="A8" s="2"/>
      <c r="B8" s="4" t="s">
        <v>14</v>
      </c>
      <c r="C8" s="2" t="s">
        <v>13</v>
      </c>
      <c r="D8" s="2" t="s">
        <v>9</v>
      </c>
      <c r="E8" s="2" t="s">
        <v>10</v>
      </c>
      <c r="F8" s="2">
        <v>2</v>
      </c>
      <c r="G8" s="30">
        <v>20219.900000000001</v>
      </c>
      <c r="H8" s="27">
        <f t="shared" si="0"/>
        <v>40439.800000000003</v>
      </c>
    </row>
    <row r="9" spans="1:8" s="1" customFormat="1" x14ac:dyDescent="0.25">
      <c r="A9" s="2"/>
      <c r="B9" s="4" t="s">
        <v>15</v>
      </c>
      <c r="C9" s="2" t="s">
        <v>16</v>
      </c>
      <c r="D9" s="2" t="s">
        <v>9</v>
      </c>
      <c r="E9" s="2" t="s">
        <v>10</v>
      </c>
      <c r="F9" s="2">
        <v>1</v>
      </c>
      <c r="G9" s="30">
        <v>16230.47</v>
      </c>
      <c r="H9" s="27">
        <f t="shared" si="0"/>
        <v>16230.47</v>
      </c>
    </row>
    <row r="10" spans="1:8" s="1" customFormat="1" x14ac:dyDescent="0.25">
      <c r="A10" s="5"/>
      <c r="B10" s="4" t="s">
        <v>17</v>
      </c>
      <c r="C10" s="2" t="s">
        <v>18</v>
      </c>
      <c r="D10" s="2" t="s">
        <v>9</v>
      </c>
      <c r="E10" s="2" t="s">
        <v>10</v>
      </c>
      <c r="F10" s="2">
        <v>2</v>
      </c>
      <c r="G10" s="30">
        <v>13856.99</v>
      </c>
      <c r="H10" s="27">
        <f t="shared" si="0"/>
        <v>27713.98</v>
      </c>
    </row>
    <row r="11" spans="1:8" s="1" customFormat="1" x14ac:dyDescent="0.25">
      <c r="A11" s="8"/>
      <c r="B11" s="4" t="s">
        <v>37</v>
      </c>
      <c r="C11" s="2" t="s">
        <v>38</v>
      </c>
      <c r="D11" s="2" t="s">
        <v>9</v>
      </c>
      <c r="E11" s="2" t="s">
        <v>10</v>
      </c>
      <c r="F11" s="2">
        <v>4</v>
      </c>
      <c r="G11" s="30">
        <v>17472.740000000002</v>
      </c>
      <c r="H11" s="27">
        <f t="shared" si="0"/>
        <v>69890.960000000006</v>
      </c>
    </row>
    <row r="12" spans="1:8" s="1" customFormat="1" x14ac:dyDescent="0.25">
      <c r="A12" s="5"/>
      <c r="B12" s="4" t="s">
        <v>19</v>
      </c>
      <c r="C12" s="2" t="s">
        <v>20</v>
      </c>
      <c r="D12" s="2" t="s">
        <v>9</v>
      </c>
      <c r="E12" s="2" t="s">
        <v>10</v>
      </c>
      <c r="F12" s="2">
        <v>3</v>
      </c>
      <c r="G12" s="30">
        <v>8312.18</v>
      </c>
      <c r="H12" s="27">
        <f t="shared" si="0"/>
        <v>24936.54</v>
      </c>
    </row>
    <row r="13" spans="1:8" s="1" customFormat="1" x14ac:dyDescent="0.25">
      <c r="A13" s="5"/>
      <c r="B13" s="4" t="s">
        <v>21</v>
      </c>
      <c r="C13" s="2" t="s">
        <v>22</v>
      </c>
      <c r="D13" s="2" t="s">
        <v>9</v>
      </c>
      <c r="E13" s="2" t="s">
        <v>10</v>
      </c>
      <c r="F13" s="2">
        <v>4</v>
      </c>
      <c r="G13" s="30">
        <v>4050.05</v>
      </c>
      <c r="H13" s="27">
        <f t="shared" si="0"/>
        <v>16200.2</v>
      </c>
    </row>
    <row r="14" spans="1:8" s="1" customFormat="1" x14ac:dyDescent="0.25">
      <c r="A14" s="8"/>
      <c r="B14" s="4" t="s">
        <v>39</v>
      </c>
      <c r="C14" s="2" t="s">
        <v>40</v>
      </c>
      <c r="D14" s="2" t="s">
        <v>9</v>
      </c>
      <c r="E14" s="2" t="s">
        <v>10</v>
      </c>
      <c r="F14" s="2">
        <v>2</v>
      </c>
      <c r="G14" s="30">
        <v>5666.02</v>
      </c>
      <c r="H14" s="27">
        <f t="shared" si="0"/>
        <v>11332.04</v>
      </c>
    </row>
    <row r="15" spans="1:8" s="1" customFormat="1" x14ac:dyDescent="0.25">
      <c r="A15" s="2"/>
      <c r="B15" s="4" t="s">
        <v>23</v>
      </c>
      <c r="C15" s="2" t="s">
        <v>24</v>
      </c>
      <c r="D15" s="2" t="s">
        <v>9</v>
      </c>
      <c r="E15" s="2" t="s">
        <v>10</v>
      </c>
      <c r="F15" s="2">
        <v>1</v>
      </c>
      <c r="G15" s="30">
        <v>7881.08</v>
      </c>
      <c r="H15" s="27">
        <f t="shared" si="0"/>
        <v>7881.08</v>
      </c>
    </row>
    <row r="16" spans="1:8" s="1" customFormat="1" x14ac:dyDescent="0.25">
      <c r="A16" s="15"/>
      <c r="B16" s="13" t="s">
        <v>41</v>
      </c>
      <c r="C16" s="3" t="s">
        <v>42</v>
      </c>
      <c r="D16" s="3" t="s">
        <v>9</v>
      </c>
      <c r="E16" s="3" t="s">
        <v>10</v>
      </c>
      <c r="F16" s="3">
        <v>4</v>
      </c>
      <c r="G16" s="30">
        <v>2625.96</v>
      </c>
      <c r="H16" s="27">
        <f t="shared" si="0"/>
        <v>10503.84</v>
      </c>
    </row>
    <row r="17" spans="1:8" s="1" customFormat="1" x14ac:dyDescent="0.25">
      <c r="A17" s="2"/>
      <c r="B17" s="4" t="s">
        <v>25</v>
      </c>
      <c r="C17" s="2" t="s">
        <v>26</v>
      </c>
      <c r="D17" s="2" t="s">
        <v>9</v>
      </c>
      <c r="E17" s="2" t="s">
        <v>10</v>
      </c>
      <c r="F17" s="2">
        <v>2</v>
      </c>
      <c r="G17" s="30">
        <v>2423.9699999999998</v>
      </c>
      <c r="H17" s="27">
        <f t="shared" si="0"/>
        <v>4847.9399999999996</v>
      </c>
    </row>
    <row r="18" spans="1:8" s="1" customFormat="1" x14ac:dyDescent="0.25">
      <c r="A18" s="2"/>
      <c r="B18" s="4" t="s">
        <v>27</v>
      </c>
      <c r="C18" s="2" t="s">
        <v>28</v>
      </c>
      <c r="D18" s="2" t="s">
        <v>9</v>
      </c>
      <c r="E18" s="2" t="s">
        <v>10</v>
      </c>
      <c r="F18" s="2">
        <v>3</v>
      </c>
      <c r="G18" s="30">
        <v>1368.58</v>
      </c>
      <c r="H18" s="27">
        <f t="shared" si="0"/>
        <v>4105.74</v>
      </c>
    </row>
    <row r="19" spans="1:8" s="1" customFormat="1" x14ac:dyDescent="0.25">
      <c r="A19" s="2"/>
      <c r="B19" s="4" t="s">
        <v>29</v>
      </c>
      <c r="C19" s="2" t="s">
        <v>30</v>
      </c>
      <c r="D19" s="2" t="s">
        <v>9</v>
      </c>
      <c r="E19" s="2" t="s">
        <v>10</v>
      </c>
      <c r="F19" s="2">
        <v>6</v>
      </c>
      <c r="G19" s="30">
        <v>5070.55</v>
      </c>
      <c r="H19" s="27">
        <f t="shared" si="0"/>
        <v>30423.300000000003</v>
      </c>
    </row>
    <row r="20" spans="1:8" s="1" customFormat="1" ht="33" x14ac:dyDescent="0.25">
      <c r="A20" s="18"/>
      <c r="B20" s="6" t="s">
        <v>31</v>
      </c>
      <c r="C20" s="18" t="s">
        <v>32</v>
      </c>
      <c r="D20" s="18" t="s">
        <v>9</v>
      </c>
      <c r="E20" s="18" t="s">
        <v>10</v>
      </c>
      <c r="F20" s="18">
        <v>6</v>
      </c>
      <c r="G20" s="30">
        <v>1545.28</v>
      </c>
      <c r="H20" s="27">
        <f t="shared" si="0"/>
        <v>9271.68</v>
      </c>
    </row>
    <row r="21" spans="1:8" s="1" customFormat="1" x14ac:dyDescent="0.25">
      <c r="A21" s="8"/>
      <c r="B21" s="4" t="s">
        <v>96</v>
      </c>
      <c r="C21" s="2" t="s">
        <v>97</v>
      </c>
      <c r="D21" s="2" t="s">
        <v>9</v>
      </c>
      <c r="E21" s="2" t="s">
        <v>10</v>
      </c>
      <c r="F21" s="2">
        <v>1</v>
      </c>
      <c r="G21" s="30">
        <v>4848.87</v>
      </c>
      <c r="H21" s="27">
        <f t="shared" si="0"/>
        <v>4848.87</v>
      </c>
    </row>
    <row r="22" spans="1:8" s="1" customFormat="1" x14ac:dyDescent="0.25">
      <c r="A22" s="8"/>
      <c r="B22" s="4" t="s">
        <v>98</v>
      </c>
      <c r="C22" s="2" t="s">
        <v>99</v>
      </c>
      <c r="D22" s="2" t="s">
        <v>9</v>
      </c>
      <c r="E22" s="2" t="s">
        <v>10</v>
      </c>
      <c r="F22" s="2">
        <v>1</v>
      </c>
      <c r="G22" s="30">
        <v>26355.73</v>
      </c>
      <c r="H22" s="27">
        <f t="shared" si="0"/>
        <v>26355.73</v>
      </c>
    </row>
    <row r="23" spans="1:8" s="1" customFormat="1" ht="33" x14ac:dyDescent="0.25">
      <c r="A23" s="19"/>
      <c r="B23" s="6" t="s">
        <v>101</v>
      </c>
      <c r="C23" s="18" t="s">
        <v>100</v>
      </c>
      <c r="D23" s="18" t="s">
        <v>9</v>
      </c>
      <c r="E23" s="18" t="s">
        <v>10</v>
      </c>
      <c r="F23" s="18">
        <v>6</v>
      </c>
      <c r="G23" s="30">
        <v>1524.03</v>
      </c>
      <c r="H23" s="27">
        <f t="shared" si="0"/>
        <v>9144.18</v>
      </c>
    </row>
    <row r="24" spans="1:8" s="1" customFormat="1" x14ac:dyDescent="0.25">
      <c r="A24" s="16"/>
      <c r="B24" s="13" t="s">
        <v>45</v>
      </c>
      <c r="C24" s="3" t="s">
        <v>43</v>
      </c>
      <c r="D24" s="3" t="s">
        <v>44</v>
      </c>
      <c r="E24" s="3" t="s">
        <v>10</v>
      </c>
      <c r="F24" s="3">
        <v>6</v>
      </c>
      <c r="G24" s="30">
        <v>430.07</v>
      </c>
      <c r="H24" s="27">
        <f t="shared" si="0"/>
        <v>2580.42</v>
      </c>
    </row>
    <row r="25" spans="1:8" s="1" customFormat="1" x14ac:dyDescent="0.25">
      <c r="A25" s="16"/>
      <c r="B25" s="13" t="s">
        <v>130</v>
      </c>
      <c r="C25" s="3" t="s">
        <v>129</v>
      </c>
      <c r="D25" s="26" t="s">
        <v>44</v>
      </c>
      <c r="E25" s="3" t="s">
        <v>10</v>
      </c>
      <c r="F25" s="3">
        <v>1</v>
      </c>
      <c r="G25" s="30">
        <v>1176.69</v>
      </c>
      <c r="H25" s="27">
        <f t="shared" si="0"/>
        <v>1176.69</v>
      </c>
    </row>
    <row r="26" spans="1:8" s="1" customFormat="1" x14ac:dyDescent="0.25">
      <c r="A26" s="16"/>
      <c r="B26" s="13" t="s">
        <v>131</v>
      </c>
      <c r="C26" s="3" t="s">
        <v>132</v>
      </c>
      <c r="D26" s="26" t="s">
        <v>44</v>
      </c>
      <c r="E26" s="3" t="s">
        <v>10</v>
      </c>
      <c r="F26" s="3">
        <v>19</v>
      </c>
      <c r="G26" s="30">
        <v>213.21</v>
      </c>
      <c r="H26" s="27">
        <f t="shared" si="0"/>
        <v>4050.9900000000002</v>
      </c>
    </row>
    <row r="27" spans="1:8" s="1" customFormat="1" x14ac:dyDescent="0.25">
      <c r="A27" s="16"/>
      <c r="B27" s="13" t="s">
        <v>47</v>
      </c>
      <c r="C27" s="3" t="s">
        <v>46</v>
      </c>
      <c r="D27" s="3" t="s">
        <v>9</v>
      </c>
      <c r="E27" s="3" t="s">
        <v>10</v>
      </c>
      <c r="F27" s="3">
        <v>6</v>
      </c>
      <c r="G27" s="30">
        <v>5564.85</v>
      </c>
      <c r="H27" s="27">
        <f t="shared" si="0"/>
        <v>33389.100000000006</v>
      </c>
    </row>
    <row r="28" spans="1:8" s="1" customFormat="1" ht="23.25" customHeight="1" x14ac:dyDescent="0.25">
      <c r="A28" s="16"/>
      <c r="B28" s="13" t="s">
        <v>49</v>
      </c>
      <c r="C28" s="3" t="s">
        <v>48</v>
      </c>
      <c r="D28" s="3" t="s">
        <v>9</v>
      </c>
      <c r="E28" s="3" t="s">
        <v>10</v>
      </c>
      <c r="F28" s="3">
        <v>6</v>
      </c>
      <c r="G28" s="30">
        <v>5517.97</v>
      </c>
      <c r="H28" s="27">
        <f t="shared" si="0"/>
        <v>33107.82</v>
      </c>
    </row>
    <row r="29" spans="1:8" s="1" customFormat="1" x14ac:dyDescent="0.25">
      <c r="A29" s="16"/>
      <c r="B29" s="14" t="s">
        <v>51</v>
      </c>
      <c r="C29" s="17" t="s">
        <v>50</v>
      </c>
      <c r="D29" s="3" t="s">
        <v>9</v>
      </c>
      <c r="E29" s="3" t="s">
        <v>10</v>
      </c>
      <c r="F29" s="3">
        <v>4</v>
      </c>
      <c r="G29" s="30">
        <v>20106.599999999999</v>
      </c>
      <c r="H29" s="27">
        <f t="shared" si="0"/>
        <v>80426.399999999994</v>
      </c>
    </row>
    <row r="30" spans="1:8" s="1" customFormat="1" ht="19.5" customHeight="1" x14ac:dyDescent="0.25">
      <c r="A30" s="16"/>
      <c r="B30" s="14" t="s">
        <v>53</v>
      </c>
      <c r="C30" s="3" t="s">
        <v>52</v>
      </c>
      <c r="D30" s="3" t="s">
        <v>9</v>
      </c>
      <c r="E30" s="3" t="s">
        <v>10</v>
      </c>
      <c r="F30" s="3">
        <v>4</v>
      </c>
      <c r="G30" s="30">
        <v>1151.18</v>
      </c>
      <c r="H30" s="27">
        <f t="shared" si="0"/>
        <v>4604.72</v>
      </c>
    </row>
    <row r="31" spans="1:8" s="1" customFormat="1" x14ac:dyDescent="0.25">
      <c r="A31" s="16"/>
      <c r="B31" s="13" t="s">
        <v>54</v>
      </c>
      <c r="C31" s="3" t="s">
        <v>55</v>
      </c>
      <c r="D31" s="3" t="s">
        <v>9</v>
      </c>
      <c r="E31" s="3" t="s">
        <v>10</v>
      </c>
      <c r="F31" s="3">
        <v>4</v>
      </c>
      <c r="G31" s="30">
        <v>5365.01</v>
      </c>
      <c r="H31" s="27">
        <f t="shared" si="0"/>
        <v>21460.04</v>
      </c>
    </row>
    <row r="32" spans="1:8" s="1" customFormat="1" ht="16.5" customHeight="1" x14ac:dyDescent="0.25">
      <c r="A32" s="16"/>
      <c r="B32" s="13" t="s">
        <v>80</v>
      </c>
      <c r="C32" s="3" t="s">
        <v>81</v>
      </c>
      <c r="D32" s="3" t="s">
        <v>44</v>
      </c>
      <c r="E32" s="3" t="s">
        <v>10</v>
      </c>
      <c r="F32" s="3">
        <v>2</v>
      </c>
      <c r="G32" s="30">
        <v>306.83</v>
      </c>
      <c r="H32" s="27">
        <f t="shared" si="0"/>
        <v>613.66</v>
      </c>
    </row>
    <row r="33" spans="1:8" s="1" customFormat="1" x14ac:dyDescent="0.25">
      <c r="A33" s="16"/>
      <c r="B33" s="13" t="s">
        <v>119</v>
      </c>
      <c r="C33" s="20" t="s">
        <v>120</v>
      </c>
      <c r="D33" s="20" t="s">
        <v>116</v>
      </c>
      <c r="E33" s="3" t="s">
        <v>10</v>
      </c>
      <c r="F33" s="3">
        <v>3</v>
      </c>
      <c r="G33" s="30">
        <v>569.25</v>
      </c>
      <c r="H33" s="27">
        <f t="shared" si="0"/>
        <v>1707.75</v>
      </c>
    </row>
    <row r="34" spans="1:8" s="1" customFormat="1" x14ac:dyDescent="0.25">
      <c r="A34" s="16"/>
      <c r="B34" s="13" t="s">
        <v>142</v>
      </c>
      <c r="C34" s="26" t="s">
        <v>143</v>
      </c>
      <c r="D34" s="26" t="s">
        <v>134</v>
      </c>
      <c r="E34" s="26" t="s">
        <v>10</v>
      </c>
      <c r="F34" s="26">
        <v>1</v>
      </c>
      <c r="G34" s="30">
        <v>449</v>
      </c>
      <c r="H34" s="27">
        <f t="shared" si="0"/>
        <v>449</v>
      </c>
    </row>
    <row r="35" spans="1:8" s="1" customFormat="1" x14ac:dyDescent="0.25">
      <c r="A35" s="16"/>
      <c r="B35" s="13" t="s">
        <v>135</v>
      </c>
      <c r="C35" s="26" t="s">
        <v>136</v>
      </c>
      <c r="D35" s="26" t="s">
        <v>44</v>
      </c>
      <c r="E35" s="26" t="s">
        <v>10</v>
      </c>
      <c r="F35" s="26">
        <v>1</v>
      </c>
      <c r="G35" s="30">
        <v>127.71</v>
      </c>
      <c r="H35" s="27">
        <f t="shared" si="0"/>
        <v>127.71</v>
      </c>
    </row>
    <row r="36" spans="1:8" s="1" customFormat="1" x14ac:dyDescent="0.25">
      <c r="A36" s="16"/>
      <c r="B36" s="14" t="s">
        <v>56</v>
      </c>
      <c r="C36" s="3" t="s">
        <v>57</v>
      </c>
      <c r="D36" s="3" t="s">
        <v>9</v>
      </c>
      <c r="E36" s="3" t="s">
        <v>10</v>
      </c>
      <c r="F36" s="3">
        <v>2</v>
      </c>
      <c r="G36" s="30">
        <v>7555.21</v>
      </c>
      <c r="H36" s="27">
        <f t="shared" si="0"/>
        <v>15110.42</v>
      </c>
    </row>
    <row r="37" spans="1:8" s="1" customFormat="1" x14ac:dyDescent="0.25">
      <c r="A37" s="16"/>
      <c r="B37" s="21" t="s">
        <v>144</v>
      </c>
      <c r="C37" s="26" t="s">
        <v>145</v>
      </c>
      <c r="D37" s="26" t="s">
        <v>9</v>
      </c>
      <c r="E37" s="26" t="s">
        <v>10</v>
      </c>
      <c r="F37" s="26">
        <v>1</v>
      </c>
      <c r="G37" s="30">
        <v>1043.51</v>
      </c>
      <c r="H37" s="27">
        <f>G37*F37</f>
        <v>1043.51</v>
      </c>
    </row>
    <row r="38" spans="1:8" s="1" customFormat="1" x14ac:dyDescent="0.25">
      <c r="A38" s="16"/>
      <c r="B38" s="14" t="s">
        <v>71</v>
      </c>
      <c r="C38" s="3" t="s">
        <v>70</v>
      </c>
      <c r="D38" s="3" t="s">
        <v>9</v>
      </c>
      <c r="E38" s="3" t="s">
        <v>10</v>
      </c>
      <c r="F38" s="3">
        <v>1</v>
      </c>
      <c r="G38" s="30">
        <v>1043.51</v>
      </c>
      <c r="H38" s="27">
        <f t="shared" si="0"/>
        <v>1043.51</v>
      </c>
    </row>
    <row r="39" spans="1:8" s="1" customFormat="1" x14ac:dyDescent="0.25">
      <c r="A39" s="16"/>
      <c r="B39" s="13" t="s">
        <v>72</v>
      </c>
      <c r="C39" s="3" t="s">
        <v>73</v>
      </c>
      <c r="D39" s="3" t="s">
        <v>74</v>
      </c>
      <c r="E39" s="3" t="s">
        <v>10</v>
      </c>
      <c r="F39" s="3">
        <v>1</v>
      </c>
      <c r="G39" s="30">
        <v>66578.33</v>
      </c>
      <c r="H39" s="27">
        <f t="shared" si="0"/>
        <v>66578.33</v>
      </c>
    </row>
    <row r="40" spans="1:8" s="1" customFormat="1" ht="15.75" customHeight="1" x14ac:dyDescent="0.25">
      <c r="A40" s="16"/>
      <c r="B40" s="13" t="s">
        <v>109</v>
      </c>
      <c r="C40" s="3" t="s">
        <v>108</v>
      </c>
      <c r="D40" s="3" t="s">
        <v>58</v>
      </c>
      <c r="E40" s="3" t="s">
        <v>10</v>
      </c>
      <c r="F40" s="3">
        <v>6</v>
      </c>
      <c r="G40" s="31"/>
      <c r="H40" s="8"/>
    </row>
    <row r="41" spans="1:8" s="1" customFormat="1" x14ac:dyDescent="0.25">
      <c r="A41" s="16"/>
      <c r="B41" s="13" t="s">
        <v>110</v>
      </c>
      <c r="C41" s="3" t="s">
        <v>111</v>
      </c>
      <c r="D41" s="3" t="s">
        <v>58</v>
      </c>
      <c r="E41" s="3" t="s">
        <v>10</v>
      </c>
      <c r="F41" s="3">
        <v>6</v>
      </c>
      <c r="G41" s="31"/>
      <c r="H41" s="8"/>
    </row>
    <row r="42" spans="1:8" s="1" customFormat="1" x14ac:dyDescent="0.25">
      <c r="A42" s="16"/>
      <c r="B42" s="13" t="s">
        <v>106</v>
      </c>
      <c r="C42" s="3" t="s">
        <v>107</v>
      </c>
      <c r="D42" s="3" t="s">
        <v>58</v>
      </c>
      <c r="E42" s="3" t="s">
        <v>10</v>
      </c>
      <c r="F42" s="3">
        <v>1</v>
      </c>
      <c r="G42" s="31"/>
      <c r="H42" s="8"/>
    </row>
    <row r="43" spans="1:8" s="1" customFormat="1" x14ac:dyDescent="0.25">
      <c r="A43" s="16"/>
      <c r="B43" s="13" t="s">
        <v>106</v>
      </c>
      <c r="C43" s="3" t="s">
        <v>105</v>
      </c>
      <c r="D43" s="3" t="s">
        <v>58</v>
      </c>
      <c r="E43" s="3" t="s">
        <v>10</v>
      </c>
      <c r="F43" s="3">
        <v>1</v>
      </c>
      <c r="G43" s="31"/>
      <c r="H43" s="8"/>
    </row>
    <row r="44" spans="1:8" s="1" customFormat="1" x14ac:dyDescent="0.25">
      <c r="A44" s="16"/>
      <c r="B44" s="13" t="s">
        <v>139</v>
      </c>
      <c r="C44" s="26" t="s">
        <v>140</v>
      </c>
      <c r="D44" s="26" t="s">
        <v>58</v>
      </c>
      <c r="E44" s="26" t="s">
        <v>10</v>
      </c>
      <c r="F44" s="26">
        <v>22</v>
      </c>
      <c r="G44" s="31"/>
      <c r="H44" s="8"/>
    </row>
    <row r="45" spans="1:8" s="1" customFormat="1" x14ac:dyDescent="0.25">
      <c r="A45" s="16"/>
      <c r="B45" s="13" t="s">
        <v>139</v>
      </c>
      <c r="C45" s="26" t="s">
        <v>141</v>
      </c>
      <c r="D45" s="26" t="s">
        <v>58</v>
      </c>
      <c r="E45" s="26" t="s">
        <v>10</v>
      </c>
      <c r="F45" s="26">
        <v>17</v>
      </c>
      <c r="G45" s="31"/>
      <c r="H45" s="8"/>
    </row>
    <row r="46" spans="1:8" s="1" customFormat="1" x14ac:dyDescent="0.25">
      <c r="A46" s="16"/>
      <c r="B46" s="13" t="s">
        <v>114</v>
      </c>
      <c r="C46" s="3" t="s">
        <v>115</v>
      </c>
      <c r="D46" s="3" t="s">
        <v>77</v>
      </c>
      <c r="E46" s="3" t="s">
        <v>10</v>
      </c>
      <c r="F46" s="3">
        <v>1</v>
      </c>
      <c r="G46" s="30">
        <v>1091.67</v>
      </c>
      <c r="H46" s="27">
        <f>G46*F46</f>
        <v>1091.67</v>
      </c>
    </row>
    <row r="47" spans="1:8" s="1" customFormat="1" x14ac:dyDescent="0.25">
      <c r="A47" s="16"/>
      <c r="B47" s="13" t="s">
        <v>76</v>
      </c>
      <c r="C47" s="3" t="s">
        <v>75</v>
      </c>
      <c r="D47" s="3" t="s">
        <v>77</v>
      </c>
      <c r="E47" s="3" t="s">
        <v>10</v>
      </c>
      <c r="F47" s="3">
        <v>1</v>
      </c>
      <c r="G47" s="30">
        <v>56066.67</v>
      </c>
      <c r="H47" s="27">
        <f>G47*F47</f>
        <v>56066.67</v>
      </c>
    </row>
    <row r="48" spans="1:8" s="1" customFormat="1" ht="16.149999999999999" customHeight="1" x14ac:dyDescent="0.25">
      <c r="A48" s="16"/>
      <c r="B48" s="13" t="s">
        <v>102</v>
      </c>
      <c r="C48" s="3"/>
      <c r="D48" s="3" t="s">
        <v>77</v>
      </c>
      <c r="E48" s="3" t="s">
        <v>10</v>
      </c>
      <c r="F48" s="3">
        <v>3</v>
      </c>
      <c r="G48" s="31"/>
      <c r="H48" s="15"/>
    </row>
    <row r="49" spans="1:8" s="1" customFormat="1" x14ac:dyDescent="0.25">
      <c r="A49" s="16"/>
      <c r="B49" s="13" t="s">
        <v>78</v>
      </c>
      <c r="C49" s="3" t="s">
        <v>79</v>
      </c>
      <c r="D49" s="3" t="s">
        <v>77</v>
      </c>
      <c r="E49" s="3" t="s">
        <v>10</v>
      </c>
      <c r="F49" s="3">
        <v>1</v>
      </c>
      <c r="G49" s="30">
        <v>34533.33</v>
      </c>
      <c r="H49" s="27">
        <f>G49*F49</f>
        <v>34533.33</v>
      </c>
    </row>
    <row r="50" spans="1:8" s="1" customFormat="1" x14ac:dyDescent="0.25">
      <c r="A50" s="16"/>
      <c r="B50" s="13" t="s">
        <v>59</v>
      </c>
      <c r="C50" s="3" t="s">
        <v>60</v>
      </c>
      <c r="D50" s="3" t="s">
        <v>58</v>
      </c>
      <c r="E50" s="3" t="s">
        <v>10</v>
      </c>
      <c r="F50" s="3">
        <v>1</v>
      </c>
      <c r="G50" s="31"/>
      <c r="H50" s="8"/>
    </row>
    <row r="51" spans="1:8" s="1" customFormat="1" x14ac:dyDescent="0.25">
      <c r="A51" s="16"/>
      <c r="B51" s="13" t="s">
        <v>61</v>
      </c>
      <c r="C51" s="3" t="s">
        <v>62</v>
      </c>
      <c r="D51" s="3" t="s">
        <v>58</v>
      </c>
      <c r="E51" s="3" t="s">
        <v>10</v>
      </c>
      <c r="F51" s="3">
        <v>2</v>
      </c>
      <c r="G51" s="31"/>
      <c r="H51" s="8"/>
    </row>
    <row r="52" spans="1:8" s="1" customFormat="1" x14ac:dyDescent="0.25">
      <c r="A52" s="16"/>
      <c r="B52" s="13" t="s">
        <v>63</v>
      </c>
      <c r="C52" s="3" t="s">
        <v>64</v>
      </c>
      <c r="D52" s="3" t="s">
        <v>58</v>
      </c>
      <c r="E52" s="3" t="s">
        <v>10</v>
      </c>
      <c r="F52" s="3">
        <v>2</v>
      </c>
      <c r="G52" s="31"/>
      <c r="H52" s="8"/>
    </row>
    <row r="53" spans="1:8" s="1" customFormat="1" x14ac:dyDescent="0.25">
      <c r="A53" s="16"/>
      <c r="B53" s="13" t="s">
        <v>150</v>
      </c>
      <c r="C53" s="26" t="s">
        <v>151</v>
      </c>
      <c r="D53" s="25" t="s">
        <v>9</v>
      </c>
      <c r="E53" s="26" t="s">
        <v>10</v>
      </c>
      <c r="F53" s="34">
        <v>4</v>
      </c>
      <c r="G53" s="35">
        <v>5076.8999999999996</v>
      </c>
      <c r="H53" s="36">
        <f t="shared" ref="H53:H54" si="1">G53*F53</f>
        <v>20307.599999999999</v>
      </c>
    </row>
    <row r="54" spans="1:8" s="1" customFormat="1" x14ac:dyDescent="0.25">
      <c r="A54" s="16"/>
      <c r="B54" s="13" t="s">
        <v>63</v>
      </c>
      <c r="C54" s="25" t="s">
        <v>152</v>
      </c>
      <c r="D54" s="25" t="s">
        <v>9</v>
      </c>
      <c r="E54" s="26" t="s">
        <v>10</v>
      </c>
      <c r="F54" s="34">
        <v>1</v>
      </c>
      <c r="G54" s="30">
        <v>106619.48</v>
      </c>
      <c r="H54" s="27">
        <f t="shared" si="1"/>
        <v>106619.48</v>
      </c>
    </row>
    <row r="55" spans="1:8" s="1" customFormat="1" x14ac:dyDescent="0.25">
      <c r="A55" s="16"/>
      <c r="B55" s="13" t="s">
        <v>148</v>
      </c>
      <c r="C55" s="26" t="s">
        <v>149</v>
      </c>
      <c r="D55" s="26" t="s">
        <v>58</v>
      </c>
      <c r="E55" s="26" t="s">
        <v>10</v>
      </c>
      <c r="F55" s="34">
        <v>4</v>
      </c>
      <c r="G55" s="35"/>
      <c r="H55" s="36">
        <f t="shared" ref="H55" si="2">G55*F55</f>
        <v>0</v>
      </c>
    </row>
    <row r="56" spans="1:8" s="1" customFormat="1" x14ac:dyDescent="0.25">
      <c r="A56" s="16"/>
      <c r="B56" s="13" t="s">
        <v>65</v>
      </c>
      <c r="C56" s="3" t="s">
        <v>66</v>
      </c>
      <c r="D56" s="3" t="s">
        <v>58</v>
      </c>
      <c r="E56" s="3" t="s">
        <v>10</v>
      </c>
      <c r="F56" s="3">
        <v>1</v>
      </c>
      <c r="G56" s="31"/>
      <c r="H56" s="8"/>
    </row>
    <row r="57" spans="1:8" s="1" customFormat="1" x14ac:dyDescent="0.25">
      <c r="A57" s="16"/>
      <c r="B57" s="13" t="s">
        <v>147</v>
      </c>
      <c r="C57" s="3" t="s">
        <v>68</v>
      </c>
      <c r="D57" s="3" t="s">
        <v>58</v>
      </c>
      <c r="E57" s="3" t="s">
        <v>10</v>
      </c>
      <c r="F57" s="3">
        <v>12</v>
      </c>
      <c r="G57" s="31"/>
      <c r="H57" s="8"/>
    </row>
    <row r="58" spans="1:8" s="1" customFormat="1" x14ac:dyDescent="0.25">
      <c r="A58" s="16"/>
      <c r="B58" s="13" t="s">
        <v>67</v>
      </c>
      <c r="C58" s="3" t="s">
        <v>69</v>
      </c>
      <c r="D58" s="3" t="s">
        <v>58</v>
      </c>
      <c r="E58" s="3" t="s">
        <v>10</v>
      </c>
      <c r="F58" s="3">
        <v>6</v>
      </c>
      <c r="G58" s="31"/>
      <c r="H58" s="8"/>
    </row>
    <row r="59" spans="1:8" s="1" customFormat="1" x14ac:dyDescent="0.25">
      <c r="A59" s="16"/>
      <c r="B59" s="13" t="s">
        <v>104</v>
      </c>
      <c r="C59" s="3" t="s">
        <v>103</v>
      </c>
      <c r="D59" s="3" t="s">
        <v>58</v>
      </c>
      <c r="E59" s="3" t="s">
        <v>10</v>
      </c>
      <c r="F59" s="3">
        <v>21</v>
      </c>
      <c r="G59" s="31"/>
      <c r="H59" s="8"/>
    </row>
    <row r="60" spans="1:8" s="1" customFormat="1" x14ac:dyDescent="0.25">
      <c r="A60" s="16"/>
      <c r="B60" s="13" t="s">
        <v>82</v>
      </c>
      <c r="C60" s="3" t="s">
        <v>83</v>
      </c>
      <c r="D60" s="3" t="s">
        <v>58</v>
      </c>
      <c r="E60" s="3" t="s">
        <v>10</v>
      </c>
      <c r="F60" s="3">
        <v>5</v>
      </c>
      <c r="G60" s="31"/>
      <c r="H60" s="8"/>
    </row>
    <row r="61" spans="1:8" s="1" customFormat="1" x14ac:dyDescent="0.25">
      <c r="A61" s="16"/>
      <c r="B61" s="13" t="s">
        <v>84</v>
      </c>
      <c r="C61" s="3" t="s">
        <v>85</v>
      </c>
      <c r="D61" s="3" t="s">
        <v>58</v>
      </c>
      <c r="E61" s="3" t="s">
        <v>10</v>
      </c>
      <c r="F61" s="3">
        <v>17</v>
      </c>
      <c r="G61" s="31"/>
      <c r="H61" s="8"/>
    </row>
    <row r="62" spans="1:8" s="1" customFormat="1" x14ac:dyDescent="0.25">
      <c r="A62" s="16"/>
      <c r="B62" s="13" t="s">
        <v>86</v>
      </c>
      <c r="C62" s="3" t="s">
        <v>87</v>
      </c>
      <c r="D62" s="3" t="s">
        <v>58</v>
      </c>
      <c r="E62" s="3" t="s">
        <v>10</v>
      </c>
      <c r="F62" s="3">
        <v>12</v>
      </c>
      <c r="G62" s="31"/>
      <c r="H62" s="8"/>
    </row>
    <row r="63" spans="1:8" s="1" customFormat="1" x14ac:dyDescent="0.25">
      <c r="A63" s="16"/>
      <c r="B63" s="13" t="s">
        <v>88</v>
      </c>
      <c r="C63" s="3" t="s">
        <v>89</v>
      </c>
      <c r="D63" s="3" t="s">
        <v>58</v>
      </c>
      <c r="E63" s="3" t="s">
        <v>10</v>
      </c>
      <c r="F63" s="3">
        <v>6</v>
      </c>
      <c r="G63" s="31"/>
      <c r="H63" s="8"/>
    </row>
    <row r="64" spans="1:8" s="1" customFormat="1" ht="33" x14ac:dyDescent="0.25">
      <c r="A64" s="16"/>
      <c r="B64" s="14" t="s">
        <v>90</v>
      </c>
      <c r="C64" s="3" t="s">
        <v>91</v>
      </c>
      <c r="D64" s="3" t="s">
        <v>58</v>
      </c>
      <c r="E64" s="3" t="s">
        <v>10</v>
      </c>
      <c r="F64" s="3">
        <v>4</v>
      </c>
      <c r="G64" s="31"/>
      <c r="H64" s="8"/>
    </row>
    <row r="65" spans="1:10" s="1" customFormat="1" x14ac:dyDescent="0.25">
      <c r="A65" s="16"/>
      <c r="B65" s="14" t="s">
        <v>94</v>
      </c>
      <c r="C65" s="3" t="s">
        <v>92</v>
      </c>
      <c r="D65" s="3" t="s">
        <v>93</v>
      </c>
      <c r="E65" s="3" t="s">
        <v>10</v>
      </c>
      <c r="F65" s="3">
        <v>460</v>
      </c>
      <c r="G65" s="30">
        <v>1295</v>
      </c>
      <c r="H65" s="27">
        <f>G65*F65</f>
        <v>595700</v>
      </c>
    </row>
    <row r="66" spans="1:10" s="1" customFormat="1" x14ac:dyDescent="0.25">
      <c r="A66" s="16"/>
      <c r="B66" s="14" t="s">
        <v>95</v>
      </c>
      <c r="C66" s="3" t="s">
        <v>117</v>
      </c>
      <c r="D66" s="3" t="s">
        <v>116</v>
      </c>
      <c r="E66" s="3" t="s">
        <v>10</v>
      </c>
      <c r="F66" s="3">
        <v>1117</v>
      </c>
      <c r="G66" s="30">
        <v>37.53</v>
      </c>
      <c r="H66" s="27">
        <f>G66*F66</f>
        <v>41921.01</v>
      </c>
    </row>
    <row r="67" spans="1:10" s="1" customFormat="1" x14ac:dyDescent="0.25">
      <c r="A67" s="16"/>
      <c r="B67" s="13" t="s">
        <v>113</v>
      </c>
      <c r="C67" s="3" t="s">
        <v>112</v>
      </c>
      <c r="D67" s="3" t="s">
        <v>58</v>
      </c>
      <c r="E67" s="3" t="s">
        <v>10</v>
      </c>
      <c r="F67" s="3">
        <v>2</v>
      </c>
      <c r="G67" s="31"/>
      <c r="H67" s="8"/>
    </row>
    <row r="68" spans="1:10" s="1" customFormat="1" ht="132" x14ac:dyDescent="0.25">
      <c r="A68" s="8"/>
      <c r="B68" s="21" t="s">
        <v>118</v>
      </c>
      <c r="C68" s="21"/>
      <c r="D68" s="17" t="s">
        <v>58</v>
      </c>
      <c r="E68" s="17" t="s">
        <v>10</v>
      </c>
      <c r="F68" s="17">
        <v>2</v>
      </c>
      <c r="G68" s="31"/>
      <c r="H68" s="8"/>
    </row>
    <row r="69" spans="1:10" x14ac:dyDescent="0.25">
      <c r="A69" s="9"/>
      <c r="B69" s="23" t="s">
        <v>125</v>
      </c>
      <c r="C69" s="22" t="s">
        <v>124</v>
      </c>
      <c r="D69" s="22" t="s">
        <v>9</v>
      </c>
      <c r="E69" s="22" t="s">
        <v>121</v>
      </c>
      <c r="F69" s="22">
        <v>12</v>
      </c>
      <c r="G69" s="30">
        <v>421.49</v>
      </c>
      <c r="H69" s="27">
        <f>G69*F69</f>
        <v>5057.88</v>
      </c>
      <c r="J69"/>
    </row>
    <row r="70" spans="1:10" x14ac:dyDescent="0.25">
      <c r="A70" s="9"/>
      <c r="B70" s="23" t="s">
        <v>123</v>
      </c>
      <c r="C70" s="22" t="s">
        <v>122</v>
      </c>
      <c r="D70" s="22" t="s">
        <v>9</v>
      </c>
      <c r="E70" s="22" t="s">
        <v>121</v>
      </c>
      <c r="F70" s="22">
        <v>16</v>
      </c>
      <c r="G70" s="30">
        <v>431.7</v>
      </c>
      <c r="H70" s="27">
        <f>G70*F70</f>
        <v>6907.2</v>
      </c>
      <c r="J70"/>
    </row>
    <row r="71" spans="1:10" x14ac:dyDescent="0.25">
      <c r="A71" s="9"/>
      <c r="B71" s="24" t="s">
        <v>126</v>
      </c>
      <c r="C71" s="24"/>
      <c r="D71" s="24"/>
      <c r="E71" s="25" t="s">
        <v>121</v>
      </c>
      <c r="F71" s="25">
        <v>1000</v>
      </c>
      <c r="G71" s="30">
        <v>13</v>
      </c>
      <c r="H71" s="27">
        <f>G71*F71</f>
        <v>13000</v>
      </c>
      <c r="J71"/>
    </row>
    <row r="72" spans="1:10" x14ac:dyDescent="0.25">
      <c r="A72" s="9"/>
      <c r="B72" s="24" t="s">
        <v>127</v>
      </c>
      <c r="C72" s="24"/>
      <c r="D72" s="24"/>
      <c r="E72" s="25" t="s">
        <v>128</v>
      </c>
      <c r="F72" s="25">
        <v>200</v>
      </c>
      <c r="G72" s="30">
        <v>33.33</v>
      </c>
      <c r="H72" s="27">
        <f>G72*F72</f>
        <v>6666</v>
      </c>
      <c r="J72"/>
    </row>
    <row r="73" spans="1:10" x14ac:dyDescent="0.25">
      <c r="A73" s="25">
        <v>1</v>
      </c>
      <c r="B73" s="11" t="s">
        <v>133</v>
      </c>
      <c r="C73" s="12"/>
      <c r="D73" s="12"/>
      <c r="E73" s="12"/>
      <c r="F73" s="12">
        <v>1</v>
      </c>
      <c r="G73" s="24"/>
      <c r="H73" s="24"/>
      <c r="J73"/>
    </row>
    <row r="74" spans="1:10" x14ac:dyDescent="0.25">
      <c r="A74" s="24"/>
      <c r="B74" s="13" t="s">
        <v>67</v>
      </c>
      <c r="C74" s="26" t="s">
        <v>68</v>
      </c>
      <c r="D74" s="26" t="s">
        <v>58</v>
      </c>
      <c r="E74" s="26" t="s">
        <v>10</v>
      </c>
      <c r="F74" s="26">
        <v>2</v>
      </c>
      <c r="G74" s="32"/>
      <c r="H74" s="24"/>
      <c r="J74"/>
    </row>
    <row r="75" spans="1:10" x14ac:dyDescent="0.25">
      <c r="A75" s="24"/>
      <c r="B75" s="13" t="s">
        <v>67</v>
      </c>
      <c r="C75" s="26" t="s">
        <v>69</v>
      </c>
      <c r="D75" s="26" t="s">
        <v>58</v>
      </c>
      <c r="E75" s="26" t="s">
        <v>10</v>
      </c>
      <c r="F75" s="26">
        <v>1</v>
      </c>
      <c r="G75" s="32"/>
      <c r="H75" s="24"/>
      <c r="J75"/>
    </row>
    <row r="76" spans="1:10" x14ac:dyDescent="0.25">
      <c r="A76" s="24"/>
      <c r="B76" s="13" t="s">
        <v>84</v>
      </c>
      <c r="C76" s="26" t="s">
        <v>85</v>
      </c>
      <c r="D76" s="26" t="s">
        <v>58</v>
      </c>
      <c r="E76" s="26" t="s">
        <v>10</v>
      </c>
      <c r="F76" s="26">
        <v>2</v>
      </c>
      <c r="G76" s="32"/>
      <c r="H76" s="24"/>
      <c r="J76"/>
    </row>
    <row r="77" spans="1:10" x14ac:dyDescent="0.25">
      <c r="A77" s="24"/>
      <c r="B77" s="13" t="s">
        <v>86</v>
      </c>
      <c r="C77" s="26" t="s">
        <v>87</v>
      </c>
      <c r="D77" s="26" t="s">
        <v>58</v>
      </c>
      <c r="E77" s="26" t="s">
        <v>10</v>
      </c>
      <c r="F77" s="26">
        <v>2</v>
      </c>
      <c r="G77" s="32"/>
      <c r="H77" s="24"/>
      <c r="J77"/>
    </row>
    <row r="78" spans="1:10" x14ac:dyDescent="0.25">
      <c r="A78" s="24"/>
      <c r="B78" s="13" t="s">
        <v>88</v>
      </c>
      <c r="C78" s="26" t="s">
        <v>89</v>
      </c>
      <c r="D78" s="26" t="s">
        <v>58</v>
      </c>
      <c r="E78" s="26" t="s">
        <v>10</v>
      </c>
      <c r="F78" s="26">
        <v>1</v>
      </c>
      <c r="G78" s="32"/>
      <c r="H78" s="24"/>
      <c r="J78"/>
    </row>
    <row r="79" spans="1:10" ht="33" x14ac:dyDescent="0.25">
      <c r="A79" s="24"/>
      <c r="B79" s="21" t="s">
        <v>90</v>
      </c>
      <c r="C79" s="26" t="s">
        <v>91</v>
      </c>
      <c r="D79" s="26" t="s">
        <v>58</v>
      </c>
      <c r="E79" s="26" t="s">
        <v>10</v>
      </c>
      <c r="F79" s="26">
        <v>1</v>
      </c>
      <c r="G79" s="32"/>
      <c r="H79" s="24"/>
      <c r="J79"/>
    </row>
    <row r="80" spans="1:10" ht="15" x14ac:dyDescent="0.25">
      <c r="G80"/>
      <c r="J80"/>
    </row>
    <row r="81" spans="7:10" ht="15" x14ac:dyDescent="0.25">
      <c r="G81"/>
      <c r="J81"/>
    </row>
    <row r="82" spans="7:10" ht="15" x14ac:dyDescent="0.25">
      <c r="G82" s="33" t="s">
        <v>146</v>
      </c>
      <c r="H82" s="16">
        <f>SUM(H4:H79)</f>
        <v>1712674.4799999997</v>
      </c>
      <c r="J82"/>
    </row>
    <row r="83" spans="7:10" ht="15" x14ac:dyDescent="0.25">
      <c r="G83"/>
      <c r="J83"/>
    </row>
    <row r="84" spans="7:10" ht="15" x14ac:dyDescent="0.25">
      <c r="G84"/>
      <c r="J84"/>
    </row>
    <row r="85" spans="7:10" ht="15" x14ac:dyDescent="0.25">
      <c r="G85"/>
      <c r="J85"/>
    </row>
    <row r="86" spans="7:10" ht="15" x14ac:dyDescent="0.25">
      <c r="G86"/>
      <c r="J86"/>
    </row>
    <row r="87" spans="7:10" ht="15" x14ac:dyDescent="0.25">
      <c r="G87"/>
      <c r="J87"/>
    </row>
    <row r="88" spans="7:10" ht="15" x14ac:dyDescent="0.25">
      <c r="G88"/>
      <c r="J88"/>
    </row>
    <row r="89" spans="7:10" ht="15" x14ac:dyDescent="0.25">
      <c r="G89"/>
      <c r="J89"/>
    </row>
    <row r="90" spans="7:10" ht="15" x14ac:dyDescent="0.25">
      <c r="G90"/>
      <c r="J90"/>
    </row>
    <row r="91" spans="7:10" ht="15" x14ac:dyDescent="0.25">
      <c r="G91"/>
      <c r="J91"/>
    </row>
    <row r="92" spans="7:10" ht="15" x14ac:dyDescent="0.25">
      <c r="G92"/>
      <c r="J92"/>
    </row>
    <row r="93" spans="7:10" ht="15" x14ac:dyDescent="0.25">
      <c r="G93"/>
      <c r="J93"/>
    </row>
    <row r="94" spans="7:10" ht="15" x14ac:dyDescent="0.25">
      <c r="G94"/>
      <c r="J94"/>
    </row>
    <row r="95" spans="7:10" ht="15" x14ac:dyDescent="0.25">
      <c r="G95"/>
      <c r="J95"/>
    </row>
    <row r="96" spans="7:10" ht="15" x14ac:dyDescent="0.25">
      <c r="G96"/>
      <c r="J96"/>
    </row>
    <row r="97" spans="7:10" ht="28.15" customHeight="1" x14ac:dyDescent="0.25">
      <c r="G97"/>
      <c r="J97"/>
    </row>
    <row r="98" spans="7:10" ht="28.15" customHeight="1" x14ac:dyDescent="0.25">
      <c r="G98"/>
      <c r="J98"/>
    </row>
    <row r="99" spans="7:10" ht="15" x14ac:dyDescent="0.25">
      <c r="G99"/>
      <c r="J99"/>
    </row>
    <row r="100" spans="7:10" ht="15" x14ac:dyDescent="0.25">
      <c r="G100"/>
      <c r="J100"/>
    </row>
    <row r="101" spans="7:10" ht="15" x14ac:dyDescent="0.25">
      <c r="G101"/>
      <c r="J101"/>
    </row>
    <row r="102" spans="7:10" ht="15" x14ac:dyDescent="0.25">
      <c r="G102"/>
      <c r="J102"/>
    </row>
    <row r="103" spans="7:10" ht="15" x14ac:dyDescent="0.25">
      <c r="G103"/>
      <c r="J103"/>
    </row>
    <row r="104" spans="7:10" ht="15" x14ac:dyDescent="0.25">
      <c r="G104"/>
      <c r="J104"/>
    </row>
    <row r="105" spans="7:10" ht="15" x14ac:dyDescent="0.25">
      <c r="G105"/>
      <c r="J105"/>
    </row>
    <row r="106" spans="7:10" ht="15" x14ac:dyDescent="0.25">
      <c r="G106"/>
      <c r="J106"/>
    </row>
    <row r="107" spans="7:10" ht="15" x14ac:dyDescent="0.25">
      <c r="G107"/>
      <c r="J107"/>
    </row>
    <row r="108" spans="7:10" ht="15" x14ac:dyDescent="0.25">
      <c r="G108"/>
      <c r="J108"/>
    </row>
    <row r="109" spans="7:10" ht="15" x14ac:dyDescent="0.25">
      <c r="G109"/>
      <c r="J109"/>
    </row>
    <row r="110" spans="7:10" ht="15" x14ac:dyDescent="0.25">
      <c r="G110"/>
      <c r="J110"/>
    </row>
    <row r="111" spans="7:10" ht="15" x14ac:dyDescent="0.25">
      <c r="G111"/>
      <c r="J111"/>
    </row>
    <row r="112" spans="7:10" ht="15" x14ac:dyDescent="0.25">
      <c r="G112"/>
      <c r="J112"/>
    </row>
    <row r="113" spans="7:10" ht="15" x14ac:dyDescent="0.25">
      <c r="G113"/>
      <c r="J113"/>
    </row>
    <row r="114" spans="7:10" ht="15" x14ac:dyDescent="0.25">
      <c r="G114"/>
      <c r="J114"/>
    </row>
    <row r="115" spans="7:10" ht="15" x14ac:dyDescent="0.25">
      <c r="G115"/>
      <c r="J115"/>
    </row>
    <row r="116" spans="7:10" ht="15" x14ac:dyDescent="0.25">
      <c r="G116"/>
      <c r="J116"/>
    </row>
    <row r="117" spans="7:10" ht="15" x14ac:dyDescent="0.25">
      <c r="G117"/>
      <c r="J117"/>
    </row>
    <row r="118" spans="7:10" ht="15" x14ac:dyDescent="0.25">
      <c r="G118"/>
      <c r="J118"/>
    </row>
    <row r="119" spans="7:10" ht="15" x14ac:dyDescent="0.25">
      <c r="G119"/>
      <c r="J119"/>
    </row>
    <row r="120" spans="7:10" ht="15" x14ac:dyDescent="0.25">
      <c r="G120"/>
      <c r="J120"/>
    </row>
    <row r="121" spans="7:10" ht="15" x14ac:dyDescent="0.25">
      <c r="G121"/>
      <c r="J121"/>
    </row>
    <row r="122" spans="7:10" ht="15" x14ac:dyDescent="0.25">
      <c r="G122"/>
      <c r="J122"/>
    </row>
    <row r="123" spans="7:10" ht="15" x14ac:dyDescent="0.25">
      <c r="G123"/>
      <c r="J123"/>
    </row>
    <row r="124" spans="7:10" ht="15" x14ac:dyDescent="0.25">
      <c r="G124"/>
      <c r="J124"/>
    </row>
    <row r="125" spans="7:10" ht="15" x14ac:dyDescent="0.25">
      <c r="G125"/>
      <c r="J125"/>
    </row>
    <row r="126" spans="7:10" ht="15" x14ac:dyDescent="0.25">
      <c r="G126"/>
      <c r="J126"/>
    </row>
    <row r="127" spans="7:10" ht="15" x14ac:dyDescent="0.25">
      <c r="G127"/>
      <c r="J127"/>
    </row>
    <row r="128" spans="7:10" ht="15" x14ac:dyDescent="0.25">
      <c r="G128"/>
      <c r="J128"/>
    </row>
    <row r="129" spans="7:10" ht="15" x14ac:dyDescent="0.25">
      <c r="G129"/>
      <c r="J129"/>
    </row>
    <row r="130" spans="7:10" ht="15" x14ac:dyDescent="0.25">
      <c r="G130"/>
      <c r="J130"/>
    </row>
    <row r="131" spans="7:10" ht="15" x14ac:dyDescent="0.25">
      <c r="G131"/>
      <c r="J131"/>
    </row>
    <row r="132" spans="7:10" ht="15" x14ac:dyDescent="0.25">
      <c r="G132"/>
      <c r="J132"/>
    </row>
    <row r="133" spans="7:10" ht="15" x14ac:dyDescent="0.25">
      <c r="G133"/>
      <c r="J133"/>
    </row>
    <row r="134" spans="7:10" ht="15" x14ac:dyDescent="0.25">
      <c r="G134"/>
      <c r="J134"/>
    </row>
    <row r="135" spans="7:10" ht="15" x14ac:dyDescent="0.25">
      <c r="G135"/>
      <c r="J135"/>
    </row>
    <row r="136" spans="7:10" ht="15" x14ac:dyDescent="0.25">
      <c r="G136"/>
      <c r="J136"/>
    </row>
    <row r="137" spans="7:10" ht="15" x14ac:dyDescent="0.25">
      <c r="G137"/>
      <c r="J137"/>
    </row>
    <row r="138" spans="7:10" ht="15" x14ac:dyDescent="0.25">
      <c r="G138"/>
      <c r="J138"/>
    </row>
    <row r="139" spans="7:10" ht="15" x14ac:dyDescent="0.25">
      <c r="G139"/>
      <c r="J139"/>
    </row>
    <row r="140" spans="7:10" ht="15" x14ac:dyDescent="0.25">
      <c r="G140"/>
      <c r="J140"/>
    </row>
    <row r="141" spans="7:10" ht="15" x14ac:dyDescent="0.25">
      <c r="G141"/>
      <c r="J141"/>
    </row>
    <row r="142" spans="7:10" ht="15" x14ac:dyDescent="0.25">
      <c r="G142"/>
      <c r="J142"/>
    </row>
    <row r="143" spans="7:10" ht="15" x14ac:dyDescent="0.25">
      <c r="G143"/>
      <c r="J143"/>
    </row>
    <row r="144" spans="7:10" ht="15" x14ac:dyDescent="0.25">
      <c r="G144"/>
      <c r="J144"/>
    </row>
    <row r="145" spans="7:10" ht="15" x14ac:dyDescent="0.25">
      <c r="G145"/>
      <c r="J145"/>
    </row>
    <row r="146" spans="7:10" ht="15" x14ac:dyDescent="0.25">
      <c r="G146"/>
      <c r="J146"/>
    </row>
    <row r="147" spans="7:10" ht="15" x14ac:dyDescent="0.25">
      <c r="G147"/>
      <c r="J147"/>
    </row>
    <row r="148" spans="7:10" ht="15" x14ac:dyDescent="0.25">
      <c r="G148"/>
      <c r="J148"/>
    </row>
    <row r="149" spans="7:10" ht="15" x14ac:dyDescent="0.25">
      <c r="G149"/>
      <c r="J149"/>
    </row>
    <row r="150" spans="7:10" ht="15" x14ac:dyDescent="0.25">
      <c r="G150"/>
      <c r="J150"/>
    </row>
    <row r="151" spans="7:10" ht="15" x14ac:dyDescent="0.25">
      <c r="G151"/>
      <c r="J151"/>
    </row>
    <row r="152" spans="7:10" ht="15" x14ac:dyDescent="0.25">
      <c r="G152"/>
      <c r="J152"/>
    </row>
    <row r="153" spans="7:10" ht="15" x14ac:dyDescent="0.25">
      <c r="G153"/>
      <c r="J153"/>
    </row>
    <row r="154" spans="7:10" ht="15" x14ac:dyDescent="0.25">
      <c r="G154"/>
      <c r="J154"/>
    </row>
    <row r="155" spans="7:10" ht="15" x14ac:dyDescent="0.25">
      <c r="G155"/>
      <c r="J155"/>
    </row>
    <row r="156" spans="7:10" ht="15" x14ac:dyDescent="0.25">
      <c r="G156"/>
      <c r="J156"/>
    </row>
    <row r="157" spans="7:10" ht="15" x14ac:dyDescent="0.25">
      <c r="G157"/>
      <c r="J157"/>
    </row>
    <row r="158" spans="7:10" ht="15" x14ac:dyDescent="0.25">
      <c r="G158"/>
      <c r="J158"/>
    </row>
    <row r="159" spans="7:10" ht="15" x14ac:dyDescent="0.25">
      <c r="G159"/>
      <c r="J159"/>
    </row>
    <row r="160" spans="7:10" ht="15" x14ac:dyDescent="0.25">
      <c r="G160"/>
      <c r="J160"/>
    </row>
    <row r="161" spans="7:10" ht="15" x14ac:dyDescent="0.25">
      <c r="G161"/>
      <c r="J161"/>
    </row>
    <row r="162" spans="7:10" ht="15" x14ac:dyDescent="0.25">
      <c r="G162"/>
      <c r="J162"/>
    </row>
    <row r="163" spans="7:10" ht="15" x14ac:dyDescent="0.25">
      <c r="G163"/>
      <c r="J163"/>
    </row>
    <row r="164" spans="7:10" ht="15" x14ac:dyDescent="0.25">
      <c r="G164"/>
      <c r="J164"/>
    </row>
    <row r="165" spans="7:10" ht="37.9" customHeight="1" x14ac:dyDescent="0.25">
      <c r="G165"/>
      <c r="J165"/>
    </row>
    <row r="166" spans="7:10" ht="24.6" customHeight="1" x14ac:dyDescent="0.25">
      <c r="G166"/>
      <c r="J166"/>
    </row>
    <row r="167" spans="7:10" ht="15" x14ac:dyDescent="0.25">
      <c r="G167"/>
      <c r="J167"/>
    </row>
    <row r="168" spans="7:10" ht="15" x14ac:dyDescent="0.25">
      <c r="G168"/>
      <c r="J168"/>
    </row>
    <row r="169" spans="7:10" ht="15" x14ac:dyDescent="0.25">
      <c r="G169"/>
      <c r="J169"/>
    </row>
    <row r="170" spans="7:10" ht="15" x14ac:dyDescent="0.25">
      <c r="G170"/>
      <c r="J170"/>
    </row>
    <row r="171" spans="7:10" ht="15" x14ac:dyDescent="0.25">
      <c r="G171"/>
      <c r="J171"/>
    </row>
    <row r="172" spans="7:10" ht="15" x14ac:dyDescent="0.25">
      <c r="G172"/>
      <c r="J172"/>
    </row>
    <row r="173" spans="7:10" ht="15" x14ac:dyDescent="0.25">
      <c r="G173"/>
      <c r="J173"/>
    </row>
    <row r="174" spans="7:10" ht="15" x14ac:dyDescent="0.25">
      <c r="G174"/>
      <c r="J174"/>
    </row>
    <row r="175" spans="7:10" ht="15" x14ac:dyDescent="0.25">
      <c r="G175"/>
      <c r="J175"/>
    </row>
    <row r="176" spans="7:10" ht="15" x14ac:dyDescent="0.25">
      <c r="G176"/>
      <c r="J176"/>
    </row>
    <row r="177" spans="7:10" ht="15" x14ac:dyDescent="0.25">
      <c r="G177"/>
      <c r="J177"/>
    </row>
    <row r="178" spans="7:10" ht="15" x14ac:dyDescent="0.25">
      <c r="G178"/>
      <c r="J178"/>
    </row>
    <row r="179" spans="7:10" ht="15" x14ac:dyDescent="0.25">
      <c r="G179"/>
      <c r="J179"/>
    </row>
    <row r="180" spans="7:10" ht="15" x14ac:dyDescent="0.25">
      <c r="G180"/>
      <c r="J180"/>
    </row>
    <row r="181" spans="7:10" ht="15" x14ac:dyDescent="0.25">
      <c r="G181"/>
      <c r="J181"/>
    </row>
    <row r="182" spans="7:10" ht="15" x14ac:dyDescent="0.25">
      <c r="G182"/>
      <c r="J182"/>
    </row>
    <row r="183" spans="7:10" ht="15" x14ac:dyDescent="0.25">
      <c r="G183"/>
      <c r="J183"/>
    </row>
    <row r="184" spans="7:10" ht="15" x14ac:dyDescent="0.25">
      <c r="G184"/>
      <c r="J184"/>
    </row>
    <row r="185" spans="7:10" ht="15" x14ac:dyDescent="0.25">
      <c r="G185"/>
      <c r="J185"/>
    </row>
    <row r="186" spans="7:10" ht="15" x14ac:dyDescent="0.25">
      <c r="G186"/>
      <c r="J186"/>
    </row>
    <row r="187" spans="7:10" ht="15" x14ac:dyDescent="0.25">
      <c r="G187"/>
      <c r="J187"/>
    </row>
    <row r="188" spans="7:10" ht="15" x14ac:dyDescent="0.25">
      <c r="G188"/>
      <c r="J188"/>
    </row>
    <row r="189" spans="7:10" ht="15" x14ac:dyDescent="0.25">
      <c r="G189"/>
      <c r="J189"/>
    </row>
    <row r="190" spans="7:10" ht="15" x14ac:dyDescent="0.25">
      <c r="G190"/>
      <c r="J190"/>
    </row>
    <row r="191" spans="7:10" ht="15" x14ac:dyDescent="0.25">
      <c r="G191"/>
      <c r="J191"/>
    </row>
    <row r="192" spans="7:10" ht="15" x14ac:dyDescent="0.25">
      <c r="G192"/>
      <c r="J192"/>
    </row>
    <row r="193" spans="7:10" ht="15" x14ac:dyDescent="0.25">
      <c r="G193"/>
      <c r="J193"/>
    </row>
    <row r="194" spans="7:10" ht="15" x14ac:dyDescent="0.25">
      <c r="G194"/>
      <c r="J194"/>
    </row>
    <row r="195" spans="7:10" ht="15" x14ac:dyDescent="0.25">
      <c r="G195"/>
      <c r="J195"/>
    </row>
    <row r="196" spans="7:10" ht="15" x14ac:dyDescent="0.25">
      <c r="G196"/>
      <c r="J196"/>
    </row>
    <row r="197" spans="7:10" ht="15" x14ac:dyDescent="0.25">
      <c r="G197"/>
      <c r="J197"/>
    </row>
    <row r="198" spans="7:10" ht="15" x14ac:dyDescent="0.25">
      <c r="G198"/>
      <c r="J198"/>
    </row>
    <row r="199" spans="7:10" ht="15" x14ac:dyDescent="0.25">
      <c r="G199"/>
      <c r="J199"/>
    </row>
    <row r="200" spans="7:10" ht="15" x14ac:dyDescent="0.25">
      <c r="G200"/>
      <c r="J200"/>
    </row>
    <row r="201" spans="7:10" ht="15" x14ac:dyDescent="0.25">
      <c r="G201"/>
      <c r="J201"/>
    </row>
    <row r="202" spans="7:10" ht="15" x14ac:dyDescent="0.25">
      <c r="G202"/>
      <c r="J202"/>
    </row>
    <row r="203" spans="7:10" ht="15" x14ac:dyDescent="0.25">
      <c r="G203"/>
      <c r="J203"/>
    </row>
    <row r="204" spans="7:10" ht="15" x14ac:dyDescent="0.25">
      <c r="G204"/>
      <c r="J204"/>
    </row>
    <row r="205" spans="7:10" ht="15" x14ac:dyDescent="0.25">
      <c r="G205"/>
      <c r="J205"/>
    </row>
    <row r="206" spans="7:10" ht="15" x14ac:dyDescent="0.25">
      <c r="G206"/>
      <c r="J206"/>
    </row>
    <row r="207" spans="7:10" ht="15" x14ac:dyDescent="0.25">
      <c r="G207"/>
      <c r="J207"/>
    </row>
    <row r="208" spans="7:10" ht="15" x14ac:dyDescent="0.25">
      <c r="G208"/>
      <c r="J208"/>
    </row>
    <row r="209" spans="7:10" ht="15" x14ac:dyDescent="0.25">
      <c r="G209"/>
      <c r="J209"/>
    </row>
    <row r="210" spans="7:10" ht="15" x14ac:dyDescent="0.25">
      <c r="G210"/>
      <c r="J210"/>
    </row>
    <row r="211" spans="7:10" ht="15" x14ac:dyDescent="0.25">
      <c r="G211"/>
      <c r="J211"/>
    </row>
    <row r="212" spans="7:10" ht="15" x14ac:dyDescent="0.25">
      <c r="G212"/>
      <c r="J212"/>
    </row>
    <row r="213" spans="7:10" ht="15" x14ac:dyDescent="0.25">
      <c r="G213"/>
      <c r="J213"/>
    </row>
    <row r="214" spans="7:10" ht="15" x14ac:dyDescent="0.25">
      <c r="G214"/>
      <c r="J214"/>
    </row>
    <row r="215" spans="7:10" ht="15" x14ac:dyDescent="0.25">
      <c r="G215"/>
      <c r="J215"/>
    </row>
    <row r="216" spans="7:10" ht="15" x14ac:dyDescent="0.25">
      <c r="G216"/>
      <c r="J216"/>
    </row>
    <row r="217" spans="7:10" ht="15" x14ac:dyDescent="0.25">
      <c r="G217"/>
      <c r="J217"/>
    </row>
    <row r="218" spans="7:10" ht="15" x14ac:dyDescent="0.25">
      <c r="G218"/>
      <c r="J218"/>
    </row>
    <row r="219" spans="7:10" ht="34.9" customHeight="1" x14ac:dyDescent="0.25">
      <c r="G219"/>
      <c r="J219"/>
    </row>
    <row r="220" spans="7:10" ht="33.6" customHeight="1" x14ac:dyDescent="0.25">
      <c r="G220"/>
      <c r="J220"/>
    </row>
    <row r="221" spans="7:10" ht="34.15" customHeight="1" x14ac:dyDescent="0.25">
      <c r="G221"/>
      <c r="J221"/>
    </row>
    <row r="222" spans="7:10" ht="59.45" customHeight="1" x14ac:dyDescent="0.25">
      <c r="G222"/>
      <c r="J222"/>
    </row>
    <row r="223" spans="7:10" ht="15" x14ac:dyDescent="0.25">
      <c r="G223"/>
      <c r="J223"/>
    </row>
    <row r="224" spans="7:10" ht="15" x14ac:dyDescent="0.25">
      <c r="G224"/>
      <c r="J224"/>
    </row>
    <row r="225" spans="7:10" ht="15" x14ac:dyDescent="0.25">
      <c r="G225"/>
      <c r="J225"/>
    </row>
    <row r="226" spans="7:10" ht="15" x14ac:dyDescent="0.25">
      <c r="G226"/>
      <c r="J226"/>
    </row>
    <row r="227" spans="7:10" ht="15" x14ac:dyDescent="0.25">
      <c r="G227"/>
      <c r="J227"/>
    </row>
    <row r="228" spans="7:10" ht="15" x14ac:dyDescent="0.25">
      <c r="G228"/>
      <c r="J228"/>
    </row>
    <row r="229" spans="7:10" ht="15" x14ac:dyDescent="0.25">
      <c r="G229"/>
      <c r="J229"/>
    </row>
    <row r="230" spans="7:10" ht="15" x14ac:dyDescent="0.25">
      <c r="G230"/>
      <c r="J230"/>
    </row>
    <row r="231" spans="7:10" ht="15" x14ac:dyDescent="0.25">
      <c r="G231"/>
      <c r="J231"/>
    </row>
    <row r="232" spans="7:10" ht="15" x14ac:dyDescent="0.25">
      <c r="G232"/>
      <c r="J232"/>
    </row>
    <row r="233" spans="7:10" ht="15" x14ac:dyDescent="0.25">
      <c r="G233"/>
      <c r="J233"/>
    </row>
    <row r="234" spans="7:10" ht="15" x14ac:dyDescent="0.25">
      <c r="G234"/>
      <c r="J234"/>
    </row>
    <row r="235" spans="7:10" ht="15" x14ac:dyDescent="0.25">
      <c r="G235"/>
      <c r="J235"/>
    </row>
    <row r="236" spans="7:10" ht="15" x14ac:dyDescent="0.25">
      <c r="G236"/>
      <c r="J236"/>
    </row>
    <row r="237" spans="7:10" ht="15" x14ac:dyDescent="0.25">
      <c r="G237"/>
      <c r="J237"/>
    </row>
    <row r="238" spans="7:10" ht="15" x14ac:dyDescent="0.25">
      <c r="G238"/>
      <c r="J238"/>
    </row>
    <row r="239" spans="7:10" ht="15" x14ac:dyDescent="0.25">
      <c r="G239"/>
      <c r="J239"/>
    </row>
    <row r="240" spans="7:10" ht="15" x14ac:dyDescent="0.25">
      <c r="G240"/>
      <c r="J240"/>
    </row>
    <row r="241" spans="7:10" ht="15" x14ac:dyDescent="0.25">
      <c r="G241"/>
      <c r="J241"/>
    </row>
    <row r="242" spans="7:10" ht="27" customHeight="1" x14ac:dyDescent="0.25">
      <c r="G242"/>
      <c r="J242"/>
    </row>
    <row r="243" spans="7:10" ht="15" x14ac:dyDescent="0.25">
      <c r="G243"/>
      <c r="J243"/>
    </row>
    <row r="244" spans="7:10" ht="15" x14ac:dyDescent="0.25">
      <c r="G244"/>
      <c r="J244"/>
    </row>
    <row r="245" spans="7:10" ht="15" x14ac:dyDescent="0.25">
      <c r="G245"/>
      <c r="J245"/>
    </row>
    <row r="246" spans="7:10" ht="15" x14ac:dyDescent="0.25">
      <c r="G246"/>
      <c r="J246"/>
    </row>
    <row r="247" spans="7:10" ht="15" x14ac:dyDescent="0.25">
      <c r="G247"/>
      <c r="J247"/>
    </row>
    <row r="248" spans="7:10" ht="15" x14ac:dyDescent="0.25">
      <c r="G248"/>
      <c r="J248"/>
    </row>
    <row r="249" spans="7:10" ht="15" x14ac:dyDescent="0.25">
      <c r="G249"/>
      <c r="J249"/>
    </row>
    <row r="250" spans="7:10" ht="15" x14ac:dyDescent="0.25">
      <c r="G250"/>
      <c r="J250"/>
    </row>
    <row r="251" spans="7:10" ht="15" x14ac:dyDescent="0.25">
      <c r="G251"/>
      <c r="J251"/>
    </row>
    <row r="252" spans="7:10" ht="15" x14ac:dyDescent="0.25">
      <c r="G252"/>
      <c r="J252"/>
    </row>
    <row r="253" spans="7:10" ht="15" x14ac:dyDescent="0.25">
      <c r="G253"/>
      <c r="J253"/>
    </row>
    <row r="254" spans="7:10" ht="15" x14ac:dyDescent="0.25">
      <c r="G254"/>
      <c r="J254"/>
    </row>
    <row r="255" spans="7:10" ht="15" x14ac:dyDescent="0.25">
      <c r="G255"/>
      <c r="J255"/>
    </row>
    <row r="256" spans="7:10" ht="15" x14ac:dyDescent="0.25">
      <c r="G256"/>
      <c r="J256"/>
    </row>
    <row r="257" spans="7:10" ht="15" x14ac:dyDescent="0.25">
      <c r="G257"/>
      <c r="J257"/>
    </row>
    <row r="258" spans="7:10" ht="15" x14ac:dyDescent="0.25">
      <c r="G258"/>
      <c r="J258"/>
    </row>
    <row r="259" spans="7:10" ht="15" x14ac:dyDescent="0.25">
      <c r="G259"/>
      <c r="J259"/>
    </row>
    <row r="260" spans="7:10" ht="15" x14ac:dyDescent="0.25">
      <c r="G260"/>
      <c r="J260"/>
    </row>
    <row r="261" spans="7:10" ht="15" x14ac:dyDescent="0.25">
      <c r="G261"/>
      <c r="J261"/>
    </row>
    <row r="262" spans="7:10" ht="15" x14ac:dyDescent="0.25">
      <c r="G262"/>
      <c r="J262"/>
    </row>
    <row r="263" spans="7:10" ht="15" x14ac:dyDescent="0.25">
      <c r="G263"/>
      <c r="J263"/>
    </row>
    <row r="264" spans="7:10" ht="15" x14ac:dyDescent="0.25">
      <c r="G264"/>
      <c r="J264"/>
    </row>
    <row r="265" spans="7:10" ht="15" x14ac:dyDescent="0.25">
      <c r="G265"/>
      <c r="J265"/>
    </row>
    <row r="266" spans="7:10" ht="15" x14ac:dyDescent="0.25">
      <c r="G266"/>
      <c r="J266"/>
    </row>
    <row r="267" spans="7:10" ht="15" x14ac:dyDescent="0.25">
      <c r="G267"/>
      <c r="J267"/>
    </row>
    <row r="268" spans="7:10" ht="15" x14ac:dyDescent="0.25">
      <c r="G268"/>
      <c r="J268"/>
    </row>
    <row r="269" spans="7:10" ht="15" x14ac:dyDescent="0.25">
      <c r="G269"/>
      <c r="J269"/>
    </row>
    <row r="270" spans="7:10" ht="15" x14ac:dyDescent="0.25">
      <c r="G270"/>
      <c r="J270"/>
    </row>
    <row r="271" spans="7:10" ht="15" x14ac:dyDescent="0.25">
      <c r="G271"/>
      <c r="J271"/>
    </row>
    <row r="272" spans="7:10" ht="15" x14ac:dyDescent="0.25">
      <c r="G272"/>
      <c r="J272"/>
    </row>
    <row r="273" spans="7:10" ht="15" x14ac:dyDescent="0.25">
      <c r="G273"/>
      <c r="J273"/>
    </row>
    <row r="274" spans="7:10" ht="15" x14ac:dyDescent="0.25">
      <c r="G274"/>
      <c r="J274"/>
    </row>
    <row r="275" spans="7:10" ht="15" x14ac:dyDescent="0.25">
      <c r="G275"/>
      <c r="J275"/>
    </row>
    <row r="276" spans="7:10" ht="15" x14ac:dyDescent="0.25">
      <c r="G276"/>
      <c r="J276"/>
    </row>
    <row r="277" spans="7:10" ht="15" x14ac:dyDescent="0.25">
      <c r="G277"/>
      <c r="J277"/>
    </row>
    <row r="278" spans="7:10" ht="15" x14ac:dyDescent="0.25">
      <c r="G278"/>
      <c r="J278"/>
    </row>
    <row r="279" spans="7:10" ht="15" x14ac:dyDescent="0.25">
      <c r="G279"/>
      <c r="J279"/>
    </row>
    <row r="280" spans="7:10" ht="15" x14ac:dyDescent="0.25">
      <c r="G280"/>
      <c r="J280"/>
    </row>
    <row r="281" spans="7:10" ht="15" x14ac:dyDescent="0.25">
      <c r="G281"/>
      <c r="J281"/>
    </row>
    <row r="282" spans="7:10" ht="15" x14ac:dyDescent="0.25">
      <c r="G282"/>
      <c r="J282"/>
    </row>
    <row r="283" spans="7:10" ht="15" x14ac:dyDescent="0.25">
      <c r="G283"/>
      <c r="J283"/>
    </row>
    <row r="284" spans="7:10" ht="15" x14ac:dyDescent="0.25">
      <c r="G284"/>
      <c r="J284"/>
    </row>
    <row r="285" spans="7:10" ht="15" x14ac:dyDescent="0.25">
      <c r="G285"/>
      <c r="J285"/>
    </row>
    <row r="286" spans="7:10" ht="15" x14ac:dyDescent="0.25">
      <c r="G286"/>
      <c r="J286"/>
    </row>
    <row r="287" spans="7:10" ht="15" x14ac:dyDescent="0.25">
      <c r="G287"/>
      <c r="J287"/>
    </row>
    <row r="288" spans="7:10" ht="15" x14ac:dyDescent="0.25">
      <c r="G288"/>
      <c r="J288"/>
    </row>
    <row r="289" spans="7:10" ht="15" x14ac:dyDescent="0.25">
      <c r="G289"/>
      <c r="J289"/>
    </row>
    <row r="290" spans="7:10" ht="27" customHeight="1" x14ac:dyDescent="0.25">
      <c r="G290"/>
      <c r="J290"/>
    </row>
    <row r="291" spans="7:10" ht="33.6" customHeight="1" x14ac:dyDescent="0.25">
      <c r="G291"/>
      <c r="J291"/>
    </row>
    <row r="292" spans="7:10" ht="15" x14ac:dyDescent="0.25">
      <c r="G292"/>
      <c r="J292"/>
    </row>
    <row r="293" spans="7:10" ht="15" x14ac:dyDescent="0.25">
      <c r="G293"/>
      <c r="J293"/>
    </row>
    <row r="294" spans="7:10" ht="15" x14ac:dyDescent="0.25">
      <c r="G294"/>
      <c r="J294"/>
    </row>
    <row r="295" spans="7:10" ht="15" x14ac:dyDescent="0.25">
      <c r="G295"/>
      <c r="J295"/>
    </row>
    <row r="296" spans="7:10" ht="15" x14ac:dyDescent="0.25">
      <c r="G296"/>
      <c r="J296"/>
    </row>
    <row r="297" spans="7:10" ht="15" x14ac:dyDescent="0.25">
      <c r="G297"/>
      <c r="J297"/>
    </row>
    <row r="298" spans="7:10" ht="15" x14ac:dyDescent="0.25">
      <c r="G298"/>
      <c r="J298"/>
    </row>
    <row r="299" spans="7:10" ht="15" x14ac:dyDescent="0.25">
      <c r="G299"/>
      <c r="J299"/>
    </row>
    <row r="300" spans="7:10" ht="15" x14ac:dyDescent="0.25">
      <c r="G300"/>
      <c r="J300"/>
    </row>
    <row r="301" spans="7:10" ht="15" x14ac:dyDescent="0.25">
      <c r="G301"/>
      <c r="J301"/>
    </row>
    <row r="302" spans="7:10" ht="15" x14ac:dyDescent="0.25">
      <c r="G302"/>
      <c r="J302"/>
    </row>
    <row r="303" spans="7:10" ht="15" x14ac:dyDescent="0.25">
      <c r="G303"/>
      <c r="J303"/>
    </row>
    <row r="304" spans="7:10" ht="15" x14ac:dyDescent="0.25">
      <c r="G304"/>
      <c r="J304"/>
    </row>
    <row r="305" spans="7:10" ht="15" x14ac:dyDescent="0.25">
      <c r="G305"/>
      <c r="J305"/>
    </row>
    <row r="306" spans="7:10" ht="15" x14ac:dyDescent="0.25">
      <c r="G306"/>
      <c r="J306"/>
    </row>
    <row r="307" spans="7:10" ht="15" x14ac:dyDescent="0.25">
      <c r="G307"/>
      <c r="J307"/>
    </row>
    <row r="308" spans="7:10" ht="15" x14ac:dyDescent="0.25">
      <c r="G308"/>
      <c r="J308"/>
    </row>
    <row r="309" spans="7:10" ht="15" x14ac:dyDescent="0.25">
      <c r="G309"/>
      <c r="J309"/>
    </row>
    <row r="310" spans="7:10" ht="15" x14ac:dyDescent="0.25">
      <c r="G310"/>
      <c r="J310"/>
    </row>
    <row r="311" spans="7:10" ht="15" x14ac:dyDescent="0.25">
      <c r="G311"/>
      <c r="J311"/>
    </row>
    <row r="312" spans="7:10" ht="15" x14ac:dyDescent="0.25">
      <c r="G312"/>
      <c r="J312"/>
    </row>
    <row r="313" spans="7:10" ht="15" x14ac:dyDescent="0.25">
      <c r="G313"/>
      <c r="J313"/>
    </row>
    <row r="314" spans="7:10" ht="15" x14ac:dyDescent="0.25">
      <c r="G314"/>
      <c r="J314"/>
    </row>
    <row r="315" spans="7:10" ht="15" x14ac:dyDescent="0.25">
      <c r="G315"/>
      <c r="J315"/>
    </row>
    <row r="316" spans="7:10" ht="15" x14ac:dyDescent="0.25">
      <c r="G316"/>
      <c r="J316"/>
    </row>
    <row r="317" spans="7:10" ht="15" x14ac:dyDescent="0.25">
      <c r="G317"/>
      <c r="J317"/>
    </row>
    <row r="318" spans="7:10" ht="15" x14ac:dyDescent="0.25">
      <c r="G318"/>
      <c r="J318"/>
    </row>
    <row r="319" spans="7:10" ht="15" x14ac:dyDescent="0.25">
      <c r="G319"/>
      <c r="J319"/>
    </row>
    <row r="320" spans="7:10" ht="15" x14ac:dyDescent="0.25">
      <c r="G320"/>
      <c r="J320"/>
    </row>
    <row r="321" spans="7:10" ht="15" x14ac:dyDescent="0.25">
      <c r="G321"/>
      <c r="J321"/>
    </row>
    <row r="322" spans="7:10" ht="15" x14ac:dyDescent="0.25">
      <c r="G322"/>
      <c r="J322"/>
    </row>
    <row r="323" spans="7:10" ht="15" x14ac:dyDescent="0.25">
      <c r="G323"/>
      <c r="J323"/>
    </row>
    <row r="324" spans="7:10" ht="15" x14ac:dyDescent="0.25">
      <c r="G324"/>
      <c r="J324"/>
    </row>
    <row r="325" spans="7:10" ht="15" x14ac:dyDescent="0.25">
      <c r="G325"/>
      <c r="J325"/>
    </row>
    <row r="326" spans="7:10" ht="15" x14ac:dyDescent="0.25">
      <c r="G326"/>
      <c r="J326"/>
    </row>
    <row r="327" spans="7:10" ht="15" x14ac:dyDescent="0.25">
      <c r="G327"/>
      <c r="J327"/>
    </row>
    <row r="328" spans="7:10" ht="15" x14ac:dyDescent="0.25">
      <c r="G328"/>
      <c r="J328"/>
    </row>
    <row r="329" spans="7:10" ht="15" x14ac:dyDescent="0.25">
      <c r="G329"/>
      <c r="J329"/>
    </row>
    <row r="330" spans="7:10" ht="15" x14ac:dyDescent="0.25">
      <c r="G330"/>
      <c r="J330"/>
    </row>
    <row r="331" spans="7:10" ht="15" x14ac:dyDescent="0.25">
      <c r="G331"/>
      <c r="J331"/>
    </row>
    <row r="332" spans="7:10" ht="15" x14ac:dyDescent="0.25">
      <c r="G332"/>
      <c r="J332"/>
    </row>
    <row r="333" spans="7:10" ht="15" x14ac:dyDescent="0.25">
      <c r="G333"/>
      <c r="J333"/>
    </row>
    <row r="334" spans="7:10" ht="15" x14ac:dyDescent="0.25">
      <c r="G334"/>
      <c r="J334"/>
    </row>
    <row r="335" spans="7:10" ht="15" x14ac:dyDescent="0.25">
      <c r="G335"/>
      <c r="J335"/>
    </row>
    <row r="336" spans="7:10" ht="15" x14ac:dyDescent="0.25">
      <c r="G336"/>
      <c r="J336"/>
    </row>
    <row r="337" spans="7:10" ht="15" x14ac:dyDescent="0.25">
      <c r="G337"/>
      <c r="J337"/>
    </row>
    <row r="338" spans="7:10" ht="15" x14ac:dyDescent="0.25">
      <c r="G338"/>
      <c r="J338"/>
    </row>
    <row r="339" spans="7:10" ht="15" x14ac:dyDescent="0.25">
      <c r="G339"/>
      <c r="J339"/>
    </row>
    <row r="340" spans="7:10" ht="15" x14ac:dyDescent="0.25">
      <c r="G340"/>
      <c r="J340"/>
    </row>
    <row r="341" spans="7:10" ht="31.9" customHeight="1" x14ac:dyDescent="0.25">
      <c r="G341"/>
      <c r="J341"/>
    </row>
    <row r="342" spans="7:10" ht="29.45" customHeight="1" x14ac:dyDescent="0.25">
      <c r="G342"/>
      <c r="J342"/>
    </row>
    <row r="343" spans="7:10" ht="15" x14ac:dyDescent="0.25">
      <c r="G343"/>
      <c r="J343"/>
    </row>
    <row r="344" spans="7:10" ht="66.599999999999994" customHeight="1" x14ac:dyDescent="0.25">
      <c r="G344"/>
      <c r="J344"/>
    </row>
    <row r="345" spans="7:10" ht="15" x14ac:dyDescent="0.25">
      <c r="G345"/>
      <c r="J345"/>
    </row>
    <row r="346" spans="7:10" ht="15" x14ac:dyDescent="0.25">
      <c r="G346"/>
      <c r="J346"/>
    </row>
    <row r="347" spans="7:10" ht="15" x14ac:dyDescent="0.25">
      <c r="G347"/>
      <c r="J347"/>
    </row>
    <row r="348" spans="7:10" ht="15" x14ac:dyDescent="0.25">
      <c r="G348"/>
      <c r="J348"/>
    </row>
    <row r="349" spans="7:10" ht="15" x14ac:dyDescent="0.25">
      <c r="G349"/>
      <c r="J349"/>
    </row>
    <row r="350" spans="7:10" ht="15" x14ac:dyDescent="0.25">
      <c r="G350"/>
      <c r="J350"/>
    </row>
    <row r="351" spans="7:10" ht="15" x14ac:dyDescent="0.25">
      <c r="G351"/>
      <c r="J351"/>
    </row>
    <row r="352" spans="7:10" ht="15" x14ac:dyDescent="0.25">
      <c r="G352"/>
      <c r="J352"/>
    </row>
    <row r="353" spans="7:10" ht="15" x14ac:dyDescent="0.25">
      <c r="G353"/>
      <c r="J353"/>
    </row>
    <row r="354" spans="7:10" ht="15" x14ac:dyDescent="0.25">
      <c r="G354"/>
      <c r="J354"/>
    </row>
    <row r="355" spans="7:10" ht="15" x14ac:dyDescent="0.25">
      <c r="G355"/>
      <c r="J355"/>
    </row>
    <row r="356" spans="7:10" ht="15" x14ac:dyDescent="0.25">
      <c r="G356"/>
      <c r="J356"/>
    </row>
    <row r="357" spans="7:10" ht="15" x14ac:dyDescent="0.25">
      <c r="G357"/>
      <c r="J357"/>
    </row>
    <row r="358" spans="7:10" ht="15" x14ac:dyDescent="0.25">
      <c r="G358"/>
      <c r="J358"/>
    </row>
    <row r="359" spans="7:10" ht="15" x14ac:dyDescent="0.25">
      <c r="G359"/>
      <c r="J359"/>
    </row>
    <row r="360" spans="7:10" ht="15" x14ac:dyDescent="0.25">
      <c r="G360"/>
      <c r="J360"/>
    </row>
    <row r="361" spans="7:10" ht="15" x14ac:dyDescent="0.25">
      <c r="G361"/>
      <c r="J361"/>
    </row>
    <row r="362" spans="7:10" ht="28.9" customHeight="1" x14ac:dyDescent="0.25">
      <c r="G362"/>
      <c r="J362"/>
    </row>
    <row r="363" spans="7:10" ht="15" x14ac:dyDescent="0.25">
      <c r="G363"/>
      <c r="J363"/>
    </row>
    <row r="364" spans="7:10" ht="15" x14ac:dyDescent="0.25">
      <c r="G364"/>
      <c r="J364"/>
    </row>
    <row r="365" spans="7:10" ht="15" x14ac:dyDescent="0.25">
      <c r="G365"/>
      <c r="J365"/>
    </row>
    <row r="366" spans="7:10" ht="15" x14ac:dyDescent="0.25">
      <c r="G366"/>
      <c r="J366"/>
    </row>
    <row r="367" spans="7:10" ht="15" x14ac:dyDescent="0.25">
      <c r="G367"/>
      <c r="J367"/>
    </row>
    <row r="368" spans="7:10" ht="15" x14ac:dyDescent="0.25">
      <c r="G368"/>
      <c r="J368"/>
    </row>
    <row r="369" spans="7:10" ht="15" x14ac:dyDescent="0.25">
      <c r="G369"/>
      <c r="J369"/>
    </row>
    <row r="370" spans="7:10" ht="15" x14ac:dyDescent="0.25">
      <c r="G370"/>
      <c r="J370"/>
    </row>
    <row r="371" spans="7:10" ht="15" x14ac:dyDescent="0.25">
      <c r="G371"/>
      <c r="J371"/>
    </row>
    <row r="372" spans="7:10" ht="15" x14ac:dyDescent="0.25">
      <c r="G372"/>
      <c r="J372"/>
    </row>
    <row r="373" spans="7:10" ht="15" x14ac:dyDescent="0.25">
      <c r="G373"/>
      <c r="J373"/>
    </row>
    <row r="374" spans="7:10" ht="15" x14ac:dyDescent="0.25">
      <c r="G374"/>
      <c r="J374"/>
    </row>
    <row r="375" spans="7:10" ht="15" x14ac:dyDescent="0.25">
      <c r="G375"/>
      <c r="J375"/>
    </row>
    <row r="376" spans="7:10" ht="15" x14ac:dyDescent="0.25">
      <c r="G376"/>
      <c r="J376"/>
    </row>
    <row r="377" spans="7:10" ht="15" x14ac:dyDescent="0.25">
      <c r="G377"/>
      <c r="J377"/>
    </row>
    <row r="378" spans="7:10" ht="15" x14ac:dyDescent="0.25">
      <c r="G378"/>
      <c r="J378"/>
    </row>
    <row r="379" spans="7:10" ht="15" x14ac:dyDescent="0.25">
      <c r="G379"/>
      <c r="J379"/>
    </row>
    <row r="380" spans="7:10" ht="15" x14ac:dyDescent="0.25">
      <c r="G380"/>
      <c r="J380"/>
    </row>
    <row r="381" spans="7:10" ht="15" x14ac:dyDescent="0.25">
      <c r="G381"/>
      <c r="J381"/>
    </row>
    <row r="382" spans="7:10" ht="15" x14ac:dyDescent="0.25">
      <c r="G382"/>
      <c r="J382"/>
    </row>
    <row r="383" spans="7:10" ht="15" x14ac:dyDescent="0.25">
      <c r="J383"/>
    </row>
    <row r="384" spans="7:10" ht="15" x14ac:dyDescent="0.25">
      <c r="J384"/>
    </row>
    <row r="385" spans="10:10" ht="15" x14ac:dyDescent="0.25">
      <c r="J385"/>
    </row>
    <row r="386" spans="10:10" ht="15" x14ac:dyDescent="0.25">
      <c r="J386"/>
    </row>
    <row r="387" spans="10:10" ht="15" x14ac:dyDescent="0.25">
      <c r="J387"/>
    </row>
    <row r="388" spans="10:10" ht="15" x14ac:dyDescent="0.25">
      <c r="J388"/>
    </row>
    <row r="389" spans="10:10" ht="15" x14ac:dyDescent="0.25">
      <c r="J389"/>
    </row>
    <row r="390" spans="10:10" ht="15" x14ac:dyDescent="0.25">
      <c r="J390"/>
    </row>
    <row r="391" spans="10:10" ht="15" x14ac:dyDescent="0.25">
      <c r="J391"/>
    </row>
    <row r="392" spans="10:10" ht="15" x14ac:dyDescent="0.25">
      <c r="J392"/>
    </row>
    <row r="393" spans="10:10" ht="15" x14ac:dyDescent="0.25">
      <c r="J393"/>
    </row>
    <row r="394" spans="10:10" ht="15" x14ac:dyDescent="0.25">
      <c r="J394"/>
    </row>
    <row r="395" spans="10:10" ht="15" x14ac:dyDescent="0.25">
      <c r="J395"/>
    </row>
    <row r="396" spans="10:10" ht="15" x14ac:dyDescent="0.25">
      <c r="J396"/>
    </row>
    <row r="397" spans="10:10" ht="15" x14ac:dyDescent="0.25">
      <c r="J397"/>
    </row>
    <row r="398" spans="10:10" ht="15" x14ac:dyDescent="0.25">
      <c r="J398"/>
    </row>
    <row r="399" spans="10:10" ht="15" x14ac:dyDescent="0.25">
      <c r="J399"/>
    </row>
    <row r="400" spans="10:10" ht="15" x14ac:dyDescent="0.25">
      <c r="J400"/>
    </row>
    <row r="401" spans="10:10" ht="15" x14ac:dyDescent="0.25">
      <c r="J401"/>
    </row>
    <row r="402" spans="10:10" ht="15" x14ac:dyDescent="0.25">
      <c r="J402"/>
    </row>
    <row r="403" spans="10:10" ht="15" x14ac:dyDescent="0.25">
      <c r="J403"/>
    </row>
    <row r="404" spans="10:10" ht="15" x14ac:dyDescent="0.25">
      <c r="J404"/>
    </row>
    <row r="405" spans="10:10" ht="15" x14ac:dyDescent="0.25">
      <c r="J405"/>
    </row>
    <row r="406" spans="10:10" ht="15" x14ac:dyDescent="0.25">
      <c r="J406"/>
    </row>
    <row r="407" spans="10:10" ht="15" x14ac:dyDescent="0.25">
      <c r="J407"/>
    </row>
    <row r="408" spans="10:10" ht="15" x14ac:dyDescent="0.25">
      <c r="J408"/>
    </row>
    <row r="409" spans="10:10" ht="15" x14ac:dyDescent="0.25">
      <c r="J409"/>
    </row>
    <row r="410" spans="10:10" ht="15" x14ac:dyDescent="0.25">
      <c r="J410"/>
    </row>
    <row r="411" spans="10:10" ht="15" x14ac:dyDescent="0.25">
      <c r="J411"/>
    </row>
    <row r="412" spans="10:10" ht="15" x14ac:dyDescent="0.25">
      <c r="J412"/>
    </row>
    <row r="413" spans="10:10" ht="15" x14ac:dyDescent="0.25">
      <c r="J413"/>
    </row>
    <row r="414" spans="10:10" ht="15" x14ac:dyDescent="0.25">
      <c r="J414"/>
    </row>
    <row r="415" spans="10:10" ht="15" x14ac:dyDescent="0.25">
      <c r="J415"/>
    </row>
    <row r="416" spans="10:10" ht="15" x14ac:dyDescent="0.25">
      <c r="J416"/>
    </row>
    <row r="417" spans="10:10" ht="15" x14ac:dyDescent="0.25">
      <c r="J417"/>
    </row>
    <row r="418" spans="10:10" ht="15" x14ac:dyDescent="0.25">
      <c r="J418"/>
    </row>
    <row r="419" spans="10:10" ht="15" x14ac:dyDescent="0.25">
      <c r="J419"/>
    </row>
    <row r="420" spans="10:10" ht="15" x14ac:dyDescent="0.25">
      <c r="J420"/>
    </row>
    <row r="421" spans="10:10" ht="15" x14ac:dyDescent="0.25">
      <c r="J421"/>
    </row>
    <row r="422" spans="10:10" ht="15" x14ac:dyDescent="0.25">
      <c r="J422"/>
    </row>
    <row r="423" spans="10:10" ht="15" x14ac:dyDescent="0.25">
      <c r="J423"/>
    </row>
    <row r="424" spans="10:10" ht="15" x14ac:dyDescent="0.25">
      <c r="J424"/>
    </row>
    <row r="425" spans="10:10" ht="15" x14ac:dyDescent="0.25">
      <c r="J425"/>
    </row>
    <row r="426" spans="10:10" ht="15" x14ac:dyDescent="0.25">
      <c r="J426"/>
    </row>
    <row r="427" spans="10:10" ht="15" x14ac:dyDescent="0.25">
      <c r="J427"/>
    </row>
    <row r="428" spans="10:10" ht="15" x14ac:dyDescent="0.25">
      <c r="J428"/>
    </row>
    <row r="429" spans="10:10" ht="15" x14ac:dyDescent="0.25">
      <c r="J429"/>
    </row>
    <row r="430" spans="10:10" ht="15" x14ac:dyDescent="0.25">
      <c r="J430"/>
    </row>
    <row r="431" spans="10:10" ht="15" x14ac:dyDescent="0.25">
      <c r="J431"/>
    </row>
    <row r="432" spans="10:10" ht="15" x14ac:dyDescent="0.25">
      <c r="J432"/>
    </row>
    <row r="433" spans="10:10" ht="15" x14ac:dyDescent="0.25">
      <c r="J433"/>
    </row>
    <row r="434" spans="10:10" ht="15" x14ac:dyDescent="0.25">
      <c r="J434"/>
    </row>
    <row r="435" spans="10:10" ht="15" x14ac:dyDescent="0.25">
      <c r="J435"/>
    </row>
    <row r="436" spans="10:10" ht="15" x14ac:dyDescent="0.25">
      <c r="J436"/>
    </row>
    <row r="437" spans="10:10" ht="15" x14ac:dyDescent="0.25">
      <c r="J437"/>
    </row>
    <row r="438" spans="10:10" ht="15" x14ac:dyDescent="0.25">
      <c r="J438"/>
    </row>
    <row r="439" spans="10:10" ht="15" x14ac:dyDescent="0.25">
      <c r="J439"/>
    </row>
    <row r="440" spans="10:10" ht="15" x14ac:dyDescent="0.25">
      <c r="J440"/>
    </row>
    <row r="441" spans="10:10" ht="15" x14ac:dyDescent="0.25">
      <c r="J441"/>
    </row>
    <row r="442" spans="10:10" ht="15" x14ac:dyDescent="0.25">
      <c r="J442"/>
    </row>
    <row r="443" spans="10:10" ht="15" x14ac:dyDescent="0.25">
      <c r="J443"/>
    </row>
    <row r="444" spans="10:10" ht="15" x14ac:dyDescent="0.25">
      <c r="J444"/>
    </row>
    <row r="445" spans="10:10" ht="15" x14ac:dyDescent="0.25">
      <c r="J445"/>
    </row>
    <row r="446" spans="10:10" ht="15" x14ac:dyDescent="0.25">
      <c r="J446"/>
    </row>
    <row r="447" spans="10:10" ht="15" x14ac:dyDescent="0.25">
      <c r="J447"/>
    </row>
    <row r="448" spans="10:10" ht="15" x14ac:dyDescent="0.25">
      <c r="J448"/>
    </row>
    <row r="449" spans="10:10" ht="15" x14ac:dyDescent="0.25">
      <c r="J449"/>
    </row>
    <row r="450" spans="10:10" ht="15" x14ac:dyDescent="0.25">
      <c r="J450"/>
    </row>
    <row r="451" spans="10:10" ht="15" x14ac:dyDescent="0.25">
      <c r="J451"/>
    </row>
    <row r="452" spans="10:10" ht="15" x14ac:dyDescent="0.25">
      <c r="J452"/>
    </row>
    <row r="453" spans="10:10" ht="15" x14ac:dyDescent="0.25">
      <c r="J453"/>
    </row>
    <row r="454" spans="10:10" ht="15" x14ac:dyDescent="0.25">
      <c r="J454"/>
    </row>
    <row r="455" spans="10:10" ht="15" x14ac:dyDescent="0.25">
      <c r="J455"/>
    </row>
    <row r="456" spans="10:10" ht="15" x14ac:dyDescent="0.25">
      <c r="J456"/>
    </row>
    <row r="457" spans="10:10" ht="15" x14ac:dyDescent="0.25">
      <c r="J457"/>
    </row>
    <row r="458" spans="10:10" ht="15" x14ac:dyDescent="0.25">
      <c r="J458"/>
    </row>
    <row r="459" spans="10:10" ht="15" x14ac:dyDescent="0.25">
      <c r="J459"/>
    </row>
    <row r="460" spans="10:10" ht="15" x14ac:dyDescent="0.25">
      <c r="J460"/>
    </row>
    <row r="461" spans="10:10" ht="15" x14ac:dyDescent="0.25">
      <c r="J461"/>
    </row>
    <row r="462" spans="10:10" ht="15" x14ac:dyDescent="0.25">
      <c r="J462"/>
    </row>
    <row r="463" spans="10:10" ht="15" x14ac:dyDescent="0.25">
      <c r="J463"/>
    </row>
    <row r="464" spans="10:10" ht="15" x14ac:dyDescent="0.25">
      <c r="J464"/>
    </row>
    <row r="465" spans="10:10" ht="15" x14ac:dyDescent="0.25">
      <c r="J465"/>
    </row>
    <row r="466" spans="10:10" ht="15" x14ac:dyDescent="0.25">
      <c r="J466"/>
    </row>
    <row r="467" spans="10:10" ht="15" x14ac:dyDescent="0.25">
      <c r="J467"/>
    </row>
    <row r="468" spans="10:10" ht="15" x14ac:dyDescent="0.25">
      <c r="J468"/>
    </row>
    <row r="469" spans="10:10" ht="15" x14ac:dyDescent="0.25">
      <c r="J469"/>
    </row>
    <row r="470" spans="10:10" ht="15" x14ac:dyDescent="0.25">
      <c r="J470"/>
    </row>
    <row r="471" spans="10:10" ht="15" x14ac:dyDescent="0.25">
      <c r="J471"/>
    </row>
    <row r="472" spans="10:10" ht="15" x14ac:dyDescent="0.25">
      <c r="J472"/>
    </row>
    <row r="473" spans="10:10" ht="15" x14ac:dyDescent="0.25">
      <c r="J473"/>
    </row>
    <row r="474" spans="10:10" ht="15" x14ac:dyDescent="0.25">
      <c r="J474"/>
    </row>
    <row r="475" spans="10:10" ht="15" x14ac:dyDescent="0.25">
      <c r="J475"/>
    </row>
    <row r="476" spans="10:10" ht="15" x14ac:dyDescent="0.25">
      <c r="J476"/>
    </row>
    <row r="477" spans="10:10" ht="15" x14ac:dyDescent="0.25">
      <c r="J477"/>
    </row>
    <row r="478" spans="10:10" ht="15" x14ac:dyDescent="0.25">
      <c r="J478"/>
    </row>
    <row r="479" spans="10:10" ht="15" x14ac:dyDescent="0.25">
      <c r="J479"/>
    </row>
    <row r="480" spans="10:10" ht="15" x14ac:dyDescent="0.25">
      <c r="J480"/>
    </row>
    <row r="481" spans="10:10" ht="15" x14ac:dyDescent="0.25">
      <c r="J481"/>
    </row>
    <row r="482" spans="10:10" ht="15" x14ac:dyDescent="0.25">
      <c r="J482"/>
    </row>
    <row r="483" spans="10:10" ht="15" x14ac:dyDescent="0.25">
      <c r="J483"/>
    </row>
    <row r="484" spans="10:10" ht="15" x14ac:dyDescent="0.25">
      <c r="J484"/>
    </row>
    <row r="485" spans="10:10" ht="15" x14ac:dyDescent="0.25">
      <c r="J485"/>
    </row>
    <row r="486" spans="10:10" ht="15" x14ac:dyDescent="0.25">
      <c r="J486"/>
    </row>
    <row r="487" spans="10:10" ht="15" x14ac:dyDescent="0.25">
      <c r="J487"/>
    </row>
    <row r="488" spans="10:10" ht="15" x14ac:dyDescent="0.25">
      <c r="J488"/>
    </row>
    <row r="489" spans="10:10" ht="15" x14ac:dyDescent="0.25">
      <c r="J489"/>
    </row>
    <row r="490" spans="10:10" ht="15" x14ac:dyDescent="0.25">
      <c r="J490"/>
    </row>
    <row r="491" spans="10:10" ht="15" x14ac:dyDescent="0.25">
      <c r="J491"/>
    </row>
    <row r="492" spans="10:10" ht="15" x14ac:dyDescent="0.25">
      <c r="J492"/>
    </row>
    <row r="493" spans="10:10" ht="15" x14ac:dyDescent="0.25">
      <c r="J493"/>
    </row>
    <row r="494" spans="10:10" ht="15" x14ac:dyDescent="0.25">
      <c r="J494"/>
    </row>
    <row r="495" spans="10:10" ht="15" x14ac:dyDescent="0.25">
      <c r="J495"/>
    </row>
    <row r="496" spans="10:10" ht="15" x14ac:dyDescent="0.25">
      <c r="J496"/>
    </row>
    <row r="497" spans="10:10" ht="15" x14ac:dyDescent="0.25">
      <c r="J497"/>
    </row>
    <row r="498" spans="10:10" ht="15" x14ac:dyDescent="0.25">
      <c r="J498"/>
    </row>
    <row r="499" spans="10:10" ht="15" x14ac:dyDescent="0.25">
      <c r="J499"/>
    </row>
    <row r="500" spans="10:10" ht="15" x14ac:dyDescent="0.25">
      <c r="J500"/>
    </row>
    <row r="501" spans="10:10" ht="15" x14ac:dyDescent="0.25">
      <c r="J501"/>
    </row>
    <row r="502" spans="10:10" ht="15" x14ac:dyDescent="0.25">
      <c r="J502"/>
    </row>
    <row r="503" spans="10:10" ht="15" x14ac:dyDescent="0.25">
      <c r="J503"/>
    </row>
    <row r="504" spans="10:10" ht="15" x14ac:dyDescent="0.25">
      <c r="J504"/>
    </row>
    <row r="505" spans="10:10" ht="15" x14ac:dyDescent="0.25">
      <c r="J505"/>
    </row>
    <row r="506" spans="10:10" ht="15" x14ac:dyDescent="0.25">
      <c r="J506"/>
    </row>
    <row r="507" spans="10:10" ht="15" x14ac:dyDescent="0.25">
      <c r="J507"/>
    </row>
    <row r="508" spans="10:10" ht="15" x14ac:dyDescent="0.25">
      <c r="J508"/>
    </row>
    <row r="509" spans="10:10" ht="15" x14ac:dyDescent="0.25">
      <c r="J509"/>
    </row>
    <row r="510" spans="10:10" ht="15" x14ac:dyDescent="0.25">
      <c r="J510"/>
    </row>
    <row r="511" spans="10:10" ht="15" x14ac:dyDescent="0.25">
      <c r="J511"/>
    </row>
    <row r="512" spans="10:10" ht="15" x14ac:dyDescent="0.25">
      <c r="J512"/>
    </row>
    <row r="513" spans="10:10" ht="15" x14ac:dyDescent="0.25">
      <c r="J513"/>
    </row>
    <row r="514" spans="10:10" ht="15" x14ac:dyDescent="0.25">
      <c r="J514"/>
    </row>
    <row r="515" spans="10:10" ht="15" x14ac:dyDescent="0.25">
      <c r="J515"/>
    </row>
    <row r="516" spans="10:10" ht="15" x14ac:dyDescent="0.25">
      <c r="J516"/>
    </row>
    <row r="517" spans="10:10" ht="15" x14ac:dyDescent="0.25">
      <c r="J517"/>
    </row>
    <row r="518" spans="10:10" ht="15" x14ac:dyDescent="0.25">
      <c r="J518"/>
    </row>
    <row r="519" spans="10:10" ht="15" x14ac:dyDescent="0.25">
      <c r="J519"/>
    </row>
    <row r="520" spans="10:10" ht="15" x14ac:dyDescent="0.25">
      <c r="J520"/>
    </row>
    <row r="521" spans="10:10" ht="15" x14ac:dyDescent="0.25">
      <c r="J521"/>
    </row>
    <row r="522" spans="10:10" ht="15" x14ac:dyDescent="0.25">
      <c r="J522"/>
    </row>
    <row r="523" spans="10:10" ht="15" x14ac:dyDescent="0.25">
      <c r="J523"/>
    </row>
    <row r="524" spans="10:10" ht="15" x14ac:dyDescent="0.25">
      <c r="J524"/>
    </row>
    <row r="525" spans="10:10" ht="15" x14ac:dyDescent="0.25">
      <c r="J525"/>
    </row>
    <row r="526" spans="10:10" ht="15" x14ac:dyDescent="0.25">
      <c r="J526"/>
    </row>
    <row r="527" spans="10:10" ht="15" x14ac:dyDescent="0.25">
      <c r="J527"/>
    </row>
    <row r="528" spans="10:10" ht="15" x14ac:dyDescent="0.25">
      <c r="J528"/>
    </row>
    <row r="529" spans="10:10" ht="15" x14ac:dyDescent="0.25">
      <c r="J529"/>
    </row>
    <row r="530" spans="10:10" ht="15" x14ac:dyDescent="0.25">
      <c r="J530"/>
    </row>
    <row r="531" spans="10:10" ht="15" x14ac:dyDescent="0.25">
      <c r="J531"/>
    </row>
    <row r="532" spans="10:10" ht="15" x14ac:dyDescent="0.25">
      <c r="J532"/>
    </row>
    <row r="533" spans="10:10" ht="15" x14ac:dyDescent="0.25">
      <c r="J533"/>
    </row>
    <row r="534" spans="10:10" ht="15" x14ac:dyDescent="0.25">
      <c r="J534"/>
    </row>
    <row r="535" spans="10:10" ht="15" x14ac:dyDescent="0.25">
      <c r="J535"/>
    </row>
    <row r="536" spans="10:10" ht="15" x14ac:dyDescent="0.25">
      <c r="J536"/>
    </row>
    <row r="537" spans="10:10" ht="15" x14ac:dyDescent="0.25">
      <c r="J537"/>
    </row>
    <row r="538" spans="10:10" ht="15" x14ac:dyDescent="0.25">
      <c r="J538"/>
    </row>
    <row r="539" spans="10:10" ht="15" x14ac:dyDescent="0.25">
      <c r="J539"/>
    </row>
    <row r="540" spans="10:10" ht="15" x14ac:dyDescent="0.25">
      <c r="J540"/>
    </row>
    <row r="541" spans="10:10" ht="15" x14ac:dyDescent="0.25">
      <c r="J541"/>
    </row>
    <row r="542" spans="10:10" ht="15" x14ac:dyDescent="0.25">
      <c r="J542"/>
    </row>
    <row r="543" spans="10:10" ht="15" x14ac:dyDescent="0.25">
      <c r="J543"/>
    </row>
    <row r="544" spans="10:10" ht="15" x14ac:dyDescent="0.25">
      <c r="J544"/>
    </row>
    <row r="545" spans="10:10" ht="15" x14ac:dyDescent="0.25">
      <c r="J545"/>
    </row>
    <row r="546" spans="10:10" ht="15" x14ac:dyDescent="0.25">
      <c r="J546"/>
    </row>
    <row r="547" spans="10:10" ht="15" x14ac:dyDescent="0.25">
      <c r="J547"/>
    </row>
    <row r="548" spans="10:10" ht="15" x14ac:dyDescent="0.25">
      <c r="J548"/>
    </row>
    <row r="549" spans="10:10" ht="15" x14ac:dyDescent="0.25">
      <c r="J549"/>
    </row>
    <row r="550" spans="10:10" ht="15" x14ac:dyDescent="0.25">
      <c r="J550"/>
    </row>
    <row r="551" spans="10:10" ht="15" x14ac:dyDescent="0.25">
      <c r="J551"/>
    </row>
    <row r="552" spans="10:10" ht="15" x14ac:dyDescent="0.25">
      <c r="J552"/>
    </row>
    <row r="553" spans="10:10" ht="15" x14ac:dyDescent="0.25">
      <c r="J553"/>
    </row>
    <row r="554" spans="10:10" ht="15" x14ac:dyDescent="0.25">
      <c r="J554"/>
    </row>
    <row r="555" spans="10:10" ht="15" x14ac:dyDescent="0.25">
      <c r="J555"/>
    </row>
    <row r="556" spans="10:10" ht="15" x14ac:dyDescent="0.25">
      <c r="J556"/>
    </row>
    <row r="557" spans="10:10" ht="15" x14ac:dyDescent="0.25">
      <c r="J557"/>
    </row>
    <row r="558" spans="10:10" ht="15" x14ac:dyDescent="0.25">
      <c r="J558"/>
    </row>
    <row r="559" spans="10:10" ht="15" x14ac:dyDescent="0.25">
      <c r="J559"/>
    </row>
    <row r="560" spans="10:10" ht="15" x14ac:dyDescent="0.25">
      <c r="J560"/>
    </row>
    <row r="561" spans="10:10" ht="15" x14ac:dyDescent="0.25">
      <c r="J561"/>
    </row>
    <row r="562" spans="10:10" ht="15" x14ac:dyDescent="0.25">
      <c r="J562"/>
    </row>
    <row r="563" spans="10:10" ht="15" x14ac:dyDescent="0.25">
      <c r="J563"/>
    </row>
    <row r="564" spans="10:10" ht="15" x14ac:dyDescent="0.25">
      <c r="J564"/>
    </row>
    <row r="565" spans="10:10" ht="15" x14ac:dyDescent="0.25">
      <c r="J565"/>
    </row>
    <row r="566" spans="10:10" ht="15" x14ac:dyDescent="0.25">
      <c r="J566"/>
    </row>
    <row r="567" spans="10:10" ht="15" x14ac:dyDescent="0.25">
      <c r="J567"/>
    </row>
    <row r="568" spans="10:10" ht="15" x14ac:dyDescent="0.25">
      <c r="J568"/>
    </row>
    <row r="569" spans="10:10" ht="15" x14ac:dyDescent="0.25">
      <c r="J569"/>
    </row>
    <row r="570" spans="10:10" ht="15" x14ac:dyDescent="0.25">
      <c r="J570"/>
    </row>
    <row r="571" spans="10:10" ht="15" x14ac:dyDescent="0.25">
      <c r="J571"/>
    </row>
    <row r="572" spans="10:10" ht="15" x14ac:dyDescent="0.25">
      <c r="J572"/>
    </row>
    <row r="573" spans="10:10" ht="15" x14ac:dyDescent="0.25">
      <c r="J573"/>
    </row>
    <row r="574" spans="10:10" ht="15" x14ac:dyDescent="0.25">
      <c r="J574"/>
    </row>
    <row r="575" spans="10:10" ht="15" x14ac:dyDescent="0.25">
      <c r="J575"/>
    </row>
    <row r="576" spans="10:10" ht="15" x14ac:dyDescent="0.25">
      <c r="J576"/>
    </row>
    <row r="577" spans="10:10" ht="15" x14ac:dyDescent="0.25">
      <c r="J577"/>
    </row>
    <row r="578" spans="10:10" ht="15" x14ac:dyDescent="0.25">
      <c r="J578"/>
    </row>
    <row r="579" spans="10:10" ht="15" x14ac:dyDescent="0.25">
      <c r="J579"/>
    </row>
    <row r="580" spans="10:10" ht="15" x14ac:dyDescent="0.25">
      <c r="J580"/>
    </row>
    <row r="581" spans="10:10" ht="15" x14ac:dyDescent="0.25">
      <c r="J581"/>
    </row>
    <row r="582" spans="10:10" ht="15" x14ac:dyDescent="0.25">
      <c r="J582"/>
    </row>
    <row r="583" spans="10:10" ht="15" x14ac:dyDescent="0.25">
      <c r="J583"/>
    </row>
    <row r="584" spans="10:10" ht="15" x14ac:dyDescent="0.25">
      <c r="J584"/>
    </row>
    <row r="585" spans="10:10" ht="15" x14ac:dyDescent="0.25">
      <c r="J585"/>
    </row>
    <row r="586" spans="10:10" ht="15" x14ac:dyDescent="0.25">
      <c r="J586"/>
    </row>
    <row r="587" spans="10:10" ht="15" x14ac:dyDescent="0.25">
      <c r="J587"/>
    </row>
    <row r="588" spans="10:10" ht="15" x14ac:dyDescent="0.25">
      <c r="J588"/>
    </row>
    <row r="589" spans="10:10" ht="15" x14ac:dyDescent="0.25">
      <c r="J589"/>
    </row>
    <row r="590" spans="10:10" ht="15" x14ac:dyDescent="0.25">
      <c r="J590"/>
    </row>
    <row r="591" spans="10:10" ht="15" x14ac:dyDescent="0.25">
      <c r="J591"/>
    </row>
    <row r="592" spans="10:10" ht="15" x14ac:dyDescent="0.25">
      <c r="J592"/>
    </row>
    <row r="593" spans="10:10" ht="15" x14ac:dyDescent="0.25">
      <c r="J593"/>
    </row>
    <row r="594" spans="10:10" ht="15" x14ac:dyDescent="0.25">
      <c r="J594"/>
    </row>
    <row r="595" spans="10:10" ht="15" x14ac:dyDescent="0.25">
      <c r="J595"/>
    </row>
    <row r="596" spans="10:10" ht="15" x14ac:dyDescent="0.25">
      <c r="J596"/>
    </row>
    <row r="597" spans="10:10" ht="15" x14ac:dyDescent="0.25">
      <c r="J597"/>
    </row>
    <row r="598" spans="10:10" ht="15" x14ac:dyDescent="0.25">
      <c r="J598"/>
    </row>
    <row r="599" spans="10:10" ht="15" x14ac:dyDescent="0.25">
      <c r="J599"/>
    </row>
    <row r="600" spans="10:10" ht="15" x14ac:dyDescent="0.25">
      <c r="J600"/>
    </row>
    <row r="601" spans="10:10" ht="15" x14ac:dyDescent="0.25">
      <c r="J601"/>
    </row>
    <row r="602" spans="10:10" ht="15" x14ac:dyDescent="0.25">
      <c r="J602"/>
    </row>
    <row r="603" spans="10:10" ht="15" x14ac:dyDescent="0.25">
      <c r="J603"/>
    </row>
    <row r="604" spans="10:10" ht="15" x14ac:dyDescent="0.25">
      <c r="J604"/>
    </row>
    <row r="605" spans="10:10" ht="15" x14ac:dyDescent="0.25">
      <c r="J605"/>
    </row>
    <row r="606" spans="10:10" ht="15" x14ac:dyDescent="0.25">
      <c r="J606"/>
    </row>
    <row r="607" spans="10:10" ht="15" x14ac:dyDescent="0.25">
      <c r="J607"/>
    </row>
    <row r="608" spans="10:10" ht="15" x14ac:dyDescent="0.25">
      <c r="J608"/>
    </row>
    <row r="609" spans="10:10" ht="15" x14ac:dyDescent="0.25">
      <c r="J609"/>
    </row>
    <row r="610" spans="10:10" ht="15" x14ac:dyDescent="0.25">
      <c r="J610"/>
    </row>
    <row r="611" spans="10:10" ht="15" x14ac:dyDescent="0.25">
      <c r="J611"/>
    </row>
    <row r="612" spans="10:10" ht="15" x14ac:dyDescent="0.25">
      <c r="J612"/>
    </row>
    <row r="613" spans="10:10" ht="15" x14ac:dyDescent="0.25">
      <c r="J613"/>
    </row>
    <row r="614" spans="10:10" ht="15" x14ac:dyDescent="0.25">
      <c r="J614"/>
    </row>
    <row r="615" spans="10:10" ht="15" x14ac:dyDescent="0.25">
      <c r="J615"/>
    </row>
    <row r="616" spans="10:10" ht="15" x14ac:dyDescent="0.25">
      <c r="J616"/>
    </row>
    <row r="617" spans="10:10" ht="15" x14ac:dyDescent="0.25">
      <c r="J617"/>
    </row>
    <row r="618" spans="10:10" ht="15" x14ac:dyDescent="0.25">
      <c r="J618"/>
    </row>
    <row r="619" spans="10:10" ht="15" x14ac:dyDescent="0.25">
      <c r="J619"/>
    </row>
    <row r="620" spans="10:10" ht="15" x14ac:dyDescent="0.25">
      <c r="J620"/>
    </row>
    <row r="621" spans="10:10" ht="15" x14ac:dyDescent="0.25">
      <c r="J621"/>
    </row>
    <row r="622" spans="10:10" ht="15" x14ac:dyDescent="0.25">
      <c r="J622"/>
    </row>
    <row r="623" spans="10:10" ht="15" x14ac:dyDescent="0.25">
      <c r="J623"/>
    </row>
    <row r="624" spans="10:10" ht="15" x14ac:dyDescent="0.25">
      <c r="J624"/>
    </row>
    <row r="625" spans="10:10" ht="15" x14ac:dyDescent="0.25">
      <c r="J625"/>
    </row>
    <row r="626" spans="10:10" ht="15" x14ac:dyDescent="0.25">
      <c r="J626"/>
    </row>
    <row r="627" spans="10:10" ht="15" x14ac:dyDescent="0.25">
      <c r="J627"/>
    </row>
    <row r="628" spans="10:10" ht="15" x14ac:dyDescent="0.25">
      <c r="J628"/>
    </row>
    <row r="629" spans="10:10" ht="15" x14ac:dyDescent="0.25">
      <c r="J629"/>
    </row>
    <row r="630" spans="10:10" ht="15" x14ac:dyDescent="0.25">
      <c r="J630"/>
    </row>
    <row r="631" spans="10:10" ht="15" x14ac:dyDescent="0.25">
      <c r="J631"/>
    </row>
    <row r="632" spans="10:10" ht="15" x14ac:dyDescent="0.25">
      <c r="J632"/>
    </row>
    <row r="633" spans="10:10" ht="15" x14ac:dyDescent="0.25">
      <c r="J633"/>
    </row>
    <row r="634" spans="10:10" ht="15" x14ac:dyDescent="0.25">
      <c r="J634"/>
    </row>
    <row r="635" spans="10:10" ht="15" x14ac:dyDescent="0.25">
      <c r="J635"/>
    </row>
    <row r="636" spans="10:10" ht="15" x14ac:dyDescent="0.25">
      <c r="J636"/>
    </row>
    <row r="637" spans="10:10" ht="15" x14ac:dyDescent="0.25">
      <c r="J637"/>
    </row>
    <row r="638" spans="10:10" ht="15" x14ac:dyDescent="0.25">
      <c r="J638"/>
    </row>
    <row r="639" spans="10:10" ht="15" x14ac:dyDescent="0.25">
      <c r="J639"/>
    </row>
    <row r="640" spans="10:10" ht="15" x14ac:dyDescent="0.25">
      <c r="J640"/>
    </row>
    <row r="641" spans="10:10" ht="15" x14ac:dyDescent="0.25">
      <c r="J641"/>
    </row>
    <row r="642" spans="10:10" ht="15" x14ac:dyDescent="0.25">
      <c r="J642"/>
    </row>
    <row r="643" spans="10:10" ht="15" x14ac:dyDescent="0.25">
      <c r="J643"/>
    </row>
    <row r="644" spans="10:10" ht="15" x14ac:dyDescent="0.25">
      <c r="J644"/>
    </row>
    <row r="645" spans="10:10" ht="15" x14ac:dyDescent="0.25">
      <c r="J645"/>
    </row>
    <row r="646" spans="10:10" ht="15" x14ac:dyDescent="0.25">
      <c r="J646"/>
    </row>
    <row r="647" spans="10:10" ht="15" x14ac:dyDescent="0.25">
      <c r="J647"/>
    </row>
    <row r="648" spans="10:10" ht="15" x14ac:dyDescent="0.25">
      <c r="J648"/>
    </row>
    <row r="649" spans="10:10" ht="15" x14ac:dyDescent="0.25">
      <c r="J649"/>
    </row>
    <row r="650" spans="10:10" ht="15" x14ac:dyDescent="0.25">
      <c r="J650"/>
    </row>
    <row r="651" spans="10:10" ht="15" x14ac:dyDescent="0.25">
      <c r="J651"/>
    </row>
    <row r="652" spans="10:10" ht="15" x14ac:dyDescent="0.25">
      <c r="J652"/>
    </row>
    <row r="653" spans="10:10" ht="15" x14ac:dyDescent="0.25">
      <c r="J653"/>
    </row>
    <row r="654" spans="10:10" ht="15" x14ac:dyDescent="0.25">
      <c r="J654"/>
    </row>
    <row r="655" spans="10:10" ht="15" x14ac:dyDescent="0.25">
      <c r="J655"/>
    </row>
    <row r="656" spans="10:10" ht="15" x14ac:dyDescent="0.25">
      <c r="J656"/>
    </row>
    <row r="657" spans="10:10" ht="15" x14ac:dyDescent="0.25">
      <c r="J657"/>
    </row>
    <row r="658" spans="10:10" ht="15" x14ac:dyDescent="0.25">
      <c r="J658"/>
    </row>
    <row r="659" spans="10:10" ht="15" x14ac:dyDescent="0.25">
      <c r="J659"/>
    </row>
    <row r="660" spans="10:10" ht="15" x14ac:dyDescent="0.25">
      <c r="J660"/>
    </row>
    <row r="661" spans="10:10" ht="15" x14ac:dyDescent="0.25">
      <c r="J661"/>
    </row>
    <row r="662" spans="10:10" ht="15" x14ac:dyDescent="0.25">
      <c r="J662"/>
    </row>
    <row r="663" spans="10:10" ht="15" x14ac:dyDescent="0.25">
      <c r="J663"/>
    </row>
    <row r="664" spans="10:10" ht="15" x14ac:dyDescent="0.25">
      <c r="J664"/>
    </row>
    <row r="665" spans="10:10" ht="15" x14ac:dyDescent="0.25">
      <c r="J665"/>
    </row>
    <row r="666" spans="10:10" ht="15" x14ac:dyDescent="0.25">
      <c r="J666"/>
    </row>
    <row r="667" spans="10:10" ht="15" x14ac:dyDescent="0.25">
      <c r="J667"/>
    </row>
    <row r="668" spans="10:10" ht="15" x14ac:dyDescent="0.25">
      <c r="J668"/>
    </row>
    <row r="669" spans="10:10" ht="15" x14ac:dyDescent="0.25">
      <c r="J669"/>
    </row>
    <row r="670" spans="10:10" ht="15" x14ac:dyDescent="0.25">
      <c r="J670"/>
    </row>
    <row r="671" spans="10:10" ht="15" x14ac:dyDescent="0.25">
      <c r="J671"/>
    </row>
    <row r="672" spans="10:10" ht="15" x14ac:dyDescent="0.25">
      <c r="J672"/>
    </row>
    <row r="673" spans="10:10" ht="15" x14ac:dyDescent="0.25">
      <c r="J673"/>
    </row>
    <row r="674" spans="10:10" ht="15" x14ac:dyDescent="0.25">
      <c r="J674"/>
    </row>
    <row r="675" spans="10:10" ht="15" x14ac:dyDescent="0.25">
      <c r="J675"/>
    </row>
    <row r="676" spans="10:10" ht="15" x14ac:dyDescent="0.25">
      <c r="J676"/>
    </row>
    <row r="677" spans="10:10" ht="15" x14ac:dyDescent="0.25">
      <c r="J677"/>
    </row>
    <row r="678" spans="10:10" ht="15" x14ac:dyDescent="0.25">
      <c r="J678"/>
    </row>
    <row r="679" spans="10:10" ht="15" x14ac:dyDescent="0.25">
      <c r="J679"/>
    </row>
    <row r="680" spans="10:10" ht="15" x14ac:dyDescent="0.25">
      <c r="J680"/>
    </row>
    <row r="681" spans="10:10" ht="15" x14ac:dyDescent="0.25">
      <c r="J681"/>
    </row>
    <row r="682" spans="10:10" ht="15" x14ac:dyDescent="0.25">
      <c r="J682"/>
    </row>
    <row r="683" spans="10:10" ht="15" x14ac:dyDescent="0.25">
      <c r="J683"/>
    </row>
    <row r="684" spans="10:10" ht="15" x14ac:dyDescent="0.25">
      <c r="J684"/>
    </row>
    <row r="685" spans="10:10" ht="15" x14ac:dyDescent="0.25">
      <c r="J685"/>
    </row>
    <row r="686" spans="10:10" ht="15" x14ac:dyDescent="0.25">
      <c r="J686"/>
    </row>
    <row r="687" spans="10:10" ht="15" x14ac:dyDescent="0.25">
      <c r="J687"/>
    </row>
    <row r="688" spans="10:10" ht="15" x14ac:dyDescent="0.25">
      <c r="J688"/>
    </row>
    <row r="689" spans="10:10" ht="15" x14ac:dyDescent="0.25">
      <c r="J689"/>
    </row>
    <row r="690" spans="10:10" ht="15" x14ac:dyDescent="0.25">
      <c r="J690"/>
    </row>
    <row r="691" spans="10:10" ht="15" x14ac:dyDescent="0.25">
      <c r="J691"/>
    </row>
    <row r="692" spans="10:10" ht="15" x14ac:dyDescent="0.25">
      <c r="J692"/>
    </row>
    <row r="693" spans="10:10" ht="15" x14ac:dyDescent="0.25">
      <c r="J693"/>
    </row>
    <row r="694" spans="10:10" ht="15" x14ac:dyDescent="0.25">
      <c r="J694"/>
    </row>
    <row r="695" spans="10:10" ht="15" x14ac:dyDescent="0.25">
      <c r="J695"/>
    </row>
    <row r="696" spans="10:10" ht="15" x14ac:dyDescent="0.25">
      <c r="J696"/>
    </row>
    <row r="697" spans="10:10" ht="15" x14ac:dyDescent="0.25">
      <c r="J697"/>
    </row>
    <row r="698" spans="10:10" ht="15" x14ac:dyDescent="0.25">
      <c r="J698"/>
    </row>
    <row r="699" spans="10:10" ht="15" x14ac:dyDescent="0.25">
      <c r="J699"/>
    </row>
    <row r="700" spans="10:10" ht="15" x14ac:dyDescent="0.25">
      <c r="J700"/>
    </row>
    <row r="701" spans="10:10" ht="15" x14ac:dyDescent="0.25">
      <c r="J701"/>
    </row>
    <row r="702" spans="10:10" ht="15" x14ac:dyDescent="0.25">
      <c r="J702"/>
    </row>
  </sheetData>
  <pageMargins left="0.39370078740157483" right="0.39370078740157483" top="0.59055118110236227" bottom="0.47244094488188981" header="0.31496062992125984" footer="0.31496062992125984"/>
  <pageSetup paperSize="9" scale="77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2025-08-29T10:04:20Z</dcterms:modified>
</cp:coreProperties>
</file>