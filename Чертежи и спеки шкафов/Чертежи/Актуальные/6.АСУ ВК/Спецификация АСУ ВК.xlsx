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F6F5C96-7822-4E70-842B-66359189D2E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" l="1"/>
  <c r="I56" i="1"/>
  <c r="I47" i="1" l="1"/>
  <c r="I28" i="1" l="1"/>
  <c r="I29" i="1"/>
  <c r="I30" i="1"/>
  <c r="I84" i="1" l="1"/>
  <c r="I83" i="1"/>
  <c r="I82" i="1"/>
  <c r="I81" i="1"/>
  <c r="I80" i="1"/>
  <c r="I79" i="1"/>
  <c r="I78" i="1"/>
  <c r="I77" i="1"/>
  <c r="I53" i="1"/>
  <c r="I52" i="1"/>
  <c r="I55" i="1"/>
  <c r="I54" i="1"/>
  <c r="I76" i="1"/>
  <c r="I75" i="1"/>
  <c r="I51" i="1"/>
  <c r="I49" i="1"/>
  <c r="I50" i="1"/>
  <c r="I67" i="1"/>
  <c r="I68" i="1"/>
  <c r="I69" i="1"/>
  <c r="I70" i="1"/>
  <c r="I71" i="1"/>
  <c r="I72" i="1"/>
  <c r="I73" i="1"/>
  <c r="I74" i="1"/>
  <c r="I66" i="1"/>
  <c r="I65" i="1"/>
  <c r="I64" i="1"/>
  <c r="I48" i="1"/>
  <c r="I46" i="1"/>
  <c r="I45" i="1"/>
  <c r="I44" i="1"/>
  <c r="I43" i="1"/>
  <c r="I61" i="1"/>
  <c r="I60" i="1"/>
  <c r="I59" i="1"/>
  <c r="I58" i="1"/>
  <c r="I42" i="1"/>
  <c r="I41" i="1"/>
  <c r="I40" i="1"/>
  <c r="I39" i="1"/>
  <c r="I38" i="1"/>
  <c r="I37" i="1"/>
  <c r="I36" i="1"/>
  <c r="I35" i="1"/>
  <c r="I34" i="1"/>
  <c r="I33" i="1"/>
  <c r="I32" i="1"/>
  <c r="I31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86" i="1" l="1"/>
</calcChain>
</file>

<file path=xl/sharedStrings.xml><?xml version="1.0" encoding="utf-8"?>
<sst xmlns="http://schemas.openxmlformats.org/spreadsheetml/2006/main" count="322" uniqueCount="160">
  <si>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</si>
  <si>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</si>
  <si>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</si>
  <si>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</si>
  <si>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</si>
  <si>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</si>
  <si>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</si>
  <si>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</si>
  <si>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</si>
  <si>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</si>
  <si>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</si>
  <si>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</si>
  <si>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</si>
  <si>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</si>
  <si>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</si>
  <si>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</si>
  <si>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</si>
  <si>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</si>
  <si>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</si>
  <si>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</si>
  <si>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</si>
  <si>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</si>
  <si>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</si>
  <si>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</si>
  <si>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</si>
  <si>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</si>
  <si>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</si>
  <si>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</si>
  <si>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</si>
  <si>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</si>
  <si>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</si>
  <si>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</si>
  <si>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</si>
  <si>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</si>
  <si>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</si>
  <si>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</si>
  <si>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</si>
  <si>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</si>
  <si>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</si>
  <si>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</si>
  <si>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</si>
  <si>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</si>
  <si>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</si>
  <si>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</si>
  <si>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</si>
  <si>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</si>
  <si>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</si>
  <si>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</si>
  <si>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</si>
  <si>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</si>
  <si>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</si>
  <si>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</si>
  <si>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</si>
  <si>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</si>
  <si>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</si>
  <si>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</si>
  <si>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</si>
  <si>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</si>
  <si>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</si>
  <si>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</si>
  <si>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Каркас CR6 IOR</t>
  </si>
  <si>
    <t>CR6 IOR</t>
  </si>
  <si>
    <t>Коммутатор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</si>
  <si>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</si>
  <si>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</si>
  <si>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</si>
  <si>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</si>
  <si>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</si>
  <si>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</si>
  <si>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</si>
  <si>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</si>
  <si>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</si>
  <si>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</si>
  <si>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</si>
  <si>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</si>
  <si>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</si>
  <si>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</si>
  <si>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</si>
  <si>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</si>
  <si>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</si>
  <si>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</si>
  <si>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</si>
  <si>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</si>
  <si>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</si>
  <si>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</si>
  <si>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</si>
  <si>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</si>
  <si>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</si>
  <si>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</si>
  <si>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</si>
  <si>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</si>
  <si>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</si>
  <si>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</si>
  <si>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</si>
  <si>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</si>
  <si>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</si>
  <si>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</si>
  <si>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</si>
  <si>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</si>
  <si>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</si>
  <si>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</si>
  <si>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</si>
  <si>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</si>
  <si>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</si>
  <si>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</si>
  <si>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</si>
  <si>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</si>
  <si>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</si>
  <si>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</si>
  <si>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</si>
  <si>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</si>
  <si>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</si>
  <si>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</si>
  <si>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</si>
  <si>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</si>
  <si>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</si>
  <si>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</si>
  <si>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</si>
  <si>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</si>
  <si>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</si>
  <si>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</si>
  <si>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</si>
  <si>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01108RL</t>
  </si>
  <si>
    <t>Короб перфорированный, серый RL6 60x60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</si>
  <si>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</si>
  <si>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</si>
  <si>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</si>
  <si>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</si>
  <si>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</si>
  <si>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</si>
  <si>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</si>
  <si>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</si>
  <si>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Зуммер с подсветкой, 80дБ, красный, 220V AС, IP40, пластик</t>
  </si>
  <si>
    <t>MT22-SM220</t>
  </si>
  <si>
    <t>meyertec</t>
  </si>
  <si>
    <t>Кнопка управления D8-11 d=22мм 1NO+1NC черная</t>
  </si>
  <si>
    <t>BBT30-11-3-22-K02</t>
  </si>
  <si>
    <t>АСУ ВК</t>
  </si>
  <si>
    <t>Автоматический выключатель 2П 10А 6кА</t>
  </si>
  <si>
    <t>MVA20-2-010-C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</si>
  <si>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</si>
  <si>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</si>
  <si>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</si>
  <si>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</si>
  <si>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</si>
  <si>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</si>
  <si>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N2100-4SFP24T-P5</t>
  </si>
  <si>
    <t>Цена б.НДС</t>
  </si>
  <si>
    <t>Сумма б.НДС</t>
  </si>
  <si>
    <t>Интерфейсный модуль электромеханического реле 6А; 220В AC/DC</t>
  </si>
  <si>
    <t>38.51.7.220.0050</t>
  </si>
  <si>
    <t>Кабель для соединения каркасов и модулей</t>
  </si>
  <si>
    <t>CIDC</t>
  </si>
  <si>
    <t>CIDCS</t>
  </si>
  <si>
    <t>Итог</t>
  </si>
  <si>
    <t>Терминальная панель дискретного ввода</t>
  </si>
  <si>
    <t>Промышленный гигабитный SFP трансивер</t>
  </si>
  <si>
    <t>N2010-IGMSX850-055</t>
  </si>
  <si>
    <t>Шина медная 3Х20</t>
  </si>
  <si>
    <t>Изолятор SM35 (М8) силовой с болтом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</si>
</sst>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/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7"/>
  <sheetViews>
    <sheetView tabSelected="1" topLeftCell="A37" zoomScaleNormal="100" workbookViewId="0">
      <selection activeCell="H56" sqref="H56"/>
    </sheetView>
  </sheetViews>
  <sheetFormatPr defaultRowHeight="16.5" x14ac:dyDescent="0.3"/>
  <cols>
    <col min="1" max="1" width="7.7109375" customWidth="1"/>
    <col min="2" max="2" width="72.7109375" customWidth="1"/>
    <col min="3" max="4" width="21.7109375" customWidth="1"/>
    <col min="5" max="5" width="16.5703125" customWidth="1"/>
    <col min="6" max="6" width="8" customWidth="1"/>
    <col min="7" max="7" width="7.42578125" customWidth="1"/>
    <col min="8" max="8" width="15.42578125" style="9" customWidth="1"/>
    <col min="9" max="9" width="14" customWidth="1"/>
    <col min="10" max="10" width="10.140625" customWidth="1"/>
    <col min="11" max="11" width="8.85546875" style="6" customWidth="1"/>
    <col min="12" max="12" width="9.5703125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/>
      <c r="E1" s="2" t="s">
        <v>5</v>
      </c>
      <c r="F1" s="2" t="s">
        <v>3</v>
      </c>
      <c r="G1" s="2" t="s">
        <v>4</v>
      </c>
      <c r="H1" s="16" t="s">
        <v>147</v>
      </c>
      <c r="I1" s="7" t="s">
        <v>148</v>
      </c>
    </row>
    <row r="2" spans="1:9" s="1" customFormat="1" x14ac:dyDescent="0.25">
      <c r="A2" s="2">
        <v>1</v>
      </c>
      <c r="B2" s="2">
        <v>2</v>
      </c>
      <c r="C2" s="2">
        <v>3</v>
      </c>
      <c r="D2" s="2"/>
      <c r="E2" s="2">
        <v>4</v>
      </c>
      <c r="F2" s="2">
        <v>5</v>
      </c>
      <c r="G2" s="2">
        <v>6</v>
      </c>
      <c r="H2" s="16">
        <v>7</v>
      </c>
      <c r="I2" s="16">
        <v>8</v>
      </c>
    </row>
    <row r="3" spans="1:9" s="1" customFormat="1" x14ac:dyDescent="0.25">
      <c r="A3" s="2">
        <v>1</v>
      </c>
      <c r="B3" s="10" t="s">
        <v>137</v>
      </c>
      <c r="C3" s="11"/>
      <c r="D3" s="11"/>
      <c r="E3" s="11"/>
      <c r="F3" s="11"/>
      <c r="G3" s="11">
        <v>1</v>
      </c>
      <c r="H3" s="17"/>
      <c r="I3" s="18"/>
    </row>
    <row r="4" spans="1:9" s="1" customFormat="1" x14ac:dyDescent="0.25">
      <c r="A4" s="2"/>
      <c r="B4" s="3" t="s">
        <v>6</v>
      </c>
      <c r="C4" s="2" t="s">
        <v>7</v>
      </c>
      <c r="D4" s="2"/>
      <c r="E4" s="2" t="s">
        <v>8</v>
      </c>
      <c r="F4" s="2" t="s">
        <v>9</v>
      </c>
      <c r="G4" s="2">
        <v>5</v>
      </c>
      <c r="H4" s="15">
        <v>13336.66</v>
      </c>
      <c r="I4" s="16">
        <f>H4*G4</f>
        <v>66683.3</v>
      </c>
    </row>
    <row r="5" spans="1:9" s="1" customFormat="1" x14ac:dyDescent="0.25">
      <c r="A5" s="2"/>
      <c r="B5" s="3" t="s">
        <v>33</v>
      </c>
      <c r="C5" s="2" t="s">
        <v>32</v>
      </c>
      <c r="D5" s="2"/>
      <c r="E5" s="2" t="s">
        <v>8</v>
      </c>
      <c r="F5" s="2" t="s">
        <v>9</v>
      </c>
      <c r="G5" s="2">
        <v>3</v>
      </c>
      <c r="H5" s="15">
        <v>34945.07</v>
      </c>
      <c r="I5" s="16">
        <f t="shared" ref="I5:I47" si="0">H5*G5</f>
        <v>104835.20999999999</v>
      </c>
    </row>
    <row r="6" spans="1:9" s="1" customFormat="1" x14ac:dyDescent="0.25">
      <c r="A6" s="2"/>
      <c r="B6" s="3" t="s">
        <v>10</v>
      </c>
      <c r="C6" s="2" t="s">
        <v>11</v>
      </c>
      <c r="D6" s="2"/>
      <c r="E6" s="2" t="s">
        <v>8</v>
      </c>
      <c r="F6" s="2" t="s">
        <v>9</v>
      </c>
      <c r="G6" s="2">
        <v>2</v>
      </c>
      <c r="H6" s="15">
        <v>31500.62</v>
      </c>
      <c r="I6" s="16">
        <f t="shared" si="0"/>
        <v>63001.24</v>
      </c>
    </row>
    <row r="7" spans="1:9" s="1" customFormat="1" x14ac:dyDescent="0.25">
      <c r="A7" s="7"/>
      <c r="B7" s="3" t="s">
        <v>35</v>
      </c>
      <c r="C7" s="2" t="s">
        <v>34</v>
      </c>
      <c r="D7" s="2"/>
      <c r="E7" s="2" t="s">
        <v>8</v>
      </c>
      <c r="F7" s="2" t="s">
        <v>9</v>
      </c>
      <c r="G7" s="2">
        <v>6</v>
      </c>
      <c r="H7" s="15">
        <v>25451.62</v>
      </c>
      <c r="I7" s="16">
        <f t="shared" si="0"/>
        <v>152709.72</v>
      </c>
    </row>
    <row r="8" spans="1:9" s="1" customFormat="1" x14ac:dyDescent="0.25">
      <c r="A8" s="2"/>
      <c r="B8" s="3" t="s">
        <v>13</v>
      </c>
      <c r="C8" s="2" t="s">
        <v>12</v>
      </c>
      <c r="D8" s="2"/>
      <c r="E8" s="2" t="s">
        <v>8</v>
      </c>
      <c r="F8" s="2" t="s">
        <v>9</v>
      </c>
      <c r="G8" s="2">
        <v>4</v>
      </c>
      <c r="H8" s="15">
        <v>20219.900000000001</v>
      </c>
      <c r="I8" s="16">
        <f t="shared" si="0"/>
        <v>80879.600000000006</v>
      </c>
    </row>
    <row r="9" spans="1:9" s="1" customFormat="1" x14ac:dyDescent="0.25">
      <c r="A9" s="2"/>
      <c r="B9" s="3" t="s">
        <v>14</v>
      </c>
      <c r="C9" s="2" t="s">
        <v>15</v>
      </c>
      <c r="D9" s="2"/>
      <c r="E9" s="2" t="s">
        <v>8</v>
      </c>
      <c r="F9" s="2" t="s">
        <v>9</v>
      </c>
      <c r="G9" s="2">
        <v>1</v>
      </c>
      <c r="H9" s="15">
        <v>16230.47</v>
      </c>
      <c r="I9" s="16">
        <f t="shared" si="0"/>
        <v>16230.47</v>
      </c>
    </row>
    <row r="10" spans="1:9" s="1" customFormat="1" x14ac:dyDescent="0.25">
      <c r="A10" s="4"/>
      <c r="B10" s="3" t="s">
        <v>16</v>
      </c>
      <c r="C10" s="2" t="s">
        <v>17</v>
      </c>
      <c r="D10" s="2"/>
      <c r="E10" s="2" t="s">
        <v>8</v>
      </c>
      <c r="F10" s="2" t="s">
        <v>9</v>
      </c>
      <c r="G10" s="2">
        <v>4</v>
      </c>
      <c r="H10" s="15">
        <v>13856.99</v>
      </c>
      <c r="I10" s="16">
        <f t="shared" si="0"/>
        <v>55427.96</v>
      </c>
    </row>
    <row r="11" spans="1:9" s="1" customFormat="1" x14ac:dyDescent="0.25">
      <c r="A11" s="7"/>
      <c r="B11" s="3" t="s">
        <v>36</v>
      </c>
      <c r="C11" s="2" t="s">
        <v>37</v>
      </c>
      <c r="D11" s="2"/>
      <c r="E11" s="2" t="s">
        <v>8</v>
      </c>
      <c r="F11" s="2" t="s">
        <v>9</v>
      </c>
      <c r="G11" s="2">
        <v>5</v>
      </c>
      <c r="H11" s="15">
        <v>17472.740000000002</v>
      </c>
      <c r="I11" s="16">
        <f t="shared" si="0"/>
        <v>87363.700000000012</v>
      </c>
    </row>
    <row r="12" spans="1:9" s="1" customFormat="1" x14ac:dyDescent="0.25">
      <c r="A12" s="4"/>
      <c r="B12" s="3" t="s">
        <v>18</v>
      </c>
      <c r="C12" s="2" t="s">
        <v>19</v>
      </c>
      <c r="D12" s="2"/>
      <c r="E12" s="2" t="s">
        <v>8</v>
      </c>
      <c r="F12" s="2" t="s">
        <v>9</v>
      </c>
      <c r="G12" s="2">
        <v>5</v>
      </c>
      <c r="H12" s="15">
        <v>8312.18</v>
      </c>
      <c r="I12" s="16">
        <f t="shared" si="0"/>
        <v>41560.9</v>
      </c>
    </row>
    <row r="13" spans="1:9" s="1" customFormat="1" x14ac:dyDescent="0.25">
      <c r="A13" s="4"/>
      <c r="B13" s="3" t="s">
        <v>20</v>
      </c>
      <c r="C13" s="2" t="s">
        <v>21</v>
      </c>
      <c r="D13" s="2"/>
      <c r="E13" s="2" t="s">
        <v>8</v>
      </c>
      <c r="F13" s="2" t="s">
        <v>9</v>
      </c>
      <c r="G13" s="2">
        <v>7</v>
      </c>
      <c r="H13" s="15">
        <v>4050.05</v>
      </c>
      <c r="I13" s="16">
        <f t="shared" si="0"/>
        <v>28350.350000000002</v>
      </c>
    </row>
    <row r="14" spans="1:9" s="1" customFormat="1" x14ac:dyDescent="0.25">
      <c r="A14" s="7"/>
      <c r="B14" s="3" t="s">
        <v>38</v>
      </c>
      <c r="C14" s="2" t="s">
        <v>39</v>
      </c>
      <c r="D14" s="2"/>
      <c r="E14" s="2" t="s">
        <v>8</v>
      </c>
      <c r="F14" s="2" t="s">
        <v>9</v>
      </c>
      <c r="G14" s="2">
        <v>3</v>
      </c>
      <c r="H14" s="15">
        <v>5666.02</v>
      </c>
      <c r="I14" s="16">
        <f t="shared" si="0"/>
        <v>16998.060000000001</v>
      </c>
    </row>
    <row r="15" spans="1:9" s="1" customFormat="1" x14ac:dyDescent="0.25">
      <c r="A15" s="2"/>
      <c r="B15" s="3" t="s">
        <v>22</v>
      </c>
      <c r="C15" s="2" t="s">
        <v>23</v>
      </c>
      <c r="D15" s="2"/>
      <c r="E15" s="2" t="s">
        <v>8</v>
      </c>
      <c r="F15" s="2" t="s">
        <v>9</v>
      </c>
      <c r="G15" s="2">
        <v>2</v>
      </c>
      <c r="H15" s="15">
        <v>7881.08</v>
      </c>
      <c r="I15" s="16">
        <f t="shared" si="0"/>
        <v>15762.16</v>
      </c>
    </row>
    <row r="16" spans="1:9" s="1" customFormat="1" x14ac:dyDescent="0.25">
      <c r="A16" s="7"/>
      <c r="B16" s="3" t="s">
        <v>40</v>
      </c>
      <c r="C16" s="2" t="s">
        <v>41</v>
      </c>
      <c r="D16" s="2"/>
      <c r="E16" s="2" t="s">
        <v>8</v>
      </c>
      <c r="F16" s="2" t="s">
        <v>9</v>
      </c>
      <c r="G16" s="2">
        <v>9</v>
      </c>
      <c r="H16" s="15">
        <v>2625.96</v>
      </c>
      <c r="I16" s="16">
        <f t="shared" si="0"/>
        <v>23633.64</v>
      </c>
    </row>
    <row r="17" spans="1:9" s="1" customFormat="1" x14ac:dyDescent="0.25">
      <c r="A17" s="2"/>
      <c r="B17" s="3" t="s">
        <v>24</v>
      </c>
      <c r="C17" s="2" t="s">
        <v>25</v>
      </c>
      <c r="D17" s="2"/>
      <c r="E17" s="2" t="s">
        <v>8</v>
      </c>
      <c r="F17" s="2" t="s">
        <v>9</v>
      </c>
      <c r="G17" s="2">
        <v>4</v>
      </c>
      <c r="H17" s="15">
        <v>2423.9699999999998</v>
      </c>
      <c r="I17" s="16">
        <f t="shared" si="0"/>
        <v>9695.8799999999992</v>
      </c>
    </row>
    <row r="18" spans="1:9" s="1" customFormat="1" x14ac:dyDescent="0.25">
      <c r="A18" s="2"/>
      <c r="B18" s="3" t="s">
        <v>26</v>
      </c>
      <c r="C18" s="2" t="s">
        <v>27</v>
      </c>
      <c r="D18" s="2"/>
      <c r="E18" s="2" t="s">
        <v>8</v>
      </c>
      <c r="F18" s="2" t="s">
        <v>9</v>
      </c>
      <c r="G18" s="2">
        <v>5</v>
      </c>
      <c r="H18" s="15">
        <v>1368.58</v>
      </c>
      <c r="I18" s="16">
        <f t="shared" si="0"/>
        <v>6842.9</v>
      </c>
    </row>
    <row r="19" spans="1:9" s="1" customFormat="1" x14ac:dyDescent="0.25">
      <c r="A19" s="2"/>
      <c r="B19" s="3" t="s">
        <v>28</v>
      </c>
      <c r="C19" s="2" t="s">
        <v>29</v>
      </c>
      <c r="D19" s="2"/>
      <c r="E19" s="2" t="s">
        <v>8</v>
      </c>
      <c r="F19" s="2" t="s">
        <v>9</v>
      </c>
      <c r="G19" s="2">
        <v>9</v>
      </c>
      <c r="H19" s="15">
        <v>5070.55</v>
      </c>
      <c r="I19" s="16">
        <f t="shared" si="0"/>
        <v>45634.950000000004</v>
      </c>
    </row>
    <row r="20" spans="1:9" s="1" customFormat="1" ht="33" x14ac:dyDescent="0.25">
      <c r="A20" s="12"/>
      <c r="B20" s="5" t="s">
        <v>30</v>
      </c>
      <c r="C20" s="12" t="s">
        <v>31</v>
      </c>
      <c r="D20" s="12"/>
      <c r="E20" s="12" t="s">
        <v>8</v>
      </c>
      <c r="F20" s="12" t="s">
        <v>9</v>
      </c>
      <c r="G20" s="12">
        <v>9</v>
      </c>
      <c r="H20" s="15">
        <v>1545.28</v>
      </c>
      <c r="I20" s="16">
        <f t="shared" si="0"/>
        <v>13907.52</v>
      </c>
    </row>
    <row r="21" spans="1:9" s="1" customFormat="1" x14ac:dyDescent="0.25">
      <c r="A21" s="7"/>
      <c r="B21" s="3" t="s">
        <v>94</v>
      </c>
      <c r="C21" s="2" t="s">
        <v>95</v>
      </c>
      <c r="D21" s="2"/>
      <c r="E21" s="2" t="s">
        <v>8</v>
      </c>
      <c r="F21" s="2" t="s">
        <v>9</v>
      </c>
      <c r="G21" s="2">
        <v>2</v>
      </c>
      <c r="H21" s="15">
        <v>4848.87</v>
      </c>
      <c r="I21" s="16">
        <f t="shared" si="0"/>
        <v>9697.74</v>
      </c>
    </row>
    <row r="22" spans="1:9" s="1" customFormat="1" x14ac:dyDescent="0.25">
      <c r="A22" s="7"/>
      <c r="B22" s="3" t="s">
        <v>96</v>
      </c>
      <c r="C22" s="2" t="s">
        <v>97</v>
      </c>
      <c r="D22" s="2"/>
      <c r="E22" s="2" t="s">
        <v>8</v>
      </c>
      <c r="F22" s="2" t="s">
        <v>9</v>
      </c>
      <c r="G22" s="2">
        <v>1</v>
      </c>
      <c r="H22" s="15">
        <v>26355.73</v>
      </c>
      <c r="I22" s="16">
        <f t="shared" si="0"/>
        <v>26355.73</v>
      </c>
    </row>
    <row r="23" spans="1:9" s="1" customFormat="1" ht="33" x14ac:dyDescent="0.25">
      <c r="A23" s="13"/>
      <c r="B23" s="5" t="s">
        <v>99</v>
      </c>
      <c r="C23" s="12" t="s">
        <v>98</v>
      </c>
      <c r="D23" s="12"/>
      <c r="E23" s="12" t="s">
        <v>8</v>
      </c>
      <c r="F23" s="12" t="s">
        <v>9</v>
      </c>
      <c r="G23" s="12">
        <v>9</v>
      </c>
      <c r="H23" s="15">
        <v>1524.03</v>
      </c>
      <c r="I23" s="16">
        <f t="shared" si="0"/>
        <v>13716.27</v>
      </c>
    </row>
    <row r="24" spans="1:9" s="1" customFormat="1" x14ac:dyDescent="0.25">
      <c r="A24" s="8"/>
      <c r="B24" s="3" t="s">
        <v>44</v>
      </c>
      <c r="C24" s="2" t="s">
        <v>42</v>
      </c>
      <c r="D24" s="2"/>
      <c r="E24" s="2" t="s">
        <v>43</v>
      </c>
      <c r="F24" s="2" t="s">
        <v>9</v>
      </c>
      <c r="G24" s="2">
        <v>9</v>
      </c>
      <c r="H24" s="15">
        <v>430.07</v>
      </c>
      <c r="I24" s="16">
        <f t="shared" si="0"/>
        <v>3870.63</v>
      </c>
    </row>
    <row r="25" spans="1:9" s="1" customFormat="1" x14ac:dyDescent="0.25">
      <c r="A25" s="8"/>
      <c r="B25" s="3" t="s">
        <v>128</v>
      </c>
      <c r="C25" s="2" t="s">
        <v>127</v>
      </c>
      <c r="D25" s="2"/>
      <c r="E25" s="2" t="s">
        <v>43</v>
      </c>
      <c r="F25" s="2" t="s">
        <v>9</v>
      </c>
      <c r="G25" s="2">
        <v>6</v>
      </c>
      <c r="H25" s="15">
        <v>1176.69</v>
      </c>
      <c r="I25" s="16">
        <f t="shared" si="0"/>
        <v>7060.14</v>
      </c>
    </row>
    <row r="26" spans="1:9" s="1" customFormat="1" x14ac:dyDescent="0.25">
      <c r="A26" s="8"/>
      <c r="B26" s="3" t="s">
        <v>138</v>
      </c>
      <c r="C26" s="2" t="s">
        <v>139</v>
      </c>
      <c r="D26" s="2"/>
      <c r="E26" s="2" t="s">
        <v>43</v>
      </c>
      <c r="F26" s="2" t="s">
        <v>9</v>
      </c>
      <c r="G26" s="14">
        <v>1</v>
      </c>
      <c r="H26" s="15">
        <v>458.33</v>
      </c>
      <c r="I26" s="16">
        <f t="shared" si="0"/>
        <v>458.33</v>
      </c>
    </row>
    <row r="27" spans="1:9" s="1" customFormat="1" x14ac:dyDescent="0.25">
      <c r="A27" s="8"/>
      <c r="B27" s="3" t="s">
        <v>129</v>
      </c>
      <c r="C27" s="2" t="s">
        <v>130</v>
      </c>
      <c r="D27" s="2"/>
      <c r="E27" s="2" t="s">
        <v>43</v>
      </c>
      <c r="F27" s="2" t="s">
        <v>9</v>
      </c>
      <c r="G27" s="2">
        <v>20</v>
      </c>
      <c r="H27" s="15">
        <v>213.21</v>
      </c>
      <c r="I27" s="16">
        <f t="shared" si="0"/>
        <v>4264.2</v>
      </c>
    </row>
    <row r="28" spans="1:9" s="1" customFormat="1" x14ac:dyDescent="0.25">
      <c r="A28" s="8"/>
      <c r="B28" s="3" t="s">
        <v>140</v>
      </c>
      <c r="C28" s="2" t="s">
        <v>141</v>
      </c>
      <c r="D28" s="2"/>
      <c r="E28" s="2" t="s">
        <v>43</v>
      </c>
      <c r="F28" s="2" t="s">
        <v>9</v>
      </c>
      <c r="G28" s="2">
        <v>2</v>
      </c>
      <c r="H28" s="15">
        <v>909.33</v>
      </c>
      <c r="I28" s="16">
        <f t="shared" si="0"/>
        <v>1818.66</v>
      </c>
    </row>
    <row r="29" spans="1:9" s="1" customFormat="1" x14ac:dyDescent="0.25">
      <c r="A29" s="8"/>
      <c r="B29" s="3" t="s">
        <v>142</v>
      </c>
      <c r="C29" s="2" t="s">
        <v>143</v>
      </c>
      <c r="D29" s="2"/>
      <c r="E29" s="2" t="s">
        <v>43</v>
      </c>
      <c r="F29" s="2" t="s">
        <v>9</v>
      </c>
      <c r="G29" s="2">
        <v>2</v>
      </c>
      <c r="H29" s="15">
        <v>228</v>
      </c>
      <c r="I29" s="16">
        <f t="shared" si="0"/>
        <v>456</v>
      </c>
    </row>
    <row r="30" spans="1:9" s="1" customFormat="1" x14ac:dyDescent="0.25">
      <c r="A30" s="8"/>
      <c r="B30" s="3" t="s">
        <v>144</v>
      </c>
      <c r="C30" s="2" t="s">
        <v>145</v>
      </c>
      <c r="D30" s="2"/>
      <c r="E30" s="2" t="s">
        <v>43</v>
      </c>
      <c r="F30" s="2" t="s">
        <v>9</v>
      </c>
      <c r="G30" s="2">
        <v>1</v>
      </c>
      <c r="H30" s="15">
        <v>296.88</v>
      </c>
      <c r="I30" s="16">
        <f t="shared" si="0"/>
        <v>296.88</v>
      </c>
    </row>
    <row r="31" spans="1:9" s="1" customFormat="1" x14ac:dyDescent="0.25">
      <c r="A31" s="8"/>
      <c r="B31" s="3" t="s">
        <v>46</v>
      </c>
      <c r="C31" s="2" t="s">
        <v>45</v>
      </c>
      <c r="D31" s="2"/>
      <c r="E31" s="2" t="s">
        <v>8</v>
      </c>
      <c r="F31" s="2" t="s">
        <v>9</v>
      </c>
      <c r="G31" s="2">
        <v>10</v>
      </c>
      <c r="H31" s="15">
        <v>5564.85</v>
      </c>
      <c r="I31" s="16">
        <f t="shared" si="0"/>
        <v>55648.5</v>
      </c>
    </row>
    <row r="32" spans="1:9" s="1" customFormat="1" ht="23.25" customHeight="1" x14ac:dyDescent="0.25">
      <c r="A32" s="8"/>
      <c r="B32" s="3" t="s">
        <v>48</v>
      </c>
      <c r="C32" s="2" t="s">
        <v>47</v>
      </c>
      <c r="D32" s="2"/>
      <c r="E32" s="2" t="s">
        <v>8</v>
      </c>
      <c r="F32" s="2" t="s">
        <v>9</v>
      </c>
      <c r="G32" s="2">
        <v>8</v>
      </c>
      <c r="H32" s="15">
        <v>5517.97</v>
      </c>
      <c r="I32" s="16">
        <f t="shared" si="0"/>
        <v>44143.76</v>
      </c>
    </row>
    <row r="33" spans="1:9" s="1" customFormat="1" x14ac:dyDescent="0.25">
      <c r="A33" s="8"/>
      <c r="B33" s="5" t="s">
        <v>50</v>
      </c>
      <c r="C33" s="12" t="s">
        <v>49</v>
      </c>
      <c r="D33" s="12"/>
      <c r="E33" s="2" t="s">
        <v>8</v>
      </c>
      <c r="F33" s="2" t="s">
        <v>9</v>
      </c>
      <c r="G33" s="2">
        <v>4</v>
      </c>
      <c r="H33" s="15">
        <v>20106.599999999999</v>
      </c>
      <c r="I33" s="16">
        <f t="shared" si="0"/>
        <v>80426.399999999994</v>
      </c>
    </row>
    <row r="34" spans="1:9" s="1" customFormat="1" ht="19.5" customHeight="1" x14ac:dyDescent="0.25">
      <c r="A34" s="8"/>
      <c r="B34" s="5" t="s">
        <v>52</v>
      </c>
      <c r="C34" s="2" t="s">
        <v>51</v>
      </c>
      <c r="D34" s="2"/>
      <c r="E34" s="2" t="s">
        <v>8</v>
      </c>
      <c r="F34" s="2" t="s">
        <v>9</v>
      </c>
      <c r="G34" s="2">
        <v>6</v>
      </c>
      <c r="H34" s="15">
        <v>1151.18</v>
      </c>
      <c r="I34" s="16">
        <f t="shared" si="0"/>
        <v>6907.08</v>
      </c>
    </row>
    <row r="35" spans="1:9" s="1" customFormat="1" x14ac:dyDescent="0.25">
      <c r="A35" s="8"/>
      <c r="B35" s="3" t="s">
        <v>53</v>
      </c>
      <c r="C35" s="2" t="s">
        <v>54</v>
      </c>
      <c r="D35" s="2"/>
      <c r="E35" s="2" t="s">
        <v>8</v>
      </c>
      <c r="F35" s="2" t="s">
        <v>9</v>
      </c>
      <c r="G35" s="2">
        <v>6</v>
      </c>
      <c r="H35" s="15">
        <v>5365.01</v>
      </c>
      <c r="I35" s="16">
        <f t="shared" si="0"/>
        <v>32190.06</v>
      </c>
    </row>
    <row r="36" spans="1:9" s="1" customFormat="1" ht="16.5" customHeight="1" x14ac:dyDescent="0.25">
      <c r="A36" s="8"/>
      <c r="B36" s="3" t="s">
        <v>78</v>
      </c>
      <c r="C36" s="2" t="s">
        <v>79</v>
      </c>
      <c r="D36" s="2"/>
      <c r="E36" s="2" t="s">
        <v>43</v>
      </c>
      <c r="F36" s="2" t="s">
        <v>9</v>
      </c>
      <c r="G36" s="2">
        <v>1</v>
      </c>
      <c r="H36" s="15">
        <v>306.83</v>
      </c>
      <c r="I36" s="16">
        <f t="shared" si="0"/>
        <v>306.83</v>
      </c>
    </row>
    <row r="37" spans="1:9" s="1" customFormat="1" x14ac:dyDescent="0.25">
      <c r="A37" s="8"/>
      <c r="B37" s="3" t="s">
        <v>117</v>
      </c>
      <c r="C37" s="2" t="s">
        <v>118</v>
      </c>
      <c r="D37" s="2"/>
      <c r="E37" s="2" t="s">
        <v>114</v>
      </c>
      <c r="F37" s="2" t="s">
        <v>9</v>
      </c>
      <c r="G37" s="2">
        <v>1</v>
      </c>
      <c r="H37" s="15">
        <v>569.25</v>
      </c>
      <c r="I37" s="16">
        <f t="shared" si="0"/>
        <v>569.25</v>
      </c>
    </row>
    <row r="38" spans="1:9" s="1" customFormat="1" x14ac:dyDescent="0.25">
      <c r="A38" s="8"/>
      <c r="B38" s="3" t="s">
        <v>132</v>
      </c>
      <c r="C38" s="2" t="s">
        <v>133</v>
      </c>
      <c r="D38" s="2"/>
      <c r="E38" s="2" t="s">
        <v>134</v>
      </c>
      <c r="F38" s="2" t="s">
        <v>9</v>
      </c>
      <c r="G38" s="2">
        <v>1</v>
      </c>
      <c r="H38" s="15">
        <v>449</v>
      </c>
      <c r="I38" s="16">
        <f t="shared" si="0"/>
        <v>449</v>
      </c>
    </row>
    <row r="39" spans="1:9" s="1" customFormat="1" x14ac:dyDescent="0.25">
      <c r="A39" s="8"/>
      <c r="B39" s="3" t="s">
        <v>135</v>
      </c>
      <c r="C39" s="2" t="s">
        <v>136</v>
      </c>
      <c r="D39" s="2"/>
      <c r="E39" s="2" t="s">
        <v>43</v>
      </c>
      <c r="F39" s="2" t="s">
        <v>9</v>
      </c>
      <c r="G39" s="2">
        <v>1</v>
      </c>
      <c r="H39" s="15">
        <v>127.71</v>
      </c>
      <c r="I39" s="16">
        <f t="shared" si="0"/>
        <v>127.71</v>
      </c>
    </row>
    <row r="40" spans="1:9" s="1" customFormat="1" x14ac:dyDescent="0.25">
      <c r="A40" s="8"/>
      <c r="B40" s="5" t="s">
        <v>55</v>
      </c>
      <c r="C40" s="2" t="s">
        <v>56</v>
      </c>
      <c r="D40" s="2"/>
      <c r="E40" s="2" t="s">
        <v>8</v>
      </c>
      <c r="F40" s="2" t="s">
        <v>9</v>
      </c>
      <c r="G40" s="2">
        <v>2</v>
      </c>
      <c r="H40" s="15">
        <v>7555.21</v>
      </c>
      <c r="I40" s="16">
        <f t="shared" si="0"/>
        <v>15110.42</v>
      </c>
    </row>
    <row r="41" spans="1:9" s="1" customFormat="1" x14ac:dyDescent="0.25">
      <c r="A41" s="8"/>
      <c r="B41" s="5" t="s">
        <v>69</v>
      </c>
      <c r="C41" s="2" t="s">
        <v>68</v>
      </c>
      <c r="D41" s="2"/>
      <c r="E41" s="2" t="s">
        <v>8</v>
      </c>
      <c r="F41" s="2" t="s">
        <v>9</v>
      </c>
      <c r="G41" s="2">
        <v>2</v>
      </c>
      <c r="H41" s="15">
        <v>1043.51</v>
      </c>
      <c r="I41" s="16">
        <f t="shared" si="0"/>
        <v>2087.02</v>
      </c>
    </row>
    <row r="42" spans="1:9" s="1" customFormat="1" x14ac:dyDescent="0.25">
      <c r="A42" s="8"/>
      <c r="B42" s="3" t="s">
        <v>70</v>
      </c>
      <c r="C42" s="2" t="s">
        <v>71</v>
      </c>
      <c r="D42" s="2"/>
      <c r="E42" s="2" t="s">
        <v>72</v>
      </c>
      <c r="F42" s="2" t="s">
        <v>9</v>
      </c>
      <c r="G42" s="2">
        <v>1</v>
      </c>
      <c r="H42" s="15">
        <v>66578.33</v>
      </c>
      <c r="I42" s="16">
        <f t="shared" si="0"/>
        <v>66578.33</v>
      </c>
    </row>
    <row r="43" spans="1:9" s="1" customFormat="1" x14ac:dyDescent="0.25">
      <c r="A43" s="8"/>
      <c r="B43" s="3" t="s">
        <v>112</v>
      </c>
      <c r="C43" s="2" t="s">
        <v>113</v>
      </c>
      <c r="D43" s="2"/>
      <c r="E43" s="2" t="s">
        <v>75</v>
      </c>
      <c r="F43" s="2" t="s">
        <v>9</v>
      </c>
      <c r="G43" s="2">
        <v>1</v>
      </c>
      <c r="H43" s="15">
        <v>1091.67</v>
      </c>
      <c r="I43" s="16">
        <f t="shared" si="0"/>
        <v>1091.67</v>
      </c>
    </row>
    <row r="44" spans="1:9" s="1" customFormat="1" x14ac:dyDescent="0.25">
      <c r="A44" s="8"/>
      <c r="B44" s="3" t="s">
        <v>74</v>
      </c>
      <c r="C44" s="2" t="s">
        <v>73</v>
      </c>
      <c r="D44" s="2"/>
      <c r="E44" s="2" t="s">
        <v>75</v>
      </c>
      <c r="F44" s="2" t="s">
        <v>9</v>
      </c>
      <c r="G44" s="2">
        <v>2</v>
      </c>
      <c r="H44" s="15">
        <v>56066.67</v>
      </c>
      <c r="I44" s="16">
        <f t="shared" si="0"/>
        <v>112133.34</v>
      </c>
    </row>
    <row r="45" spans="1:9" s="1" customFormat="1" ht="16.149999999999999" customHeight="1" x14ac:dyDescent="0.25">
      <c r="A45" s="8"/>
      <c r="B45" s="3" t="s">
        <v>100</v>
      </c>
      <c r="C45" s="2"/>
      <c r="D45" s="2"/>
      <c r="E45" s="2" t="s">
        <v>75</v>
      </c>
      <c r="F45" s="2" t="s">
        <v>9</v>
      </c>
      <c r="G45" s="2">
        <v>6</v>
      </c>
      <c r="H45" s="15"/>
      <c r="I45" s="16">
        <f t="shared" si="0"/>
        <v>0</v>
      </c>
    </row>
    <row r="46" spans="1:9" s="1" customFormat="1" x14ac:dyDescent="0.25">
      <c r="A46" s="8"/>
      <c r="B46" s="3" t="s">
        <v>76</v>
      </c>
      <c r="C46" s="2" t="s">
        <v>77</v>
      </c>
      <c r="D46" s="2"/>
      <c r="E46" s="2" t="s">
        <v>75</v>
      </c>
      <c r="F46" s="2" t="s">
        <v>9</v>
      </c>
      <c r="G46" s="2">
        <v>4</v>
      </c>
      <c r="H46" s="15">
        <v>34533.33</v>
      </c>
      <c r="I46" s="16">
        <f t="shared" si="0"/>
        <v>138133.32</v>
      </c>
    </row>
    <row r="47" spans="1:9" s="1" customFormat="1" x14ac:dyDescent="0.25">
      <c r="A47" s="8"/>
      <c r="B47" s="3" t="s">
        <v>156</v>
      </c>
      <c r="C47" s="2" t="s">
        <v>157</v>
      </c>
      <c r="D47" s="2"/>
      <c r="E47" s="2" t="s">
        <v>8</v>
      </c>
      <c r="F47" s="2" t="s">
        <v>9</v>
      </c>
      <c r="G47" s="14">
        <v>8</v>
      </c>
      <c r="H47" s="15">
        <v>5076.8999999999996</v>
      </c>
      <c r="I47" s="16">
        <f t="shared" si="0"/>
        <v>40615.199999999997</v>
      </c>
    </row>
    <row r="48" spans="1:9" s="1" customFormat="1" x14ac:dyDescent="0.25">
      <c r="A48" s="8"/>
      <c r="B48" s="3" t="s">
        <v>62</v>
      </c>
      <c r="C48" s="2" t="s">
        <v>146</v>
      </c>
      <c r="D48" s="2"/>
      <c r="E48" s="2" t="s">
        <v>8</v>
      </c>
      <c r="F48" s="2" t="s">
        <v>9</v>
      </c>
      <c r="G48" s="14">
        <v>2</v>
      </c>
      <c r="H48" s="15">
        <v>106619.48</v>
      </c>
      <c r="I48" s="16">
        <f t="shared" ref="I48" si="1">H48*G48</f>
        <v>213238.96</v>
      </c>
    </row>
    <row r="49" spans="1:11" s="1" customFormat="1" x14ac:dyDescent="0.25">
      <c r="A49" s="8"/>
      <c r="B49" s="5" t="s">
        <v>149</v>
      </c>
      <c r="C49" s="2" t="s">
        <v>150</v>
      </c>
      <c r="D49" s="2"/>
      <c r="E49" s="2" t="s">
        <v>91</v>
      </c>
      <c r="F49" s="2" t="s">
        <v>9</v>
      </c>
      <c r="G49" s="2">
        <v>422</v>
      </c>
      <c r="H49" s="15">
        <v>1320</v>
      </c>
      <c r="I49" s="16">
        <f t="shared" ref="I49" si="2">H49*G49</f>
        <v>557040</v>
      </c>
    </row>
    <row r="50" spans="1:11" s="1" customFormat="1" x14ac:dyDescent="0.25">
      <c r="A50" s="8"/>
      <c r="B50" s="5" t="s">
        <v>92</v>
      </c>
      <c r="C50" s="2" t="s">
        <v>90</v>
      </c>
      <c r="D50" s="2"/>
      <c r="E50" s="2" t="s">
        <v>91</v>
      </c>
      <c r="F50" s="2" t="s">
        <v>9</v>
      </c>
      <c r="G50" s="2">
        <v>202</v>
      </c>
      <c r="H50" s="15">
        <v>1295</v>
      </c>
      <c r="I50" s="16">
        <f t="shared" ref="I50:I53" si="3">H50*G50</f>
        <v>261590</v>
      </c>
    </row>
    <row r="51" spans="1:11" s="1" customFormat="1" x14ac:dyDescent="0.25">
      <c r="A51" s="8"/>
      <c r="B51" s="5" t="s">
        <v>93</v>
      </c>
      <c r="C51" s="2" t="s">
        <v>115</v>
      </c>
      <c r="D51" s="2"/>
      <c r="E51" s="2" t="s">
        <v>114</v>
      </c>
      <c r="F51" s="2" t="s">
        <v>9</v>
      </c>
      <c r="G51" s="2">
        <v>1530</v>
      </c>
      <c r="H51" s="15">
        <v>37.53</v>
      </c>
      <c r="I51" s="16">
        <f t="shared" si="3"/>
        <v>57420.9</v>
      </c>
    </row>
    <row r="52" spans="1:11" s="1" customFormat="1" x14ac:dyDescent="0.25">
      <c r="A52" s="8"/>
      <c r="B52" s="5" t="s">
        <v>123</v>
      </c>
      <c r="C52" s="2" t="s">
        <v>122</v>
      </c>
      <c r="D52" s="2"/>
      <c r="E52" s="2" t="s">
        <v>8</v>
      </c>
      <c r="F52" s="2" t="s">
        <v>119</v>
      </c>
      <c r="G52" s="2">
        <v>12</v>
      </c>
      <c r="H52" s="15">
        <v>421.49</v>
      </c>
      <c r="I52" s="16">
        <f t="shared" si="3"/>
        <v>5057.88</v>
      </c>
    </row>
    <row r="53" spans="1:11" x14ac:dyDescent="0.25">
      <c r="A53" s="8"/>
      <c r="B53" s="5" t="s">
        <v>121</v>
      </c>
      <c r="C53" s="2" t="s">
        <v>120</v>
      </c>
      <c r="D53" s="2"/>
      <c r="E53" s="2" t="s">
        <v>8</v>
      </c>
      <c r="F53" s="2" t="s">
        <v>119</v>
      </c>
      <c r="G53" s="2">
        <v>16</v>
      </c>
      <c r="H53" s="15">
        <v>431.7</v>
      </c>
      <c r="I53" s="16">
        <f t="shared" si="3"/>
        <v>6907.2</v>
      </c>
      <c r="K53"/>
    </row>
    <row r="54" spans="1:11" x14ac:dyDescent="0.25">
      <c r="A54" s="8"/>
      <c r="B54" s="8" t="s">
        <v>124</v>
      </c>
      <c r="C54" s="8"/>
      <c r="D54" s="8"/>
      <c r="E54" s="8"/>
      <c r="F54" s="2" t="s">
        <v>119</v>
      </c>
      <c r="G54" s="2">
        <v>2000</v>
      </c>
      <c r="H54" s="15">
        <v>13</v>
      </c>
      <c r="I54" s="16">
        <f t="shared" ref="I54:I83" si="4">H54*G54</f>
        <v>26000</v>
      </c>
      <c r="K54"/>
    </row>
    <row r="55" spans="1:11" x14ac:dyDescent="0.25">
      <c r="A55" s="8"/>
      <c r="B55" s="8" t="s">
        <v>125</v>
      </c>
      <c r="C55" s="8"/>
      <c r="D55" s="8"/>
      <c r="E55" s="8"/>
      <c r="F55" s="2" t="s">
        <v>126</v>
      </c>
      <c r="G55" s="2">
        <v>200</v>
      </c>
      <c r="H55" s="15">
        <v>33.33</v>
      </c>
      <c r="I55" s="16">
        <f t="shared" si="4"/>
        <v>6666</v>
      </c>
      <c r="K55"/>
    </row>
    <row r="56" spans="1:11" s="1" customFormat="1" x14ac:dyDescent="0.25">
      <c r="A56" s="8"/>
      <c r="B56" s="8" t="s">
        <v>158</v>
      </c>
      <c r="C56" s="8"/>
      <c r="D56" s="8"/>
      <c r="E56" s="8"/>
      <c r="F56" s="2" t="s">
        <v>126</v>
      </c>
      <c r="G56" s="2">
        <v>5</v>
      </c>
      <c r="H56" s="16">
        <v>903.66</v>
      </c>
      <c r="I56" s="16">
        <f t="shared" si="4"/>
        <v>4518.3</v>
      </c>
    </row>
    <row r="57" spans="1:11" s="1" customFormat="1" x14ac:dyDescent="0.25">
      <c r="A57" s="8"/>
      <c r="B57" s="8" t="s">
        <v>159</v>
      </c>
      <c r="C57" s="8"/>
      <c r="D57" s="8"/>
      <c r="E57" s="16" t="s">
        <v>43</v>
      </c>
      <c r="F57" s="2" t="s">
        <v>9</v>
      </c>
      <c r="G57" s="2">
        <v>20</v>
      </c>
      <c r="H57" s="16">
        <v>95</v>
      </c>
      <c r="I57" s="16">
        <f>H57*G57</f>
        <v>1900</v>
      </c>
    </row>
    <row r="58" spans="1:11" s="1" customFormat="1" ht="15.75" customHeight="1" x14ac:dyDescent="0.25">
      <c r="A58" s="8"/>
      <c r="B58" s="3" t="s">
        <v>107</v>
      </c>
      <c r="C58" s="2" t="s">
        <v>106</v>
      </c>
      <c r="D58" s="2"/>
      <c r="E58" s="2" t="s">
        <v>57</v>
      </c>
      <c r="F58" s="2" t="s">
        <v>9</v>
      </c>
      <c r="G58" s="2">
        <v>10</v>
      </c>
      <c r="H58" s="19"/>
      <c r="I58" s="19">
        <f>H58*G58</f>
        <v>0</v>
      </c>
    </row>
    <row r="59" spans="1:11" s="1" customFormat="1" x14ac:dyDescent="0.25">
      <c r="A59" s="8"/>
      <c r="B59" s="3" t="s">
        <v>108</v>
      </c>
      <c r="C59" s="2" t="s">
        <v>109</v>
      </c>
      <c r="D59" s="2"/>
      <c r="E59" s="2" t="s">
        <v>57</v>
      </c>
      <c r="F59" s="2" t="s">
        <v>9</v>
      </c>
      <c r="G59" s="2">
        <v>8</v>
      </c>
      <c r="H59" s="19"/>
      <c r="I59" s="19">
        <f>H59*G59</f>
        <v>0</v>
      </c>
    </row>
    <row r="60" spans="1:11" s="1" customFormat="1" x14ac:dyDescent="0.25">
      <c r="A60" s="8"/>
      <c r="B60" s="3" t="s">
        <v>104</v>
      </c>
      <c r="C60" s="2" t="s">
        <v>105</v>
      </c>
      <c r="D60" s="2"/>
      <c r="E60" s="2" t="s">
        <v>57</v>
      </c>
      <c r="F60" s="2" t="s">
        <v>9</v>
      </c>
      <c r="G60" s="2">
        <v>1</v>
      </c>
      <c r="H60" s="19"/>
      <c r="I60" s="19">
        <f>H60*G60</f>
        <v>0</v>
      </c>
    </row>
    <row r="61" spans="1:11" s="1" customFormat="1" x14ac:dyDescent="0.25">
      <c r="A61" s="8"/>
      <c r="B61" s="3" t="s">
        <v>104</v>
      </c>
      <c r="C61" s="2" t="s">
        <v>103</v>
      </c>
      <c r="D61" s="2"/>
      <c r="E61" s="2" t="s">
        <v>57</v>
      </c>
      <c r="F61" s="2" t="s">
        <v>9</v>
      </c>
      <c r="G61" s="2">
        <v>1</v>
      </c>
      <c r="H61" s="19"/>
      <c r="I61" s="19">
        <f>H61*G61</f>
        <v>0</v>
      </c>
    </row>
    <row r="62" spans="1:11" s="1" customFormat="1" x14ac:dyDescent="0.25">
      <c r="A62" s="8"/>
      <c r="B62" s="3" t="s">
        <v>151</v>
      </c>
      <c r="C62" s="2" t="s">
        <v>152</v>
      </c>
      <c r="D62" s="2"/>
      <c r="E62" s="2" t="s">
        <v>57</v>
      </c>
      <c r="F62" s="2" t="s">
        <v>9</v>
      </c>
      <c r="G62" s="2">
        <v>39</v>
      </c>
      <c r="H62" s="22"/>
      <c r="I62" s="22"/>
    </row>
    <row r="63" spans="1:11" s="1" customFormat="1" x14ac:dyDescent="0.25">
      <c r="A63" s="8"/>
      <c r="B63" s="3" t="s">
        <v>151</v>
      </c>
      <c r="C63" s="2" t="s">
        <v>153</v>
      </c>
      <c r="D63" s="2"/>
      <c r="E63" s="2" t="s">
        <v>57</v>
      </c>
      <c r="F63" s="2" t="s">
        <v>9</v>
      </c>
      <c r="G63" s="2">
        <v>37</v>
      </c>
      <c r="H63" s="22"/>
      <c r="I63" s="22"/>
    </row>
    <row r="64" spans="1:11" s="1" customFormat="1" x14ac:dyDescent="0.25">
      <c r="A64" s="8"/>
      <c r="B64" s="3" t="s">
        <v>58</v>
      </c>
      <c r="C64" s="2" t="s">
        <v>59</v>
      </c>
      <c r="D64" s="2"/>
      <c r="E64" s="2" t="s">
        <v>57</v>
      </c>
      <c r="F64" s="2" t="s">
        <v>9</v>
      </c>
      <c r="G64" s="2">
        <v>1</v>
      </c>
      <c r="H64" s="19"/>
      <c r="I64" s="19">
        <f t="shared" ref="I64:I76" si="5">H64*G64</f>
        <v>0</v>
      </c>
    </row>
    <row r="65" spans="1:11" s="1" customFormat="1" x14ac:dyDescent="0.25">
      <c r="A65" s="8"/>
      <c r="B65" s="3" t="s">
        <v>60</v>
      </c>
      <c r="C65" s="2" t="s">
        <v>61</v>
      </c>
      <c r="D65" s="2"/>
      <c r="E65" s="2" t="s">
        <v>57</v>
      </c>
      <c r="F65" s="2" t="s">
        <v>9</v>
      </c>
      <c r="G65" s="2">
        <v>4</v>
      </c>
      <c r="H65" s="19"/>
      <c r="I65" s="19">
        <f t="shared" si="5"/>
        <v>0</v>
      </c>
    </row>
    <row r="66" spans="1:11" s="1" customFormat="1" x14ac:dyDescent="0.25">
      <c r="A66" s="8"/>
      <c r="B66" s="3" t="s">
        <v>63</v>
      </c>
      <c r="C66" s="2" t="s">
        <v>64</v>
      </c>
      <c r="D66" s="2"/>
      <c r="E66" s="2" t="s">
        <v>57</v>
      </c>
      <c r="F66" s="2" t="s">
        <v>9</v>
      </c>
      <c r="G66" s="2">
        <v>2</v>
      </c>
      <c r="H66" s="19"/>
      <c r="I66" s="19">
        <f t="shared" si="5"/>
        <v>0</v>
      </c>
    </row>
    <row r="67" spans="1:11" s="1" customFormat="1" x14ac:dyDescent="0.25">
      <c r="A67" s="8"/>
      <c r="B67" s="3" t="s">
        <v>155</v>
      </c>
      <c r="C67" s="2" t="s">
        <v>66</v>
      </c>
      <c r="D67" s="2"/>
      <c r="E67" s="2" t="s">
        <v>57</v>
      </c>
      <c r="F67" s="2" t="s">
        <v>9</v>
      </c>
      <c r="G67" s="2">
        <v>20</v>
      </c>
      <c r="H67" s="19"/>
      <c r="I67" s="19">
        <f t="shared" si="5"/>
        <v>0</v>
      </c>
    </row>
    <row r="68" spans="1:11" s="1" customFormat="1" x14ac:dyDescent="0.25">
      <c r="A68" s="8"/>
      <c r="B68" s="3" t="s">
        <v>65</v>
      </c>
      <c r="C68" s="2" t="s">
        <v>67</v>
      </c>
      <c r="D68" s="2"/>
      <c r="E68" s="2" t="s">
        <v>57</v>
      </c>
      <c r="F68" s="2" t="s">
        <v>9</v>
      </c>
      <c r="G68" s="2">
        <v>11</v>
      </c>
      <c r="H68" s="19"/>
      <c r="I68" s="19">
        <f t="shared" si="5"/>
        <v>0</v>
      </c>
    </row>
    <row r="69" spans="1:11" s="1" customFormat="1" x14ac:dyDescent="0.25">
      <c r="A69" s="8"/>
      <c r="B69" s="3" t="s">
        <v>102</v>
      </c>
      <c r="C69" s="2" t="s">
        <v>101</v>
      </c>
      <c r="D69" s="2"/>
      <c r="E69" s="2" t="s">
        <v>57</v>
      </c>
      <c r="F69" s="2" t="s">
        <v>9</v>
      </c>
      <c r="G69" s="2">
        <v>45</v>
      </c>
      <c r="H69" s="19"/>
      <c r="I69" s="19">
        <f t="shared" si="5"/>
        <v>0</v>
      </c>
    </row>
    <row r="70" spans="1:11" s="1" customFormat="1" x14ac:dyDescent="0.25">
      <c r="A70" s="8"/>
      <c r="B70" s="3" t="s">
        <v>80</v>
      </c>
      <c r="C70" s="2" t="s">
        <v>81</v>
      </c>
      <c r="D70" s="2"/>
      <c r="E70" s="2" t="s">
        <v>57</v>
      </c>
      <c r="F70" s="2" t="s">
        <v>9</v>
      </c>
      <c r="G70" s="2">
        <v>1</v>
      </c>
      <c r="H70" s="19"/>
      <c r="I70" s="19">
        <f t="shared" si="5"/>
        <v>0</v>
      </c>
    </row>
    <row r="71" spans="1:11" s="1" customFormat="1" x14ac:dyDescent="0.25">
      <c r="A71" s="8"/>
      <c r="B71" s="3" t="s">
        <v>82</v>
      </c>
      <c r="C71" s="2" t="s">
        <v>83</v>
      </c>
      <c r="D71" s="2"/>
      <c r="E71" s="2" t="s">
        <v>57</v>
      </c>
      <c r="F71" s="2" t="s">
        <v>9</v>
      </c>
      <c r="G71" s="2">
        <v>37</v>
      </c>
      <c r="H71" s="19"/>
      <c r="I71" s="19">
        <f t="shared" si="5"/>
        <v>0</v>
      </c>
    </row>
    <row r="72" spans="1:11" s="1" customFormat="1" x14ac:dyDescent="0.25">
      <c r="A72" s="8"/>
      <c r="B72" s="3" t="s">
        <v>84</v>
      </c>
      <c r="C72" s="2" t="s">
        <v>85</v>
      </c>
      <c r="D72" s="2"/>
      <c r="E72" s="2" t="s">
        <v>57</v>
      </c>
      <c r="F72" s="2" t="s">
        <v>9</v>
      </c>
      <c r="G72" s="2">
        <v>20</v>
      </c>
      <c r="H72" s="19"/>
      <c r="I72" s="19">
        <f t="shared" si="5"/>
        <v>0</v>
      </c>
    </row>
    <row r="73" spans="1:11" s="1" customFormat="1" x14ac:dyDescent="0.25">
      <c r="A73" s="8"/>
      <c r="B73" s="3" t="s">
        <v>86</v>
      </c>
      <c r="C73" s="2" t="s">
        <v>87</v>
      </c>
      <c r="D73" s="2"/>
      <c r="E73" s="2" t="s">
        <v>57</v>
      </c>
      <c r="F73" s="2" t="s">
        <v>9</v>
      </c>
      <c r="G73" s="2">
        <v>11</v>
      </c>
      <c r="H73" s="19"/>
      <c r="I73" s="19">
        <f t="shared" si="5"/>
        <v>0</v>
      </c>
    </row>
    <row r="74" spans="1:11" s="1" customFormat="1" ht="33" x14ac:dyDescent="0.25">
      <c r="A74" s="8"/>
      <c r="B74" s="5" t="s">
        <v>88</v>
      </c>
      <c r="C74" s="2" t="s">
        <v>89</v>
      </c>
      <c r="D74" s="2"/>
      <c r="E74" s="2" t="s">
        <v>57</v>
      </c>
      <c r="F74" s="2" t="s">
        <v>9</v>
      </c>
      <c r="G74" s="2">
        <v>8</v>
      </c>
      <c r="H74" s="19"/>
      <c r="I74" s="19">
        <f t="shared" si="5"/>
        <v>0</v>
      </c>
    </row>
    <row r="75" spans="1:11" s="1" customFormat="1" x14ac:dyDescent="0.25">
      <c r="A75" s="8"/>
      <c r="B75" s="3" t="s">
        <v>111</v>
      </c>
      <c r="C75" s="2" t="s">
        <v>110</v>
      </c>
      <c r="D75" s="2"/>
      <c r="E75" s="2" t="s">
        <v>57</v>
      </c>
      <c r="F75" s="2" t="s">
        <v>9</v>
      </c>
      <c r="G75" s="2">
        <v>2</v>
      </c>
      <c r="H75" s="19"/>
      <c r="I75" s="19">
        <f t="shared" si="5"/>
        <v>0</v>
      </c>
    </row>
    <row r="76" spans="1:11" s="1" customFormat="1" ht="132" x14ac:dyDescent="0.25">
      <c r="A76" s="7"/>
      <c r="B76" s="5" t="s">
        <v>116</v>
      </c>
      <c r="C76" s="5"/>
      <c r="D76" s="5"/>
      <c r="E76" s="12" t="s">
        <v>57</v>
      </c>
      <c r="F76" s="12" t="s">
        <v>9</v>
      </c>
      <c r="G76" s="12">
        <v>2</v>
      </c>
      <c r="H76" s="21"/>
      <c r="I76" s="19">
        <f t="shared" si="5"/>
        <v>0</v>
      </c>
    </row>
    <row r="77" spans="1:11" x14ac:dyDescent="0.25">
      <c r="A77" s="2">
        <v>1</v>
      </c>
      <c r="B77" s="10" t="s">
        <v>131</v>
      </c>
      <c r="C77" s="11"/>
      <c r="D77" s="11"/>
      <c r="E77" s="11"/>
      <c r="F77" s="11"/>
      <c r="G77" s="11">
        <v>1</v>
      </c>
      <c r="H77" s="20"/>
      <c r="I77" s="16">
        <f t="shared" si="4"/>
        <v>0</v>
      </c>
      <c r="K77"/>
    </row>
    <row r="78" spans="1:11" x14ac:dyDescent="0.25">
      <c r="A78" s="8"/>
      <c r="B78" s="3" t="s">
        <v>65</v>
      </c>
      <c r="C78" s="2" t="s">
        <v>66</v>
      </c>
      <c r="D78" s="2"/>
      <c r="E78" s="2" t="s">
        <v>57</v>
      </c>
      <c r="F78" s="2" t="s">
        <v>9</v>
      </c>
      <c r="G78" s="2">
        <v>2</v>
      </c>
      <c r="H78" s="19"/>
      <c r="I78" s="16">
        <f t="shared" si="4"/>
        <v>0</v>
      </c>
      <c r="K78"/>
    </row>
    <row r="79" spans="1:11" x14ac:dyDescent="0.25">
      <c r="A79" s="8"/>
      <c r="B79" s="3" t="s">
        <v>65</v>
      </c>
      <c r="C79" s="2" t="s">
        <v>67</v>
      </c>
      <c r="D79" s="2"/>
      <c r="E79" s="2" t="s">
        <v>57</v>
      </c>
      <c r="F79" s="2" t="s">
        <v>9</v>
      </c>
      <c r="G79" s="2">
        <v>2</v>
      </c>
      <c r="H79" s="19"/>
      <c r="I79" s="16">
        <f t="shared" si="4"/>
        <v>0</v>
      </c>
      <c r="K79"/>
    </row>
    <row r="80" spans="1:11" x14ac:dyDescent="0.25">
      <c r="A80" s="8"/>
      <c r="B80" s="3" t="s">
        <v>82</v>
      </c>
      <c r="C80" s="2" t="s">
        <v>83</v>
      </c>
      <c r="D80" s="2"/>
      <c r="E80" s="2" t="s">
        <v>57</v>
      </c>
      <c r="F80" s="2" t="s">
        <v>9</v>
      </c>
      <c r="G80" s="2">
        <v>4</v>
      </c>
      <c r="H80" s="19"/>
      <c r="I80" s="16">
        <f t="shared" si="4"/>
        <v>0</v>
      </c>
      <c r="K80"/>
    </row>
    <row r="81" spans="1:11" x14ac:dyDescent="0.25">
      <c r="A81" s="8"/>
      <c r="B81" s="3" t="s">
        <v>84</v>
      </c>
      <c r="C81" s="2" t="s">
        <v>85</v>
      </c>
      <c r="D81" s="2"/>
      <c r="E81" s="2" t="s">
        <v>57</v>
      </c>
      <c r="F81" s="2" t="s">
        <v>9</v>
      </c>
      <c r="G81" s="2">
        <v>2</v>
      </c>
      <c r="H81" s="19"/>
      <c r="I81" s="16">
        <f t="shared" si="4"/>
        <v>0</v>
      </c>
      <c r="K81"/>
    </row>
    <row r="82" spans="1:11" x14ac:dyDescent="0.25">
      <c r="A82" s="8"/>
      <c r="B82" s="3" t="s">
        <v>86</v>
      </c>
      <c r="C82" s="2" t="s">
        <v>87</v>
      </c>
      <c r="D82" s="2"/>
      <c r="E82" s="2" t="s">
        <v>57</v>
      </c>
      <c r="F82" s="2" t="s">
        <v>9</v>
      </c>
      <c r="G82" s="2">
        <v>1</v>
      </c>
      <c r="H82" s="19"/>
      <c r="I82" s="16">
        <f t="shared" si="4"/>
        <v>0</v>
      </c>
      <c r="K82"/>
    </row>
    <row r="83" spans="1:11" ht="33" x14ac:dyDescent="0.25">
      <c r="A83" s="8"/>
      <c r="B83" s="5" t="s">
        <v>88</v>
      </c>
      <c r="C83" s="2" t="s">
        <v>89</v>
      </c>
      <c r="D83" s="2"/>
      <c r="E83" s="2" t="s">
        <v>57</v>
      </c>
      <c r="F83" s="2" t="s">
        <v>9</v>
      </c>
      <c r="G83" s="2">
        <v>1</v>
      </c>
      <c r="H83" s="19"/>
      <c r="I83" s="16">
        <f t="shared" si="4"/>
        <v>0</v>
      </c>
      <c r="K83"/>
    </row>
    <row r="84" spans="1:11" x14ac:dyDescent="0.25">
      <c r="A84" s="8"/>
      <c r="B84" s="3" t="s">
        <v>102</v>
      </c>
      <c r="C84" s="2" t="s">
        <v>101</v>
      </c>
      <c r="D84" s="2"/>
      <c r="E84" s="2" t="s">
        <v>57</v>
      </c>
      <c r="F84" s="2" t="s">
        <v>9</v>
      </c>
      <c r="G84" s="2">
        <v>5</v>
      </c>
      <c r="H84" s="19"/>
      <c r="I84" s="16">
        <f t="shared" ref="I84" si="6">H84*G84</f>
        <v>0</v>
      </c>
      <c r="K84"/>
    </row>
    <row r="85" spans="1:11" ht="15" x14ac:dyDescent="0.25">
      <c r="H85"/>
      <c r="K85"/>
    </row>
    <row r="86" spans="1:11" ht="15" x14ac:dyDescent="0.25">
      <c r="H86" s="23" t="s">
        <v>154</v>
      </c>
      <c r="I86" s="23">
        <f>SUM(I4:I84)</f>
        <v>2634369.27</v>
      </c>
      <c r="K86"/>
    </row>
    <row r="87" spans="1:11" ht="15" x14ac:dyDescent="0.25">
      <c r="H87"/>
      <c r="K87"/>
    </row>
    <row r="88" spans="1:11" ht="15" x14ac:dyDescent="0.25">
      <c r="H88"/>
      <c r="K88"/>
    </row>
    <row r="89" spans="1:11" ht="15" x14ac:dyDescent="0.25">
      <c r="H89"/>
      <c r="K89"/>
    </row>
    <row r="90" spans="1:11" ht="15" x14ac:dyDescent="0.25">
      <c r="H90"/>
      <c r="K90"/>
    </row>
    <row r="91" spans="1:11" ht="15" x14ac:dyDescent="0.25">
      <c r="H91"/>
      <c r="K91"/>
    </row>
    <row r="92" spans="1:11" ht="15" x14ac:dyDescent="0.25">
      <c r="H92"/>
      <c r="K92"/>
    </row>
    <row r="93" spans="1:11" ht="15" x14ac:dyDescent="0.25">
      <c r="H93"/>
      <c r="K93"/>
    </row>
    <row r="94" spans="1:11" ht="15" x14ac:dyDescent="0.25">
      <c r="H94"/>
      <c r="K94"/>
    </row>
    <row r="95" spans="1:11" ht="15" x14ac:dyDescent="0.25">
      <c r="H95"/>
      <c r="K95"/>
    </row>
    <row r="96" spans="1:11" ht="15" x14ac:dyDescent="0.25">
      <c r="H96"/>
      <c r="K96"/>
    </row>
    <row r="97" spans="8:11" ht="15" x14ac:dyDescent="0.25">
      <c r="H97"/>
      <c r="K97"/>
    </row>
    <row r="98" spans="8:11" ht="15" x14ac:dyDescent="0.25">
      <c r="H98"/>
      <c r="K98"/>
    </row>
    <row r="99" spans="8:11" ht="15" x14ac:dyDescent="0.25">
      <c r="H99"/>
      <c r="K99"/>
    </row>
    <row r="100" spans="8:11" ht="15" x14ac:dyDescent="0.25">
      <c r="H100"/>
      <c r="K100"/>
    </row>
    <row r="101" spans="8:11" ht="15" x14ac:dyDescent="0.25">
      <c r="H101"/>
      <c r="K101"/>
    </row>
    <row r="102" spans="8:11" ht="28.15" customHeight="1" x14ac:dyDescent="0.25">
      <c r="H102"/>
      <c r="K102"/>
    </row>
    <row r="103" spans="8:11" ht="28.15" customHeight="1" x14ac:dyDescent="0.25">
      <c r="H103"/>
      <c r="K103"/>
    </row>
    <row r="104" spans="8:11" ht="15" x14ac:dyDescent="0.25">
      <c r="H104"/>
      <c r="K104"/>
    </row>
    <row r="105" spans="8:11" ht="15" x14ac:dyDescent="0.25">
      <c r="H105"/>
      <c r="K105"/>
    </row>
    <row r="106" spans="8:11" ht="15" x14ac:dyDescent="0.25">
      <c r="H106"/>
      <c r="K106"/>
    </row>
    <row r="107" spans="8:11" ht="15" x14ac:dyDescent="0.25">
      <c r="H107"/>
      <c r="K107"/>
    </row>
    <row r="108" spans="8:11" ht="15" x14ac:dyDescent="0.25">
      <c r="H108"/>
      <c r="K108"/>
    </row>
    <row r="109" spans="8:11" ht="15" x14ac:dyDescent="0.25">
      <c r="H109"/>
      <c r="K109"/>
    </row>
    <row r="110" spans="8:11" ht="15" x14ac:dyDescent="0.25">
      <c r="H110"/>
      <c r="K110"/>
    </row>
    <row r="111" spans="8:11" ht="15" x14ac:dyDescent="0.25">
      <c r="H111"/>
      <c r="K111"/>
    </row>
    <row r="112" spans="8:11" ht="15" x14ac:dyDescent="0.25">
      <c r="H112"/>
      <c r="K112"/>
    </row>
    <row r="113" spans="8:11" ht="15" x14ac:dyDescent="0.25">
      <c r="H113"/>
      <c r="K113"/>
    </row>
    <row r="114" spans="8:11" ht="15" x14ac:dyDescent="0.25">
      <c r="H114"/>
      <c r="K114"/>
    </row>
    <row r="115" spans="8:11" ht="15" x14ac:dyDescent="0.25">
      <c r="H115"/>
      <c r="K115"/>
    </row>
    <row r="116" spans="8:11" ht="15" x14ac:dyDescent="0.25">
      <c r="H116"/>
      <c r="K116"/>
    </row>
    <row r="117" spans="8:11" ht="15" x14ac:dyDescent="0.25">
      <c r="H117"/>
      <c r="K117"/>
    </row>
    <row r="118" spans="8:11" ht="15" x14ac:dyDescent="0.25">
      <c r="H118"/>
      <c r="K118"/>
    </row>
    <row r="119" spans="8:11" ht="15" x14ac:dyDescent="0.25">
      <c r="H119"/>
      <c r="K119"/>
    </row>
    <row r="120" spans="8:11" ht="15" x14ac:dyDescent="0.25">
      <c r="H120"/>
      <c r="K120"/>
    </row>
    <row r="121" spans="8:11" ht="15" x14ac:dyDescent="0.25">
      <c r="H121"/>
      <c r="K121"/>
    </row>
    <row r="122" spans="8:11" ht="15" x14ac:dyDescent="0.25">
      <c r="H122"/>
      <c r="K122"/>
    </row>
    <row r="123" spans="8:11" ht="15" x14ac:dyDescent="0.25">
      <c r="H123"/>
      <c r="K123"/>
    </row>
    <row r="124" spans="8:11" ht="15" x14ac:dyDescent="0.25">
      <c r="H124"/>
      <c r="K124"/>
    </row>
    <row r="125" spans="8:11" ht="15" x14ac:dyDescent="0.25">
      <c r="H125"/>
      <c r="K125"/>
    </row>
    <row r="126" spans="8:11" ht="15" x14ac:dyDescent="0.25">
      <c r="H126"/>
      <c r="K126"/>
    </row>
    <row r="127" spans="8:11" ht="15" x14ac:dyDescent="0.25">
      <c r="H127"/>
      <c r="K127"/>
    </row>
    <row r="128" spans="8:11" ht="15" x14ac:dyDescent="0.25">
      <c r="H128"/>
      <c r="K128"/>
    </row>
    <row r="129" spans="8:11" ht="15" x14ac:dyDescent="0.25">
      <c r="H129"/>
      <c r="K129"/>
    </row>
    <row r="130" spans="8:11" ht="15" x14ac:dyDescent="0.25">
      <c r="H130"/>
      <c r="K130"/>
    </row>
    <row r="131" spans="8:11" ht="15" x14ac:dyDescent="0.25">
      <c r="H131"/>
      <c r="K131"/>
    </row>
    <row r="132" spans="8:11" ht="15" x14ac:dyDescent="0.25">
      <c r="H132"/>
      <c r="K132"/>
    </row>
    <row r="133" spans="8:11" ht="15" x14ac:dyDescent="0.25">
      <c r="H133"/>
      <c r="K133"/>
    </row>
    <row r="134" spans="8:11" ht="15" x14ac:dyDescent="0.25">
      <c r="H134"/>
      <c r="K134"/>
    </row>
    <row r="135" spans="8:11" ht="15" x14ac:dyDescent="0.25">
      <c r="H135"/>
      <c r="K135"/>
    </row>
    <row r="136" spans="8:11" ht="15" x14ac:dyDescent="0.25">
      <c r="H136"/>
      <c r="K136"/>
    </row>
    <row r="137" spans="8:11" ht="15" x14ac:dyDescent="0.25">
      <c r="H137"/>
      <c r="K137"/>
    </row>
    <row r="138" spans="8:11" ht="15" x14ac:dyDescent="0.25">
      <c r="H138"/>
      <c r="K138"/>
    </row>
    <row r="139" spans="8:11" ht="15" x14ac:dyDescent="0.25">
      <c r="H139"/>
      <c r="K139"/>
    </row>
    <row r="140" spans="8:11" ht="15" x14ac:dyDescent="0.25">
      <c r="H140"/>
      <c r="K140"/>
    </row>
    <row r="141" spans="8:11" ht="15" x14ac:dyDescent="0.25">
      <c r="H141"/>
      <c r="K141"/>
    </row>
    <row r="142" spans="8:11" ht="15" x14ac:dyDescent="0.25">
      <c r="H142"/>
      <c r="K142"/>
    </row>
    <row r="143" spans="8:11" ht="15" x14ac:dyDescent="0.25">
      <c r="H143"/>
      <c r="K143"/>
    </row>
    <row r="144" spans="8:11" ht="15" x14ac:dyDescent="0.25">
      <c r="H144"/>
      <c r="K144"/>
    </row>
    <row r="145" spans="8:11" ht="15" x14ac:dyDescent="0.25">
      <c r="H145"/>
      <c r="K145"/>
    </row>
    <row r="146" spans="8:11" ht="15" x14ac:dyDescent="0.25">
      <c r="H146"/>
      <c r="K146"/>
    </row>
    <row r="147" spans="8:11" ht="15" x14ac:dyDescent="0.25">
      <c r="H147"/>
      <c r="K147"/>
    </row>
    <row r="148" spans="8:11" ht="15" x14ac:dyDescent="0.25">
      <c r="H148"/>
      <c r="K148"/>
    </row>
    <row r="149" spans="8:11" ht="15" x14ac:dyDescent="0.25">
      <c r="H149"/>
      <c r="K149"/>
    </row>
    <row r="150" spans="8:11" ht="15" x14ac:dyDescent="0.25">
      <c r="H150"/>
      <c r="K150"/>
    </row>
    <row r="151" spans="8:11" ht="15" x14ac:dyDescent="0.25">
      <c r="H151"/>
      <c r="K151"/>
    </row>
    <row r="152" spans="8:11" ht="15" x14ac:dyDescent="0.25">
      <c r="H152"/>
      <c r="K152"/>
    </row>
    <row r="153" spans="8:11" ht="15" x14ac:dyDescent="0.25">
      <c r="H153"/>
      <c r="K153"/>
    </row>
    <row r="154" spans="8:11" ht="15" x14ac:dyDescent="0.25">
      <c r="H154"/>
      <c r="K154"/>
    </row>
    <row r="155" spans="8:11" ht="15" x14ac:dyDescent="0.25">
      <c r="H155"/>
      <c r="K155"/>
    </row>
    <row r="156" spans="8:11" ht="15" x14ac:dyDescent="0.25">
      <c r="H156"/>
      <c r="K156"/>
    </row>
    <row r="157" spans="8:11" ht="15" x14ac:dyDescent="0.25">
      <c r="H157"/>
      <c r="K157"/>
    </row>
    <row r="158" spans="8:11" ht="15" x14ac:dyDescent="0.25">
      <c r="H158"/>
      <c r="K158"/>
    </row>
    <row r="159" spans="8:11" ht="15" x14ac:dyDescent="0.25">
      <c r="H159"/>
      <c r="K159"/>
    </row>
    <row r="160" spans="8:11" ht="15" x14ac:dyDescent="0.25">
      <c r="H160"/>
      <c r="K160"/>
    </row>
    <row r="161" spans="8:11" ht="15" x14ac:dyDescent="0.25">
      <c r="H161"/>
      <c r="K161"/>
    </row>
    <row r="162" spans="8:11" ht="15" x14ac:dyDescent="0.25">
      <c r="H162"/>
      <c r="K162"/>
    </row>
    <row r="163" spans="8:11" ht="15" x14ac:dyDescent="0.25">
      <c r="H163"/>
      <c r="K163"/>
    </row>
    <row r="164" spans="8:11" ht="15" x14ac:dyDescent="0.25">
      <c r="H164"/>
      <c r="K164"/>
    </row>
    <row r="165" spans="8:11" ht="15" x14ac:dyDescent="0.25">
      <c r="H165"/>
      <c r="K165"/>
    </row>
    <row r="166" spans="8:11" ht="15" x14ac:dyDescent="0.25">
      <c r="H166"/>
      <c r="K166"/>
    </row>
    <row r="167" spans="8:11" ht="15" x14ac:dyDescent="0.25">
      <c r="H167"/>
      <c r="K167"/>
    </row>
    <row r="168" spans="8:11" ht="15" x14ac:dyDescent="0.25">
      <c r="H168"/>
      <c r="K168"/>
    </row>
    <row r="169" spans="8:11" ht="15" x14ac:dyDescent="0.25">
      <c r="H169"/>
      <c r="K169"/>
    </row>
    <row r="170" spans="8:11" ht="37.9" customHeight="1" x14ac:dyDescent="0.25">
      <c r="H170"/>
      <c r="K170"/>
    </row>
    <row r="171" spans="8:11" ht="24.6" customHeight="1" x14ac:dyDescent="0.25">
      <c r="H171"/>
      <c r="K171"/>
    </row>
    <row r="172" spans="8:11" ht="15" x14ac:dyDescent="0.25">
      <c r="H172"/>
      <c r="K172"/>
    </row>
    <row r="173" spans="8:11" ht="15" x14ac:dyDescent="0.25">
      <c r="H173"/>
      <c r="K173"/>
    </row>
    <row r="174" spans="8:11" ht="15" x14ac:dyDescent="0.25">
      <c r="H174"/>
      <c r="K174"/>
    </row>
    <row r="175" spans="8:11" ht="15" x14ac:dyDescent="0.25">
      <c r="H175"/>
      <c r="K175"/>
    </row>
    <row r="176" spans="8:11" ht="15" x14ac:dyDescent="0.25">
      <c r="H176"/>
      <c r="K176"/>
    </row>
    <row r="177" spans="8:11" ht="15" x14ac:dyDescent="0.25">
      <c r="H177"/>
      <c r="K177"/>
    </row>
    <row r="178" spans="8:11" ht="15" x14ac:dyDescent="0.25">
      <c r="H178"/>
      <c r="K178"/>
    </row>
    <row r="179" spans="8:11" ht="15" x14ac:dyDescent="0.25">
      <c r="H179"/>
      <c r="K179"/>
    </row>
    <row r="180" spans="8:11" ht="15" x14ac:dyDescent="0.25">
      <c r="H180"/>
      <c r="K180"/>
    </row>
    <row r="181" spans="8:11" ht="15" x14ac:dyDescent="0.25">
      <c r="H181"/>
      <c r="K181"/>
    </row>
    <row r="182" spans="8:11" ht="15" x14ac:dyDescent="0.25">
      <c r="H182"/>
      <c r="K182"/>
    </row>
    <row r="183" spans="8:11" ht="15" x14ac:dyDescent="0.25">
      <c r="H183"/>
      <c r="K183"/>
    </row>
    <row r="184" spans="8:11" ht="15" x14ac:dyDescent="0.25">
      <c r="H184"/>
      <c r="K184"/>
    </row>
    <row r="185" spans="8:11" ht="15" x14ac:dyDescent="0.25">
      <c r="H185"/>
      <c r="K185"/>
    </row>
    <row r="186" spans="8:11" ht="15" x14ac:dyDescent="0.25">
      <c r="H186"/>
      <c r="K186"/>
    </row>
    <row r="187" spans="8:11" ht="15" x14ac:dyDescent="0.25">
      <c r="H187"/>
      <c r="K187"/>
    </row>
    <row r="188" spans="8:11" ht="15" x14ac:dyDescent="0.25">
      <c r="H188"/>
      <c r="K188"/>
    </row>
    <row r="189" spans="8:11" ht="15" x14ac:dyDescent="0.25">
      <c r="H189"/>
      <c r="K189"/>
    </row>
    <row r="190" spans="8:11" ht="15" x14ac:dyDescent="0.25">
      <c r="H190"/>
      <c r="K190"/>
    </row>
    <row r="191" spans="8:11" ht="15" x14ac:dyDescent="0.25">
      <c r="H191"/>
      <c r="K191"/>
    </row>
    <row r="192" spans="8:11" ht="15" x14ac:dyDescent="0.25">
      <c r="H192"/>
      <c r="K192"/>
    </row>
    <row r="193" spans="8:11" ht="15" x14ac:dyDescent="0.25">
      <c r="H193"/>
      <c r="K193"/>
    </row>
    <row r="194" spans="8:11" ht="15" x14ac:dyDescent="0.25">
      <c r="H194"/>
      <c r="K194"/>
    </row>
    <row r="195" spans="8:11" ht="15" x14ac:dyDescent="0.25">
      <c r="H195"/>
      <c r="K195"/>
    </row>
    <row r="196" spans="8:11" ht="15" x14ac:dyDescent="0.25">
      <c r="H196"/>
      <c r="K196"/>
    </row>
    <row r="197" spans="8:11" ht="15" x14ac:dyDescent="0.25">
      <c r="H197"/>
      <c r="K197"/>
    </row>
    <row r="198" spans="8:11" ht="15" x14ac:dyDescent="0.25">
      <c r="H198"/>
      <c r="K198"/>
    </row>
    <row r="199" spans="8:11" ht="15" x14ac:dyDescent="0.25">
      <c r="H199"/>
      <c r="K199"/>
    </row>
    <row r="200" spans="8:11" ht="15" x14ac:dyDescent="0.25">
      <c r="H200"/>
      <c r="K200"/>
    </row>
    <row r="201" spans="8:11" ht="15" x14ac:dyDescent="0.25">
      <c r="H201"/>
      <c r="K201"/>
    </row>
    <row r="202" spans="8:11" ht="15" x14ac:dyDescent="0.25">
      <c r="H202"/>
      <c r="K202"/>
    </row>
    <row r="203" spans="8:11" ht="15" x14ac:dyDescent="0.25">
      <c r="H203"/>
      <c r="K203"/>
    </row>
    <row r="204" spans="8:11" ht="15" x14ac:dyDescent="0.25">
      <c r="H204"/>
      <c r="K204"/>
    </row>
    <row r="205" spans="8:11" ht="15" x14ac:dyDescent="0.25">
      <c r="H205"/>
      <c r="K205"/>
    </row>
    <row r="206" spans="8:11" ht="15" x14ac:dyDescent="0.25">
      <c r="H206"/>
      <c r="K206"/>
    </row>
    <row r="207" spans="8:11" ht="15" x14ac:dyDescent="0.25">
      <c r="H207"/>
      <c r="K207"/>
    </row>
    <row r="208" spans="8:11" ht="15" x14ac:dyDescent="0.25">
      <c r="H208"/>
      <c r="K208"/>
    </row>
    <row r="209" spans="8:11" ht="15" x14ac:dyDescent="0.25">
      <c r="H209"/>
      <c r="K209"/>
    </row>
    <row r="210" spans="8:11" ht="15" x14ac:dyDescent="0.25">
      <c r="H210"/>
      <c r="K210"/>
    </row>
    <row r="211" spans="8:11" ht="15" x14ac:dyDescent="0.25">
      <c r="H211"/>
      <c r="K211"/>
    </row>
    <row r="212" spans="8:11" ht="15" x14ac:dyDescent="0.25">
      <c r="H212"/>
      <c r="K212"/>
    </row>
    <row r="213" spans="8:11" ht="15" x14ac:dyDescent="0.25">
      <c r="H213"/>
      <c r="K213"/>
    </row>
    <row r="214" spans="8:11" ht="15" x14ac:dyDescent="0.25">
      <c r="H214"/>
      <c r="K214"/>
    </row>
    <row r="215" spans="8:11" ht="15" x14ac:dyDescent="0.25">
      <c r="H215"/>
      <c r="K215"/>
    </row>
    <row r="216" spans="8:11" ht="15" x14ac:dyDescent="0.25">
      <c r="H216"/>
      <c r="K216"/>
    </row>
    <row r="217" spans="8:11" ht="15" x14ac:dyDescent="0.25">
      <c r="H217"/>
      <c r="K217"/>
    </row>
    <row r="218" spans="8:11" ht="15" x14ac:dyDescent="0.25">
      <c r="H218"/>
      <c r="K218"/>
    </row>
    <row r="219" spans="8:11" ht="15" x14ac:dyDescent="0.25">
      <c r="H219"/>
      <c r="K219"/>
    </row>
    <row r="220" spans="8:11" ht="15" x14ac:dyDescent="0.25">
      <c r="H220"/>
      <c r="K220"/>
    </row>
    <row r="221" spans="8:11" ht="15" x14ac:dyDescent="0.25">
      <c r="H221"/>
      <c r="K221"/>
    </row>
    <row r="222" spans="8:11" ht="15" x14ac:dyDescent="0.25">
      <c r="H222"/>
      <c r="K222"/>
    </row>
    <row r="223" spans="8:11" ht="15" x14ac:dyDescent="0.25">
      <c r="H223"/>
      <c r="K223"/>
    </row>
    <row r="224" spans="8:11" ht="34.9" customHeight="1" x14ac:dyDescent="0.25">
      <c r="H224"/>
      <c r="K224"/>
    </row>
    <row r="225" spans="8:11" ht="33.6" customHeight="1" x14ac:dyDescent="0.25">
      <c r="H225"/>
      <c r="K225"/>
    </row>
    <row r="226" spans="8:11" ht="34.15" customHeight="1" x14ac:dyDescent="0.25">
      <c r="H226"/>
      <c r="K226"/>
    </row>
    <row r="227" spans="8:11" ht="59.45" customHeight="1" x14ac:dyDescent="0.25">
      <c r="H227"/>
      <c r="K227"/>
    </row>
    <row r="228" spans="8:11" ht="15" x14ac:dyDescent="0.25">
      <c r="H228"/>
      <c r="K228"/>
    </row>
    <row r="229" spans="8:11" ht="15" x14ac:dyDescent="0.25">
      <c r="H229"/>
      <c r="K229"/>
    </row>
    <row r="230" spans="8:11" ht="15" x14ac:dyDescent="0.25">
      <c r="H230"/>
      <c r="K230"/>
    </row>
    <row r="231" spans="8:11" ht="15" x14ac:dyDescent="0.25">
      <c r="H231"/>
      <c r="K231"/>
    </row>
    <row r="232" spans="8:11" ht="15" x14ac:dyDescent="0.25">
      <c r="H232"/>
      <c r="K232"/>
    </row>
    <row r="233" spans="8:11" ht="15" x14ac:dyDescent="0.25">
      <c r="H233"/>
      <c r="K233"/>
    </row>
    <row r="234" spans="8:11" ht="15" x14ac:dyDescent="0.25">
      <c r="H234"/>
      <c r="K234"/>
    </row>
    <row r="235" spans="8:11" ht="15" x14ac:dyDescent="0.25">
      <c r="H235"/>
      <c r="K235"/>
    </row>
    <row r="236" spans="8:11" ht="15" x14ac:dyDescent="0.25">
      <c r="H236"/>
      <c r="K236"/>
    </row>
    <row r="237" spans="8:11" ht="15" x14ac:dyDescent="0.25">
      <c r="H237"/>
      <c r="K237"/>
    </row>
    <row r="238" spans="8:11" ht="15" x14ac:dyDescent="0.25">
      <c r="H238"/>
      <c r="K238"/>
    </row>
    <row r="239" spans="8:11" ht="15" x14ac:dyDescent="0.25">
      <c r="H239"/>
      <c r="K239"/>
    </row>
    <row r="240" spans="8:11" ht="15" x14ac:dyDescent="0.25">
      <c r="H240"/>
      <c r="K240"/>
    </row>
    <row r="241" spans="8:11" ht="15" x14ac:dyDescent="0.25">
      <c r="H241"/>
      <c r="K241"/>
    </row>
    <row r="242" spans="8:11" ht="15" x14ac:dyDescent="0.25">
      <c r="H242"/>
      <c r="K242"/>
    </row>
    <row r="243" spans="8:11" ht="15" x14ac:dyDescent="0.25">
      <c r="H243"/>
      <c r="K243"/>
    </row>
    <row r="244" spans="8:11" ht="15" x14ac:dyDescent="0.25">
      <c r="H244"/>
      <c r="K244"/>
    </row>
    <row r="245" spans="8:11" ht="15" x14ac:dyDescent="0.25">
      <c r="H245"/>
      <c r="K245"/>
    </row>
    <row r="246" spans="8:11" ht="15" x14ac:dyDescent="0.25">
      <c r="H246"/>
      <c r="K246"/>
    </row>
    <row r="247" spans="8:11" ht="27" customHeight="1" x14ac:dyDescent="0.25">
      <c r="H247"/>
      <c r="K247"/>
    </row>
    <row r="248" spans="8:11" ht="15" x14ac:dyDescent="0.25">
      <c r="H248"/>
      <c r="K248"/>
    </row>
    <row r="249" spans="8:11" ht="15" x14ac:dyDescent="0.25">
      <c r="H249"/>
      <c r="K249"/>
    </row>
    <row r="250" spans="8:11" ht="15" x14ac:dyDescent="0.25">
      <c r="H250"/>
      <c r="K250"/>
    </row>
    <row r="251" spans="8:11" ht="15" x14ac:dyDescent="0.25">
      <c r="H251"/>
      <c r="K251"/>
    </row>
    <row r="252" spans="8:11" ht="15" x14ac:dyDescent="0.25">
      <c r="H252"/>
      <c r="K252"/>
    </row>
    <row r="253" spans="8:11" ht="15" x14ac:dyDescent="0.25">
      <c r="H253"/>
      <c r="K253"/>
    </row>
    <row r="254" spans="8:11" ht="15" x14ac:dyDescent="0.25">
      <c r="H254"/>
      <c r="K254"/>
    </row>
    <row r="255" spans="8:11" ht="15" x14ac:dyDescent="0.25">
      <c r="H255"/>
      <c r="K255"/>
    </row>
    <row r="256" spans="8:11" ht="15" x14ac:dyDescent="0.25">
      <c r="H256"/>
      <c r="K256"/>
    </row>
    <row r="257" spans="8:11" ht="15" x14ac:dyDescent="0.25">
      <c r="H257"/>
      <c r="K257"/>
    </row>
    <row r="258" spans="8:11" ht="15" x14ac:dyDescent="0.25">
      <c r="H258"/>
      <c r="K258"/>
    </row>
    <row r="259" spans="8:11" ht="15" x14ac:dyDescent="0.25">
      <c r="H259"/>
      <c r="K259"/>
    </row>
    <row r="260" spans="8:11" ht="15" x14ac:dyDescent="0.25">
      <c r="H260"/>
      <c r="K260"/>
    </row>
    <row r="261" spans="8:11" ht="15" x14ac:dyDescent="0.25">
      <c r="H261"/>
      <c r="K261"/>
    </row>
    <row r="262" spans="8:11" ht="15" x14ac:dyDescent="0.25">
      <c r="H262"/>
      <c r="K262"/>
    </row>
    <row r="263" spans="8:11" ht="15" x14ac:dyDescent="0.25">
      <c r="H263"/>
      <c r="K263"/>
    </row>
    <row r="264" spans="8:11" ht="15" x14ac:dyDescent="0.25">
      <c r="H264"/>
      <c r="K264"/>
    </row>
    <row r="265" spans="8:11" ht="15" x14ac:dyDescent="0.25">
      <c r="H265"/>
      <c r="K265"/>
    </row>
    <row r="266" spans="8:11" ht="15" x14ac:dyDescent="0.25">
      <c r="H266"/>
      <c r="K266"/>
    </row>
    <row r="267" spans="8:11" ht="15" x14ac:dyDescent="0.25">
      <c r="H267"/>
      <c r="K267"/>
    </row>
    <row r="268" spans="8:11" ht="15" x14ac:dyDescent="0.25">
      <c r="H268"/>
      <c r="K268"/>
    </row>
    <row r="269" spans="8:11" ht="15" x14ac:dyDescent="0.25">
      <c r="H269"/>
      <c r="K269"/>
    </row>
    <row r="270" spans="8:11" ht="15" x14ac:dyDescent="0.25">
      <c r="H270"/>
      <c r="K270"/>
    </row>
    <row r="271" spans="8:11" ht="15" x14ac:dyDescent="0.25">
      <c r="H271"/>
      <c r="K271"/>
    </row>
    <row r="272" spans="8:11" ht="15" x14ac:dyDescent="0.25">
      <c r="H272"/>
      <c r="K272"/>
    </row>
    <row r="273" spans="8:11" ht="15" x14ac:dyDescent="0.25">
      <c r="H273"/>
      <c r="K273"/>
    </row>
    <row r="274" spans="8:11" ht="15" x14ac:dyDescent="0.25">
      <c r="H274"/>
      <c r="K274"/>
    </row>
    <row r="275" spans="8:11" ht="15" x14ac:dyDescent="0.25">
      <c r="H275"/>
      <c r="K275"/>
    </row>
    <row r="276" spans="8:11" ht="15" x14ac:dyDescent="0.25">
      <c r="H276"/>
      <c r="K276"/>
    </row>
    <row r="277" spans="8:11" ht="15" x14ac:dyDescent="0.25">
      <c r="H277"/>
      <c r="K277"/>
    </row>
    <row r="278" spans="8:11" ht="15" x14ac:dyDescent="0.25">
      <c r="H278"/>
      <c r="K278"/>
    </row>
    <row r="279" spans="8:11" ht="15" x14ac:dyDescent="0.25">
      <c r="H279"/>
      <c r="K279"/>
    </row>
    <row r="280" spans="8:11" ht="15" x14ac:dyDescent="0.25">
      <c r="H280"/>
      <c r="K280"/>
    </row>
    <row r="281" spans="8:11" ht="15" x14ac:dyDescent="0.25">
      <c r="H281"/>
      <c r="K281"/>
    </row>
    <row r="282" spans="8:11" ht="15" x14ac:dyDescent="0.25">
      <c r="H282"/>
      <c r="K282"/>
    </row>
    <row r="283" spans="8:11" ht="15" x14ac:dyDescent="0.25">
      <c r="H283"/>
      <c r="K283"/>
    </row>
    <row r="284" spans="8:11" ht="15" x14ac:dyDescent="0.25">
      <c r="H284"/>
      <c r="K284"/>
    </row>
    <row r="285" spans="8:11" ht="15" x14ac:dyDescent="0.25">
      <c r="H285"/>
      <c r="K285"/>
    </row>
    <row r="286" spans="8:11" ht="15" x14ac:dyDescent="0.25">
      <c r="H286"/>
      <c r="K286"/>
    </row>
    <row r="287" spans="8:11" ht="15" x14ac:dyDescent="0.25">
      <c r="H287"/>
      <c r="K287"/>
    </row>
    <row r="288" spans="8:11" ht="15" x14ac:dyDescent="0.25">
      <c r="H288"/>
      <c r="K288"/>
    </row>
    <row r="289" spans="8:11" ht="15" x14ac:dyDescent="0.25">
      <c r="H289"/>
      <c r="K289"/>
    </row>
    <row r="290" spans="8:11" ht="15" x14ac:dyDescent="0.25">
      <c r="H290"/>
      <c r="K290"/>
    </row>
    <row r="291" spans="8:11" ht="15" x14ac:dyDescent="0.25">
      <c r="H291"/>
      <c r="K291"/>
    </row>
    <row r="292" spans="8:11" ht="15" x14ac:dyDescent="0.25">
      <c r="H292"/>
      <c r="K292"/>
    </row>
    <row r="293" spans="8:11" ht="15" x14ac:dyDescent="0.25">
      <c r="H293"/>
      <c r="K293"/>
    </row>
    <row r="294" spans="8:11" ht="15" x14ac:dyDescent="0.25">
      <c r="H294"/>
      <c r="K294"/>
    </row>
    <row r="295" spans="8:11" ht="27" customHeight="1" x14ac:dyDescent="0.25">
      <c r="H295"/>
      <c r="K295"/>
    </row>
    <row r="296" spans="8:11" ht="33.6" customHeight="1" x14ac:dyDescent="0.25">
      <c r="H296"/>
      <c r="K296"/>
    </row>
    <row r="297" spans="8:11" ht="15" x14ac:dyDescent="0.25">
      <c r="H297"/>
      <c r="K297"/>
    </row>
    <row r="298" spans="8:11" ht="15" x14ac:dyDescent="0.25">
      <c r="H298"/>
      <c r="K298"/>
    </row>
    <row r="299" spans="8:11" ht="15" x14ac:dyDescent="0.25">
      <c r="H299"/>
      <c r="K299"/>
    </row>
    <row r="300" spans="8:11" ht="15" x14ac:dyDescent="0.25">
      <c r="H300"/>
      <c r="K300"/>
    </row>
    <row r="301" spans="8:11" ht="15" x14ac:dyDescent="0.25">
      <c r="H301"/>
      <c r="K301"/>
    </row>
    <row r="302" spans="8:11" ht="15" x14ac:dyDescent="0.25">
      <c r="H302"/>
      <c r="K302"/>
    </row>
    <row r="303" spans="8:11" ht="15" x14ac:dyDescent="0.25">
      <c r="H303"/>
      <c r="K303"/>
    </row>
    <row r="304" spans="8:11" ht="15" x14ac:dyDescent="0.25">
      <c r="H304"/>
      <c r="K304"/>
    </row>
    <row r="305" spans="8:11" ht="15" x14ac:dyDescent="0.25">
      <c r="H305"/>
      <c r="K305"/>
    </row>
    <row r="306" spans="8:11" ht="15" x14ac:dyDescent="0.25">
      <c r="H306"/>
      <c r="K306"/>
    </row>
    <row r="307" spans="8:11" ht="15" x14ac:dyDescent="0.25">
      <c r="H307"/>
      <c r="K307"/>
    </row>
    <row r="308" spans="8:11" ht="15" x14ac:dyDescent="0.25">
      <c r="H308"/>
      <c r="K308"/>
    </row>
    <row r="309" spans="8:11" ht="15" x14ac:dyDescent="0.25">
      <c r="H309"/>
      <c r="K309"/>
    </row>
    <row r="310" spans="8:11" ht="15" x14ac:dyDescent="0.25">
      <c r="H310"/>
      <c r="K310"/>
    </row>
    <row r="311" spans="8:11" ht="15" x14ac:dyDescent="0.25">
      <c r="H311"/>
      <c r="K311"/>
    </row>
    <row r="312" spans="8:11" ht="15" x14ac:dyDescent="0.25">
      <c r="H312"/>
      <c r="K312"/>
    </row>
    <row r="313" spans="8:11" ht="15" x14ac:dyDescent="0.25">
      <c r="H313"/>
      <c r="K313"/>
    </row>
    <row r="314" spans="8:11" ht="15" x14ac:dyDescent="0.25">
      <c r="H314"/>
      <c r="K314"/>
    </row>
    <row r="315" spans="8:11" ht="15" x14ac:dyDescent="0.25">
      <c r="H315"/>
      <c r="K315"/>
    </row>
    <row r="316" spans="8:11" ht="15" x14ac:dyDescent="0.25">
      <c r="H316"/>
      <c r="K316"/>
    </row>
    <row r="317" spans="8:11" ht="15" x14ac:dyDescent="0.25">
      <c r="H317"/>
      <c r="K317"/>
    </row>
    <row r="318" spans="8:11" ht="15" x14ac:dyDescent="0.25">
      <c r="H318"/>
      <c r="K318"/>
    </row>
    <row r="319" spans="8:11" ht="15" x14ac:dyDescent="0.25">
      <c r="H319"/>
      <c r="K319"/>
    </row>
    <row r="320" spans="8:11" ht="15" x14ac:dyDescent="0.25">
      <c r="H320"/>
      <c r="K320"/>
    </row>
    <row r="321" spans="8:11" ht="15" x14ac:dyDescent="0.25">
      <c r="H321"/>
      <c r="K321"/>
    </row>
    <row r="322" spans="8:11" ht="15" x14ac:dyDescent="0.25">
      <c r="H322"/>
      <c r="K322"/>
    </row>
    <row r="323" spans="8:11" ht="15" x14ac:dyDescent="0.25">
      <c r="H323"/>
      <c r="K323"/>
    </row>
    <row r="324" spans="8:11" ht="15" x14ac:dyDescent="0.25">
      <c r="H324"/>
      <c r="K324"/>
    </row>
    <row r="325" spans="8:11" ht="15" x14ac:dyDescent="0.25">
      <c r="H325"/>
      <c r="K325"/>
    </row>
    <row r="326" spans="8:11" ht="15" x14ac:dyDescent="0.25">
      <c r="H326"/>
      <c r="K326"/>
    </row>
    <row r="327" spans="8:11" ht="15" x14ac:dyDescent="0.25">
      <c r="H327"/>
      <c r="K327"/>
    </row>
    <row r="328" spans="8:11" ht="15" x14ac:dyDescent="0.25">
      <c r="H328"/>
      <c r="K328"/>
    </row>
    <row r="329" spans="8:11" ht="15" x14ac:dyDescent="0.25">
      <c r="H329"/>
      <c r="K329"/>
    </row>
    <row r="330" spans="8:11" ht="15" x14ac:dyDescent="0.25">
      <c r="H330"/>
      <c r="K330"/>
    </row>
    <row r="331" spans="8:11" ht="15" x14ac:dyDescent="0.25">
      <c r="H331"/>
      <c r="K331"/>
    </row>
    <row r="332" spans="8:11" ht="15" x14ac:dyDescent="0.25">
      <c r="H332"/>
      <c r="K332"/>
    </row>
    <row r="333" spans="8:11" ht="15" x14ac:dyDescent="0.25">
      <c r="H333"/>
      <c r="K333"/>
    </row>
    <row r="334" spans="8:11" ht="15" x14ac:dyDescent="0.25">
      <c r="H334"/>
      <c r="K334"/>
    </row>
    <row r="335" spans="8:11" ht="15" x14ac:dyDescent="0.25">
      <c r="H335"/>
      <c r="K335"/>
    </row>
    <row r="336" spans="8:11" ht="15" x14ac:dyDescent="0.25">
      <c r="H336"/>
      <c r="K336"/>
    </row>
    <row r="337" spans="8:11" ht="15" x14ac:dyDescent="0.25">
      <c r="H337"/>
      <c r="K337"/>
    </row>
    <row r="338" spans="8:11" ht="15" x14ac:dyDescent="0.25">
      <c r="H338"/>
      <c r="K338"/>
    </row>
    <row r="339" spans="8:11" ht="15" x14ac:dyDescent="0.25">
      <c r="H339"/>
      <c r="K339"/>
    </row>
    <row r="340" spans="8:11" ht="15" x14ac:dyDescent="0.25">
      <c r="H340"/>
      <c r="K340"/>
    </row>
    <row r="341" spans="8:11" ht="15" x14ac:dyDescent="0.25">
      <c r="H341"/>
      <c r="K341"/>
    </row>
    <row r="342" spans="8:11" ht="15" x14ac:dyDescent="0.25">
      <c r="H342"/>
      <c r="K342"/>
    </row>
    <row r="343" spans="8:11" ht="15" x14ac:dyDescent="0.25">
      <c r="H343"/>
      <c r="K343"/>
    </row>
    <row r="344" spans="8:11" ht="15" x14ac:dyDescent="0.25">
      <c r="H344"/>
      <c r="K344"/>
    </row>
    <row r="345" spans="8:11" ht="15" x14ac:dyDescent="0.25">
      <c r="H345"/>
      <c r="K345"/>
    </row>
    <row r="346" spans="8:11" ht="31.9" customHeight="1" x14ac:dyDescent="0.25">
      <c r="H346"/>
      <c r="K346"/>
    </row>
    <row r="347" spans="8:11" ht="29.45" customHeight="1" x14ac:dyDescent="0.25">
      <c r="H347"/>
      <c r="K347"/>
    </row>
    <row r="348" spans="8:11" ht="15" x14ac:dyDescent="0.25">
      <c r="H348"/>
      <c r="K348"/>
    </row>
    <row r="349" spans="8:11" ht="66.599999999999994" customHeight="1" x14ac:dyDescent="0.25">
      <c r="H349"/>
      <c r="K349"/>
    </row>
    <row r="350" spans="8:11" ht="15" x14ac:dyDescent="0.25">
      <c r="H350"/>
      <c r="K350"/>
    </row>
    <row r="351" spans="8:11" ht="15" x14ac:dyDescent="0.25">
      <c r="H351"/>
      <c r="K351"/>
    </row>
    <row r="352" spans="8:11" ht="15" x14ac:dyDescent="0.25">
      <c r="H352"/>
      <c r="K352"/>
    </row>
    <row r="353" spans="8:11" ht="15" x14ac:dyDescent="0.25">
      <c r="H353"/>
      <c r="K353"/>
    </row>
    <row r="354" spans="8:11" ht="15" x14ac:dyDescent="0.25">
      <c r="H354"/>
      <c r="K354"/>
    </row>
    <row r="355" spans="8:11" ht="15" x14ac:dyDescent="0.25">
      <c r="H355"/>
      <c r="K355"/>
    </row>
    <row r="356" spans="8:11" ht="15" x14ac:dyDescent="0.25">
      <c r="H356"/>
      <c r="K356"/>
    </row>
    <row r="357" spans="8:11" ht="15" x14ac:dyDescent="0.25">
      <c r="H357"/>
      <c r="K357"/>
    </row>
    <row r="358" spans="8:11" ht="15" x14ac:dyDescent="0.25">
      <c r="H358"/>
      <c r="K358"/>
    </row>
    <row r="359" spans="8:11" ht="15" x14ac:dyDescent="0.25">
      <c r="H359"/>
      <c r="K359"/>
    </row>
    <row r="360" spans="8:11" ht="15" x14ac:dyDescent="0.25">
      <c r="H360"/>
      <c r="K360"/>
    </row>
    <row r="361" spans="8:11" ht="15" x14ac:dyDescent="0.25">
      <c r="H361"/>
      <c r="K361"/>
    </row>
    <row r="362" spans="8:11" ht="15" x14ac:dyDescent="0.25">
      <c r="H362"/>
      <c r="K362"/>
    </row>
    <row r="363" spans="8:11" ht="15" x14ac:dyDescent="0.25">
      <c r="H363"/>
      <c r="K363"/>
    </row>
    <row r="364" spans="8:11" ht="15" x14ac:dyDescent="0.25">
      <c r="H364"/>
      <c r="K364"/>
    </row>
    <row r="365" spans="8:11" ht="15" x14ac:dyDescent="0.25">
      <c r="H365"/>
      <c r="K365"/>
    </row>
    <row r="366" spans="8:11" ht="15" x14ac:dyDescent="0.25">
      <c r="H366"/>
      <c r="K366"/>
    </row>
    <row r="367" spans="8:11" ht="28.9" customHeight="1" x14ac:dyDescent="0.25">
      <c r="H367"/>
      <c r="K367"/>
    </row>
    <row r="368" spans="8:11" ht="15" x14ac:dyDescent="0.25">
      <c r="H368"/>
      <c r="K368"/>
    </row>
    <row r="369" spans="8:11" ht="15" x14ac:dyDescent="0.25">
      <c r="H369"/>
      <c r="K369"/>
    </row>
    <row r="370" spans="8:11" ht="15" x14ac:dyDescent="0.25">
      <c r="H370"/>
      <c r="K370"/>
    </row>
    <row r="371" spans="8:11" ht="15" x14ac:dyDescent="0.25">
      <c r="H371"/>
      <c r="K371"/>
    </row>
    <row r="372" spans="8:11" ht="15" x14ac:dyDescent="0.25">
      <c r="H372"/>
      <c r="K372"/>
    </row>
    <row r="373" spans="8:11" ht="15" x14ac:dyDescent="0.25">
      <c r="H373"/>
      <c r="K373"/>
    </row>
    <row r="374" spans="8:11" ht="15" x14ac:dyDescent="0.25">
      <c r="H374"/>
      <c r="K374"/>
    </row>
    <row r="375" spans="8:11" ht="15" x14ac:dyDescent="0.25">
      <c r="H375"/>
      <c r="K375"/>
    </row>
    <row r="376" spans="8:11" ht="15" x14ac:dyDescent="0.25">
      <c r="H376"/>
      <c r="K376"/>
    </row>
    <row r="377" spans="8:11" ht="15" x14ac:dyDescent="0.25">
      <c r="H377"/>
      <c r="K377"/>
    </row>
    <row r="378" spans="8:11" ht="15" x14ac:dyDescent="0.25">
      <c r="H378"/>
      <c r="K378"/>
    </row>
    <row r="379" spans="8:11" ht="15" x14ac:dyDescent="0.25">
      <c r="H379"/>
      <c r="K379"/>
    </row>
    <row r="380" spans="8:11" ht="15" x14ac:dyDescent="0.25">
      <c r="H380"/>
      <c r="K380"/>
    </row>
    <row r="381" spans="8:11" ht="15" x14ac:dyDescent="0.25">
      <c r="H381"/>
      <c r="K381"/>
    </row>
    <row r="382" spans="8:11" ht="15" x14ac:dyDescent="0.25">
      <c r="H382"/>
      <c r="K382"/>
    </row>
    <row r="383" spans="8:11" ht="15" x14ac:dyDescent="0.25">
      <c r="H383"/>
      <c r="K383"/>
    </row>
    <row r="384" spans="8:11" ht="15" x14ac:dyDescent="0.25">
      <c r="H384"/>
      <c r="K384"/>
    </row>
    <row r="385" spans="8:11" ht="15" x14ac:dyDescent="0.25">
      <c r="H385"/>
      <c r="K385"/>
    </row>
    <row r="386" spans="8:11" ht="15" x14ac:dyDescent="0.25">
      <c r="H386"/>
      <c r="K386"/>
    </row>
    <row r="387" spans="8:11" ht="15" x14ac:dyDescent="0.25">
      <c r="K387"/>
    </row>
    <row r="388" spans="8:11" ht="15" x14ac:dyDescent="0.25">
      <c r="K388"/>
    </row>
    <row r="389" spans="8:11" ht="15" x14ac:dyDescent="0.25">
      <c r="K389"/>
    </row>
    <row r="390" spans="8:11" ht="15" x14ac:dyDescent="0.25">
      <c r="K390"/>
    </row>
    <row r="391" spans="8:11" ht="15" x14ac:dyDescent="0.25">
      <c r="K391"/>
    </row>
    <row r="392" spans="8:11" ht="15" x14ac:dyDescent="0.25">
      <c r="K392"/>
    </row>
    <row r="393" spans="8:11" ht="15" x14ac:dyDescent="0.25">
      <c r="K393"/>
    </row>
    <row r="394" spans="8:11" ht="15" x14ac:dyDescent="0.25">
      <c r="K394"/>
    </row>
    <row r="395" spans="8:11" ht="15" x14ac:dyDescent="0.25">
      <c r="K395"/>
    </row>
    <row r="396" spans="8:11" ht="15" x14ac:dyDescent="0.25">
      <c r="K396"/>
    </row>
    <row r="397" spans="8:11" ht="15" x14ac:dyDescent="0.25">
      <c r="K397"/>
    </row>
    <row r="398" spans="8:11" ht="15" x14ac:dyDescent="0.25">
      <c r="K398"/>
    </row>
    <row r="399" spans="8:11" ht="15" x14ac:dyDescent="0.25">
      <c r="K399"/>
    </row>
    <row r="400" spans="8:11" ht="15" x14ac:dyDescent="0.25">
      <c r="K400"/>
    </row>
    <row r="401" spans="11:11" ht="15" x14ac:dyDescent="0.25">
      <c r="K401"/>
    </row>
    <row r="402" spans="11:11" ht="15" x14ac:dyDescent="0.25">
      <c r="K402"/>
    </row>
    <row r="403" spans="11:11" ht="15" x14ac:dyDescent="0.25">
      <c r="K403"/>
    </row>
    <row r="404" spans="11:11" ht="15" x14ac:dyDescent="0.25">
      <c r="K404"/>
    </row>
    <row r="405" spans="11:11" ht="15" x14ac:dyDescent="0.25">
      <c r="K405"/>
    </row>
    <row r="406" spans="11:11" ht="15" x14ac:dyDescent="0.25">
      <c r="K406"/>
    </row>
    <row r="407" spans="11:11" ht="15" x14ac:dyDescent="0.25">
      <c r="K407"/>
    </row>
    <row r="408" spans="11:11" ht="15" x14ac:dyDescent="0.25">
      <c r="K408"/>
    </row>
    <row r="409" spans="11:11" ht="15" x14ac:dyDescent="0.25">
      <c r="K409"/>
    </row>
    <row r="410" spans="11:11" ht="15" x14ac:dyDescent="0.25">
      <c r="K410"/>
    </row>
    <row r="411" spans="11:11" ht="15" x14ac:dyDescent="0.25">
      <c r="K411"/>
    </row>
    <row r="412" spans="11:11" ht="15" x14ac:dyDescent="0.25">
      <c r="K412"/>
    </row>
    <row r="413" spans="11:11" ht="15" x14ac:dyDescent="0.25">
      <c r="K413"/>
    </row>
    <row r="414" spans="11:11" ht="15" x14ac:dyDescent="0.25">
      <c r="K414"/>
    </row>
    <row r="415" spans="11:11" ht="15" x14ac:dyDescent="0.25">
      <c r="K415"/>
    </row>
    <row r="416" spans="11:11" ht="15" x14ac:dyDescent="0.25">
      <c r="K416"/>
    </row>
    <row r="417" spans="11:11" ht="15" x14ac:dyDescent="0.25">
      <c r="K417"/>
    </row>
    <row r="418" spans="11:11" ht="15" x14ac:dyDescent="0.25">
      <c r="K418"/>
    </row>
    <row r="419" spans="11:11" ht="15" x14ac:dyDescent="0.25">
      <c r="K419"/>
    </row>
    <row r="420" spans="11:11" ht="15" x14ac:dyDescent="0.25">
      <c r="K420"/>
    </row>
    <row r="421" spans="11:11" ht="15" x14ac:dyDescent="0.25">
      <c r="K421"/>
    </row>
    <row r="422" spans="11:11" ht="15" x14ac:dyDescent="0.25">
      <c r="K422"/>
    </row>
    <row r="423" spans="11:11" ht="15" x14ac:dyDescent="0.25">
      <c r="K423"/>
    </row>
    <row r="424" spans="11:11" ht="15" x14ac:dyDescent="0.25">
      <c r="K424"/>
    </row>
    <row r="425" spans="11:11" ht="15" x14ac:dyDescent="0.25">
      <c r="K425"/>
    </row>
    <row r="426" spans="11:11" ht="15" x14ac:dyDescent="0.25">
      <c r="K426"/>
    </row>
    <row r="427" spans="11:11" ht="15" x14ac:dyDescent="0.25">
      <c r="K427"/>
    </row>
    <row r="428" spans="11:11" ht="15" x14ac:dyDescent="0.25">
      <c r="K428"/>
    </row>
    <row r="429" spans="11:11" ht="15" x14ac:dyDescent="0.25">
      <c r="K429"/>
    </row>
    <row r="430" spans="11:11" ht="15" x14ac:dyDescent="0.25">
      <c r="K430"/>
    </row>
    <row r="431" spans="11:11" ht="15" x14ac:dyDescent="0.25">
      <c r="K431"/>
    </row>
    <row r="432" spans="11:11" ht="15" x14ac:dyDescent="0.25">
      <c r="K432"/>
    </row>
    <row r="433" spans="11:11" ht="15" x14ac:dyDescent="0.25">
      <c r="K433"/>
    </row>
    <row r="434" spans="11:11" ht="15" x14ac:dyDescent="0.25">
      <c r="K434"/>
    </row>
    <row r="435" spans="11:11" ht="15" x14ac:dyDescent="0.25">
      <c r="K435"/>
    </row>
    <row r="436" spans="11:11" ht="15" x14ac:dyDescent="0.25">
      <c r="K436"/>
    </row>
    <row r="437" spans="11:11" ht="15" x14ac:dyDescent="0.25">
      <c r="K437"/>
    </row>
    <row r="438" spans="11:11" ht="15" x14ac:dyDescent="0.25">
      <c r="K438"/>
    </row>
    <row r="439" spans="11:11" ht="15" x14ac:dyDescent="0.25">
      <c r="K439"/>
    </row>
    <row r="440" spans="11:11" ht="15" x14ac:dyDescent="0.25">
      <c r="K440"/>
    </row>
    <row r="441" spans="11:11" ht="15" x14ac:dyDescent="0.25">
      <c r="K441"/>
    </row>
    <row r="442" spans="11:11" ht="15" x14ac:dyDescent="0.25">
      <c r="K442"/>
    </row>
    <row r="443" spans="11:11" ht="15" x14ac:dyDescent="0.25">
      <c r="K443"/>
    </row>
    <row r="444" spans="11:11" ht="15" x14ac:dyDescent="0.25">
      <c r="K444"/>
    </row>
    <row r="445" spans="11:11" ht="15" x14ac:dyDescent="0.25">
      <c r="K445"/>
    </row>
    <row r="446" spans="11:11" ht="15" x14ac:dyDescent="0.25">
      <c r="K446"/>
    </row>
    <row r="447" spans="11:11" ht="15" x14ac:dyDescent="0.25">
      <c r="K447"/>
    </row>
    <row r="448" spans="11:11" ht="15" x14ac:dyDescent="0.25">
      <c r="K448"/>
    </row>
    <row r="449" spans="11:11" ht="15" x14ac:dyDescent="0.25">
      <c r="K449"/>
    </row>
    <row r="450" spans="11:11" ht="15" x14ac:dyDescent="0.25">
      <c r="K450"/>
    </row>
    <row r="451" spans="11:11" ht="15" x14ac:dyDescent="0.25">
      <c r="K451"/>
    </row>
    <row r="452" spans="11:11" ht="15" x14ac:dyDescent="0.25">
      <c r="K452"/>
    </row>
    <row r="453" spans="11:11" ht="15" x14ac:dyDescent="0.25">
      <c r="K453"/>
    </row>
    <row r="454" spans="11:11" ht="15" x14ac:dyDescent="0.25">
      <c r="K454"/>
    </row>
    <row r="455" spans="11:11" ht="15" x14ac:dyDescent="0.25">
      <c r="K455"/>
    </row>
    <row r="456" spans="11:11" ht="15" x14ac:dyDescent="0.25">
      <c r="K456"/>
    </row>
    <row r="457" spans="11:11" ht="15" x14ac:dyDescent="0.25">
      <c r="K457"/>
    </row>
    <row r="458" spans="11:11" ht="15" x14ac:dyDescent="0.25">
      <c r="K458"/>
    </row>
    <row r="459" spans="11:11" ht="15" x14ac:dyDescent="0.25">
      <c r="K459"/>
    </row>
    <row r="460" spans="11:11" ht="15" x14ac:dyDescent="0.25">
      <c r="K460"/>
    </row>
    <row r="461" spans="11:11" ht="15" x14ac:dyDescent="0.25">
      <c r="K461"/>
    </row>
    <row r="462" spans="11:11" ht="15" x14ac:dyDescent="0.25">
      <c r="K462"/>
    </row>
    <row r="463" spans="11:11" ht="15" x14ac:dyDescent="0.25">
      <c r="K463"/>
    </row>
    <row r="464" spans="11:11" ht="15" x14ac:dyDescent="0.25">
      <c r="K464"/>
    </row>
    <row r="465" spans="11:11" ht="15" x14ac:dyDescent="0.25">
      <c r="K465"/>
    </row>
    <row r="466" spans="11:11" ht="15" x14ac:dyDescent="0.25">
      <c r="K466"/>
    </row>
    <row r="467" spans="11:11" ht="15" x14ac:dyDescent="0.25">
      <c r="K467"/>
    </row>
    <row r="468" spans="11:11" ht="15" x14ac:dyDescent="0.25">
      <c r="K468"/>
    </row>
    <row r="469" spans="11:11" ht="15" x14ac:dyDescent="0.25">
      <c r="K469"/>
    </row>
    <row r="470" spans="11:11" ht="15" x14ac:dyDescent="0.25">
      <c r="K470"/>
    </row>
    <row r="471" spans="11:11" ht="15" x14ac:dyDescent="0.25">
      <c r="K471"/>
    </row>
    <row r="472" spans="11:11" ht="15" x14ac:dyDescent="0.25">
      <c r="K472"/>
    </row>
    <row r="473" spans="11:11" ht="15" x14ac:dyDescent="0.25">
      <c r="K473"/>
    </row>
    <row r="474" spans="11:11" ht="15" x14ac:dyDescent="0.25">
      <c r="K474"/>
    </row>
    <row r="475" spans="11:11" ht="15" x14ac:dyDescent="0.25">
      <c r="K475"/>
    </row>
    <row r="476" spans="11:11" ht="15" x14ac:dyDescent="0.25">
      <c r="K476"/>
    </row>
    <row r="477" spans="11:11" ht="15" x14ac:dyDescent="0.25">
      <c r="K477"/>
    </row>
    <row r="478" spans="11:11" ht="15" x14ac:dyDescent="0.25">
      <c r="K478"/>
    </row>
    <row r="479" spans="11:11" ht="15" x14ac:dyDescent="0.25">
      <c r="K479"/>
    </row>
    <row r="480" spans="11:11" ht="15" x14ac:dyDescent="0.25">
      <c r="K480"/>
    </row>
    <row r="481" spans="11:11" ht="15" x14ac:dyDescent="0.25">
      <c r="K481"/>
    </row>
    <row r="482" spans="11:11" ht="15" x14ac:dyDescent="0.25">
      <c r="K482"/>
    </row>
    <row r="483" spans="11:11" ht="15" x14ac:dyDescent="0.25">
      <c r="K483"/>
    </row>
    <row r="484" spans="11:11" ht="15" x14ac:dyDescent="0.25">
      <c r="K484"/>
    </row>
    <row r="485" spans="11:11" ht="15" x14ac:dyDescent="0.25">
      <c r="K485"/>
    </row>
    <row r="486" spans="11:11" ht="15" x14ac:dyDescent="0.25">
      <c r="K486"/>
    </row>
    <row r="487" spans="11:11" ht="15" x14ac:dyDescent="0.25">
      <c r="K487"/>
    </row>
    <row r="488" spans="11:11" ht="15" x14ac:dyDescent="0.25">
      <c r="K488"/>
    </row>
    <row r="489" spans="11:11" ht="15" x14ac:dyDescent="0.25">
      <c r="K489"/>
    </row>
    <row r="490" spans="11:11" ht="15" x14ac:dyDescent="0.25">
      <c r="K490"/>
    </row>
    <row r="491" spans="11:11" ht="15" x14ac:dyDescent="0.25">
      <c r="K491"/>
    </row>
    <row r="492" spans="11:11" ht="15" x14ac:dyDescent="0.25">
      <c r="K492"/>
    </row>
    <row r="493" spans="11:11" ht="15" x14ac:dyDescent="0.25">
      <c r="K493"/>
    </row>
    <row r="494" spans="11:11" ht="15" x14ac:dyDescent="0.25">
      <c r="K494"/>
    </row>
    <row r="495" spans="11:11" ht="15" x14ac:dyDescent="0.25">
      <c r="K495"/>
    </row>
    <row r="496" spans="11:11" ht="15" x14ac:dyDescent="0.25">
      <c r="K496"/>
    </row>
    <row r="497" spans="11:11" ht="15" x14ac:dyDescent="0.25">
      <c r="K497"/>
    </row>
    <row r="498" spans="11:11" ht="15" x14ac:dyDescent="0.25">
      <c r="K498"/>
    </row>
    <row r="499" spans="11:11" ht="15" x14ac:dyDescent="0.25">
      <c r="K499"/>
    </row>
    <row r="500" spans="11:11" ht="15" x14ac:dyDescent="0.25">
      <c r="K500"/>
    </row>
    <row r="501" spans="11:11" ht="15" x14ac:dyDescent="0.25">
      <c r="K501"/>
    </row>
    <row r="502" spans="11:11" ht="15" x14ac:dyDescent="0.25">
      <c r="K502"/>
    </row>
    <row r="503" spans="11:11" ht="15" x14ac:dyDescent="0.25">
      <c r="K503"/>
    </row>
    <row r="504" spans="11:11" ht="15" x14ac:dyDescent="0.25">
      <c r="K504"/>
    </row>
    <row r="505" spans="11:11" ht="15" x14ac:dyDescent="0.25">
      <c r="K505"/>
    </row>
    <row r="506" spans="11:11" ht="15" x14ac:dyDescent="0.25">
      <c r="K506"/>
    </row>
    <row r="507" spans="11:11" ht="15" x14ac:dyDescent="0.25">
      <c r="K507"/>
    </row>
    <row r="508" spans="11:11" ht="15" x14ac:dyDescent="0.25">
      <c r="K508"/>
    </row>
    <row r="509" spans="11:11" ht="15" x14ac:dyDescent="0.25">
      <c r="K509"/>
    </row>
    <row r="510" spans="11:11" ht="15" x14ac:dyDescent="0.25">
      <c r="K510"/>
    </row>
    <row r="511" spans="11:11" ht="15" x14ac:dyDescent="0.25">
      <c r="K511"/>
    </row>
    <row r="512" spans="11:11" ht="15" x14ac:dyDescent="0.25">
      <c r="K512"/>
    </row>
    <row r="513" spans="11:11" ht="15" x14ac:dyDescent="0.25">
      <c r="K513"/>
    </row>
    <row r="514" spans="11:11" ht="15" x14ac:dyDescent="0.25">
      <c r="K514"/>
    </row>
    <row r="515" spans="11:11" ht="15" x14ac:dyDescent="0.25">
      <c r="K515"/>
    </row>
    <row r="516" spans="11:11" ht="15" x14ac:dyDescent="0.25">
      <c r="K516"/>
    </row>
    <row r="517" spans="11:11" ht="15" x14ac:dyDescent="0.25">
      <c r="K517"/>
    </row>
    <row r="518" spans="11:11" ht="15" x14ac:dyDescent="0.25">
      <c r="K518"/>
    </row>
    <row r="519" spans="11:11" ht="15" x14ac:dyDescent="0.25">
      <c r="K519"/>
    </row>
    <row r="520" spans="11:11" ht="15" x14ac:dyDescent="0.25">
      <c r="K520"/>
    </row>
    <row r="521" spans="11:11" ht="15" x14ac:dyDescent="0.25">
      <c r="K521"/>
    </row>
    <row r="522" spans="11:11" ht="15" x14ac:dyDescent="0.25">
      <c r="K522"/>
    </row>
    <row r="523" spans="11:11" ht="15" x14ac:dyDescent="0.25">
      <c r="K523"/>
    </row>
    <row r="524" spans="11:11" ht="15" x14ac:dyDescent="0.25">
      <c r="K524"/>
    </row>
    <row r="525" spans="11:11" ht="15" x14ac:dyDescent="0.25">
      <c r="K525"/>
    </row>
    <row r="526" spans="11:11" ht="15" x14ac:dyDescent="0.25">
      <c r="K526"/>
    </row>
    <row r="527" spans="11:11" ht="15" x14ac:dyDescent="0.25">
      <c r="K527"/>
    </row>
    <row r="528" spans="11:11" ht="15" x14ac:dyDescent="0.25">
      <c r="K528"/>
    </row>
    <row r="529" spans="11:11" ht="15" x14ac:dyDescent="0.25">
      <c r="K529"/>
    </row>
    <row r="530" spans="11:11" ht="15" x14ac:dyDescent="0.25">
      <c r="K530"/>
    </row>
    <row r="531" spans="11:11" ht="15" x14ac:dyDescent="0.25">
      <c r="K531"/>
    </row>
    <row r="532" spans="11:11" ht="15" x14ac:dyDescent="0.25">
      <c r="K532"/>
    </row>
    <row r="533" spans="11:11" ht="15" x14ac:dyDescent="0.25">
      <c r="K533"/>
    </row>
    <row r="534" spans="11:11" ht="15" x14ac:dyDescent="0.25">
      <c r="K534"/>
    </row>
    <row r="535" spans="11:11" ht="15" x14ac:dyDescent="0.25">
      <c r="K535"/>
    </row>
    <row r="536" spans="11:11" ht="15" x14ac:dyDescent="0.25">
      <c r="K536"/>
    </row>
    <row r="537" spans="11:11" ht="15" x14ac:dyDescent="0.25">
      <c r="K537"/>
    </row>
    <row r="538" spans="11:11" ht="15" x14ac:dyDescent="0.25">
      <c r="K538"/>
    </row>
    <row r="539" spans="11:11" ht="15" x14ac:dyDescent="0.25">
      <c r="K539"/>
    </row>
    <row r="540" spans="11:11" ht="15" x14ac:dyDescent="0.25">
      <c r="K540"/>
    </row>
    <row r="541" spans="11:11" ht="15" x14ac:dyDescent="0.25">
      <c r="K541"/>
    </row>
    <row r="542" spans="11:11" ht="15" x14ac:dyDescent="0.25">
      <c r="K542"/>
    </row>
    <row r="543" spans="11:11" ht="15" x14ac:dyDescent="0.25">
      <c r="K543"/>
    </row>
    <row r="544" spans="11:11" ht="15" x14ac:dyDescent="0.25">
      <c r="K544"/>
    </row>
    <row r="545" spans="11:11" ht="15" x14ac:dyDescent="0.25">
      <c r="K545"/>
    </row>
    <row r="546" spans="11:11" ht="15" x14ac:dyDescent="0.25">
      <c r="K546"/>
    </row>
    <row r="547" spans="11:11" ht="15" x14ac:dyDescent="0.25">
      <c r="K547"/>
    </row>
    <row r="548" spans="11:11" ht="15" x14ac:dyDescent="0.25">
      <c r="K548"/>
    </row>
    <row r="549" spans="11:11" ht="15" x14ac:dyDescent="0.25">
      <c r="K549"/>
    </row>
    <row r="550" spans="11:11" ht="15" x14ac:dyDescent="0.25">
      <c r="K550"/>
    </row>
    <row r="551" spans="11:11" ht="15" x14ac:dyDescent="0.25">
      <c r="K551"/>
    </row>
    <row r="552" spans="11:11" ht="15" x14ac:dyDescent="0.25">
      <c r="K552"/>
    </row>
    <row r="553" spans="11:11" ht="15" x14ac:dyDescent="0.25">
      <c r="K553"/>
    </row>
    <row r="554" spans="11:11" ht="15" x14ac:dyDescent="0.25">
      <c r="K554"/>
    </row>
    <row r="555" spans="11:11" ht="15" x14ac:dyDescent="0.25">
      <c r="K555"/>
    </row>
    <row r="556" spans="11:11" ht="15" x14ac:dyDescent="0.25">
      <c r="K556"/>
    </row>
    <row r="557" spans="11:11" ht="15" x14ac:dyDescent="0.25">
      <c r="K557"/>
    </row>
    <row r="558" spans="11:11" ht="15" x14ac:dyDescent="0.25">
      <c r="K558"/>
    </row>
    <row r="559" spans="11:11" ht="15" x14ac:dyDescent="0.25">
      <c r="K559"/>
    </row>
    <row r="560" spans="11:11" ht="15" x14ac:dyDescent="0.25">
      <c r="K560"/>
    </row>
    <row r="561" spans="11:11" ht="15" x14ac:dyDescent="0.25">
      <c r="K561"/>
    </row>
    <row r="562" spans="11:11" ht="15" x14ac:dyDescent="0.25">
      <c r="K562"/>
    </row>
    <row r="563" spans="11:11" ht="15" x14ac:dyDescent="0.25">
      <c r="K563"/>
    </row>
    <row r="564" spans="11:11" ht="15" x14ac:dyDescent="0.25">
      <c r="K564"/>
    </row>
    <row r="565" spans="11:11" ht="15" x14ac:dyDescent="0.25">
      <c r="K565"/>
    </row>
    <row r="566" spans="11:11" ht="15" x14ac:dyDescent="0.25">
      <c r="K566"/>
    </row>
    <row r="567" spans="11:11" ht="15" x14ac:dyDescent="0.25">
      <c r="K567"/>
    </row>
    <row r="568" spans="11:11" ht="15" x14ac:dyDescent="0.25">
      <c r="K568"/>
    </row>
    <row r="569" spans="11:11" ht="15" x14ac:dyDescent="0.25">
      <c r="K569"/>
    </row>
    <row r="570" spans="11:11" ht="15" x14ac:dyDescent="0.25">
      <c r="K570"/>
    </row>
    <row r="571" spans="11:11" ht="15" x14ac:dyDescent="0.25">
      <c r="K571"/>
    </row>
    <row r="572" spans="11:11" ht="15" x14ac:dyDescent="0.25">
      <c r="K572"/>
    </row>
    <row r="573" spans="11:11" ht="15" x14ac:dyDescent="0.25">
      <c r="K573"/>
    </row>
    <row r="574" spans="11:11" ht="15" x14ac:dyDescent="0.25">
      <c r="K574"/>
    </row>
    <row r="575" spans="11:11" ht="15" x14ac:dyDescent="0.25">
      <c r="K575"/>
    </row>
    <row r="576" spans="11:11" ht="15" x14ac:dyDescent="0.25">
      <c r="K576"/>
    </row>
    <row r="577" spans="11:11" ht="15" x14ac:dyDescent="0.25">
      <c r="K577"/>
    </row>
    <row r="578" spans="11:11" ht="15" x14ac:dyDescent="0.25">
      <c r="K578"/>
    </row>
    <row r="579" spans="11:11" ht="15" x14ac:dyDescent="0.25">
      <c r="K579"/>
    </row>
    <row r="580" spans="11:11" ht="15" x14ac:dyDescent="0.25">
      <c r="K580"/>
    </row>
    <row r="581" spans="11:11" ht="15" x14ac:dyDescent="0.25">
      <c r="K581"/>
    </row>
    <row r="582" spans="11:11" ht="15" x14ac:dyDescent="0.25">
      <c r="K582"/>
    </row>
    <row r="583" spans="11:11" ht="15" x14ac:dyDescent="0.25">
      <c r="K583"/>
    </row>
    <row r="584" spans="11:11" ht="15" x14ac:dyDescent="0.25">
      <c r="K584"/>
    </row>
    <row r="585" spans="11:11" ht="15" x14ac:dyDescent="0.25">
      <c r="K585"/>
    </row>
    <row r="586" spans="11:11" ht="15" x14ac:dyDescent="0.25">
      <c r="K586"/>
    </row>
    <row r="587" spans="11:11" ht="15" x14ac:dyDescent="0.25">
      <c r="K587"/>
    </row>
    <row r="588" spans="11:11" ht="15" x14ac:dyDescent="0.25">
      <c r="K588"/>
    </row>
    <row r="589" spans="11:11" ht="15" x14ac:dyDescent="0.25">
      <c r="K589"/>
    </row>
    <row r="590" spans="11:11" ht="15" x14ac:dyDescent="0.25">
      <c r="K590"/>
    </row>
    <row r="591" spans="11:11" ht="15" x14ac:dyDescent="0.25">
      <c r="K591"/>
    </row>
    <row r="592" spans="11:11" ht="15" x14ac:dyDescent="0.25">
      <c r="K592"/>
    </row>
    <row r="593" spans="11:11" ht="15" x14ac:dyDescent="0.25">
      <c r="K593"/>
    </row>
    <row r="594" spans="11:11" ht="15" x14ac:dyDescent="0.25">
      <c r="K594"/>
    </row>
    <row r="595" spans="11:11" ht="15" x14ac:dyDescent="0.25">
      <c r="K595"/>
    </row>
    <row r="596" spans="11:11" ht="15" x14ac:dyDescent="0.25">
      <c r="K596"/>
    </row>
    <row r="597" spans="11:11" ht="15" x14ac:dyDescent="0.25">
      <c r="K597"/>
    </row>
    <row r="598" spans="11:11" ht="15" x14ac:dyDescent="0.25">
      <c r="K598"/>
    </row>
    <row r="599" spans="11:11" ht="15" x14ac:dyDescent="0.25">
      <c r="K599"/>
    </row>
    <row r="600" spans="11:11" ht="15" x14ac:dyDescent="0.25">
      <c r="K600"/>
    </row>
    <row r="601" spans="11:11" ht="15" x14ac:dyDescent="0.25">
      <c r="K601"/>
    </row>
    <row r="602" spans="11:11" ht="15" x14ac:dyDescent="0.25">
      <c r="K602"/>
    </row>
    <row r="603" spans="11:11" ht="15" x14ac:dyDescent="0.25">
      <c r="K603"/>
    </row>
    <row r="604" spans="11:11" ht="15" x14ac:dyDescent="0.25">
      <c r="K604"/>
    </row>
    <row r="605" spans="11:11" ht="15" x14ac:dyDescent="0.25">
      <c r="K605"/>
    </row>
    <row r="606" spans="11:11" ht="15" x14ac:dyDescent="0.25">
      <c r="K606"/>
    </row>
    <row r="607" spans="11:11" ht="15" x14ac:dyDescent="0.25">
      <c r="K607"/>
    </row>
    <row r="608" spans="11:11" ht="15" x14ac:dyDescent="0.25">
      <c r="K608"/>
    </row>
    <row r="609" spans="11:11" ht="15" x14ac:dyDescent="0.25">
      <c r="K609"/>
    </row>
    <row r="610" spans="11:11" ht="15" x14ac:dyDescent="0.25">
      <c r="K610"/>
    </row>
    <row r="611" spans="11:11" ht="15" x14ac:dyDescent="0.25">
      <c r="K611"/>
    </row>
    <row r="612" spans="11:11" ht="15" x14ac:dyDescent="0.25">
      <c r="K612"/>
    </row>
    <row r="613" spans="11:11" ht="15" x14ac:dyDescent="0.25">
      <c r="K613"/>
    </row>
    <row r="614" spans="11:11" ht="15" x14ac:dyDescent="0.25">
      <c r="K614"/>
    </row>
    <row r="615" spans="11:11" ht="15" x14ac:dyDescent="0.25">
      <c r="K615"/>
    </row>
    <row r="616" spans="11:11" ht="15" x14ac:dyDescent="0.25">
      <c r="K616"/>
    </row>
    <row r="617" spans="11:11" ht="15" x14ac:dyDescent="0.25">
      <c r="K617"/>
    </row>
    <row r="618" spans="11:11" ht="15" x14ac:dyDescent="0.25">
      <c r="K618"/>
    </row>
    <row r="619" spans="11:11" ht="15" x14ac:dyDescent="0.25">
      <c r="K619"/>
    </row>
    <row r="620" spans="11:11" ht="15" x14ac:dyDescent="0.25">
      <c r="K620"/>
    </row>
    <row r="621" spans="11:11" ht="15" x14ac:dyDescent="0.25">
      <c r="K621"/>
    </row>
    <row r="622" spans="11:11" ht="15" x14ac:dyDescent="0.25">
      <c r="K622"/>
    </row>
    <row r="623" spans="11:11" ht="15" x14ac:dyDescent="0.25">
      <c r="K623"/>
    </row>
    <row r="624" spans="11:11" ht="15" x14ac:dyDescent="0.25">
      <c r="K624"/>
    </row>
    <row r="625" spans="11:11" ht="15" x14ac:dyDescent="0.25">
      <c r="K625"/>
    </row>
    <row r="626" spans="11:11" ht="15" x14ac:dyDescent="0.25">
      <c r="K626"/>
    </row>
    <row r="627" spans="11:11" ht="15" x14ac:dyDescent="0.25">
      <c r="K627"/>
    </row>
    <row r="628" spans="11:11" ht="15" x14ac:dyDescent="0.25">
      <c r="K628"/>
    </row>
    <row r="629" spans="11:11" ht="15" x14ac:dyDescent="0.25">
      <c r="K629"/>
    </row>
    <row r="630" spans="11:11" ht="15" x14ac:dyDescent="0.25">
      <c r="K630"/>
    </row>
    <row r="631" spans="11:11" ht="15" x14ac:dyDescent="0.25">
      <c r="K631"/>
    </row>
    <row r="632" spans="11:11" ht="15" x14ac:dyDescent="0.25">
      <c r="K632"/>
    </row>
    <row r="633" spans="11:11" ht="15" x14ac:dyDescent="0.25">
      <c r="K633"/>
    </row>
    <row r="634" spans="11:11" ht="15" x14ac:dyDescent="0.25">
      <c r="K634"/>
    </row>
    <row r="635" spans="11:11" ht="15" x14ac:dyDescent="0.25">
      <c r="K635"/>
    </row>
    <row r="636" spans="11:11" ht="15" x14ac:dyDescent="0.25">
      <c r="K636"/>
    </row>
    <row r="637" spans="11:11" ht="15" x14ac:dyDescent="0.25">
      <c r="K637"/>
    </row>
    <row r="638" spans="11:11" ht="15" x14ac:dyDescent="0.25">
      <c r="K638"/>
    </row>
    <row r="639" spans="11:11" ht="15" x14ac:dyDescent="0.25">
      <c r="K639"/>
    </row>
    <row r="640" spans="11:11" ht="15" x14ac:dyDescent="0.25">
      <c r="K640"/>
    </row>
    <row r="641" spans="11:11" ht="15" x14ac:dyDescent="0.25">
      <c r="K641"/>
    </row>
    <row r="642" spans="11:11" ht="15" x14ac:dyDescent="0.25">
      <c r="K642"/>
    </row>
    <row r="643" spans="11:11" ht="15" x14ac:dyDescent="0.25">
      <c r="K643"/>
    </row>
    <row r="644" spans="11:11" ht="15" x14ac:dyDescent="0.25">
      <c r="K644"/>
    </row>
    <row r="645" spans="11:11" ht="15" x14ac:dyDescent="0.25">
      <c r="K645"/>
    </row>
    <row r="646" spans="11:11" ht="15" x14ac:dyDescent="0.25">
      <c r="K646"/>
    </row>
    <row r="647" spans="11:11" ht="15" x14ac:dyDescent="0.25">
      <c r="K647"/>
    </row>
    <row r="648" spans="11:11" ht="15" x14ac:dyDescent="0.25">
      <c r="K648"/>
    </row>
    <row r="649" spans="11:11" ht="15" x14ac:dyDescent="0.25">
      <c r="K649"/>
    </row>
    <row r="650" spans="11:11" ht="15" x14ac:dyDescent="0.25">
      <c r="K650"/>
    </row>
    <row r="651" spans="11:11" ht="15" x14ac:dyDescent="0.25">
      <c r="K651"/>
    </row>
    <row r="652" spans="11:11" ht="15" x14ac:dyDescent="0.25">
      <c r="K652"/>
    </row>
    <row r="653" spans="11:11" ht="15" x14ac:dyDescent="0.25">
      <c r="K653"/>
    </row>
    <row r="654" spans="11:11" ht="15" x14ac:dyDescent="0.25">
      <c r="K654"/>
    </row>
    <row r="655" spans="11:11" ht="15" x14ac:dyDescent="0.25">
      <c r="K655"/>
    </row>
    <row r="656" spans="11:11" ht="15" x14ac:dyDescent="0.25">
      <c r="K656"/>
    </row>
    <row r="657" spans="11:11" ht="15" x14ac:dyDescent="0.25">
      <c r="K657"/>
    </row>
    <row r="658" spans="11:11" ht="15" x14ac:dyDescent="0.25">
      <c r="K658"/>
    </row>
    <row r="659" spans="11:11" ht="15" x14ac:dyDescent="0.25">
      <c r="K659"/>
    </row>
    <row r="660" spans="11:11" ht="15" x14ac:dyDescent="0.25">
      <c r="K660"/>
    </row>
    <row r="661" spans="11:11" ht="15" x14ac:dyDescent="0.25">
      <c r="K661"/>
    </row>
    <row r="662" spans="11:11" ht="15" x14ac:dyDescent="0.25">
      <c r="K662"/>
    </row>
    <row r="663" spans="11:11" ht="15" x14ac:dyDescent="0.25">
      <c r="K663"/>
    </row>
    <row r="664" spans="11:11" ht="15" x14ac:dyDescent="0.25">
      <c r="K664"/>
    </row>
    <row r="665" spans="11:11" ht="15" x14ac:dyDescent="0.25">
      <c r="K665"/>
    </row>
    <row r="666" spans="11:11" ht="15" x14ac:dyDescent="0.25">
      <c r="K666"/>
    </row>
    <row r="667" spans="11:11" ht="15" x14ac:dyDescent="0.25">
      <c r="K667"/>
    </row>
    <row r="668" spans="11:11" ht="15" x14ac:dyDescent="0.25">
      <c r="K668"/>
    </row>
    <row r="669" spans="11:11" ht="15" x14ac:dyDescent="0.25">
      <c r="K669"/>
    </row>
    <row r="670" spans="11:11" ht="15" x14ac:dyDescent="0.25">
      <c r="K670"/>
    </row>
    <row r="671" spans="11:11" ht="15" x14ac:dyDescent="0.25">
      <c r="K671"/>
    </row>
    <row r="672" spans="11:11" ht="15" x14ac:dyDescent="0.25">
      <c r="K672"/>
    </row>
    <row r="673" spans="11:11" ht="15" x14ac:dyDescent="0.25">
      <c r="K673"/>
    </row>
    <row r="674" spans="11:11" ht="15" x14ac:dyDescent="0.25">
      <c r="K674"/>
    </row>
    <row r="675" spans="11:11" ht="15" x14ac:dyDescent="0.25">
      <c r="K675"/>
    </row>
    <row r="676" spans="11:11" ht="15" x14ac:dyDescent="0.25">
      <c r="K676"/>
    </row>
    <row r="677" spans="11:11" ht="15" x14ac:dyDescent="0.25">
      <c r="K677"/>
    </row>
    <row r="678" spans="11:11" ht="15" x14ac:dyDescent="0.25">
      <c r="K678"/>
    </row>
    <row r="679" spans="11:11" ht="15" x14ac:dyDescent="0.25">
      <c r="K679"/>
    </row>
    <row r="680" spans="11:11" ht="15" x14ac:dyDescent="0.25">
      <c r="K680"/>
    </row>
    <row r="681" spans="11:11" ht="15" x14ac:dyDescent="0.25">
      <c r="K681"/>
    </row>
    <row r="682" spans="11:11" ht="15" x14ac:dyDescent="0.25">
      <c r="K682"/>
    </row>
    <row r="683" spans="11:11" ht="15" x14ac:dyDescent="0.25">
      <c r="K683"/>
    </row>
    <row r="684" spans="11:11" ht="15" x14ac:dyDescent="0.25">
      <c r="K684"/>
    </row>
    <row r="685" spans="11:11" ht="15" x14ac:dyDescent="0.25">
      <c r="K685"/>
    </row>
    <row r="686" spans="11:11" ht="15" x14ac:dyDescent="0.25">
      <c r="K686"/>
    </row>
    <row r="687" spans="11:11" ht="15" x14ac:dyDescent="0.25">
      <c r="K687"/>
    </row>
    <row r="688" spans="11:11" ht="15" x14ac:dyDescent="0.25">
      <c r="K688"/>
    </row>
    <row r="689" spans="11:11" ht="15" x14ac:dyDescent="0.25">
      <c r="K689"/>
    </row>
    <row r="690" spans="11:11" ht="15" x14ac:dyDescent="0.25">
      <c r="K690"/>
    </row>
    <row r="691" spans="11:11" ht="15" x14ac:dyDescent="0.25">
      <c r="K691"/>
    </row>
    <row r="692" spans="11:11" ht="15" x14ac:dyDescent="0.25">
      <c r="K692"/>
    </row>
    <row r="693" spans="11:11" ht="15" x14ac:dyDescent="0.25">
      <c r="K693"/>
    </row>
    <row r="694" spans="11:11" ht="15" x14ac:dyDescent="0.25">
      <c r="K694"/>
    </row>
    <row r="695" spans="11:11" ht="15" x14ac:dyDescent="0.25">
      <c r="K695"/>
    </row>
    <row r="696" spans="11:11" ht="15" x14ac:dyDescent="0.25">
      <c r="K696"/>
    </row>
    <row r="697" spans="11:11" ht="15" x14ac:dyDescent="0.25">
      <c r="K697"/>
    </row>
    <row r="698" spans="11:11" ht="15" x14ac:dyDescent="0.25">
      <c r="K698"/>
    </row>
    <row r="699" spans="11:11" ht="15" x14ac:dyDescent="0.25">
      <c r="K699"/>
    </row>
    <row r="700" spans="11:11" ht="15" x14ac:dyDescent="0.25">
      <c r="K700"/>
    </row>
    <row r="701" spans="11:11" ht="15" x14ac:dyDescent="0.25">
      <c r="K701"/>
    </row>
    <row r="702" spans="11:11" ht="15" x14ac:dyDescent="0.25">
      <c r="K702"/>
    </row>
    <row r="703" spans="11:11" ht="15" x14ac:dyDescent="0.25">
      <c r="K703"/>
    </row>
    <row r="704" spans="11:11" ht="15" x14ac:dyDescent="0.25">
      <c r="K704"/>
    </row>
    <row r="705" spans="11:11" ht="15" x14ac:dyDescent="0.25">
      <c r="K705"/>
    </row>
    <row r="706" spans="11:11" ht="15" x14ac:dyDescent="0.25">
      <c r="K706"/>
    </row>
    <row r="707" spans="11:11" ht="15" x14ac:dyDescent="0.25">
      <c r="K707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2025-09-30T11:45:33Z</dcterms:modified>
</cp:coreProperties>
</file>