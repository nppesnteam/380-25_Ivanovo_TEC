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32B5E83E-9005-4E2D-A6FD-1DABB7DC3A4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6" i="1" l="1"/>
  <c r="H45" i="1"/>
  <c r="H29" i="1"/>
  <c r="H33" i="1"/>
  <c r="H44" i="1"/>
  <c r="H43" i="1"/>
  <c r="H42" i="1"/>
  <c r="H41" i="1"/>
  <c r="H40" i="1"/>
  <c r="H39" i="1"/>
  <c r="H38" i="1"/>
  <c r="H36" i="1"/>
  <c r="H35" i="1"/>
  <c r="H34" i="1"/>
  <c r="H32" i="1"/>
  <c r="H31" i="1"/>
  <c r="H30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72" i="1" l="1"/>
</calcChain>
</file>

<file path=xl/sharedStrings.xml><?xml version="1.0" encoding="utf-8"?>
<sst xmlns="http://schemas.openxmlformats.org/spreadsheetml/2006/main" count="266" uniqueCount="135">
  <si>
    <t>Обозн</t>
  </si>
  <si>
    <t>Наименоваие</t>
  </si>
  <si>
    <t>Тип, марка</t>
  </si>
  <si>
    <t>Ед.изм.</t>
  </si>
  <si>
    <t>Кол-во</t>
  </si>
  <si>
    <t>Производитель</t>
  </si>
  <si>
    <t>Стойки вертикальные, для шкафов nCQE высотой 2000 мм, 4 шт. RAL7035</t>
  </si>
  <si>
    <t>R5NKMN20</t>
  </si>
  <si>
    <t>DKC</t>
  </si>
  <si>
    <t>Шт.</t>
  </si>
  <si>
    <t>Комплект, крыша и основание, для шкафов nCQE, 600 x 600 мм</t>
  </si>
  <si>
    <t>R5NKTB66</t>
  </si>
  <si>
    <t>R5NCPE2060</t>
  </si>
  <si>
    <t>Дверь сплошная для шкафов CQE N, ВхШ 2000х600 мм</t>
  </si>
  <si>
    <t>Панели боковые для шкафов CQE N, ВхГ 2000х600 мм, комплект 2 шт.</t>
  </si>
  <si>
    <t>R5NLE2062</t>
  </si>
  <si>
    <t>Плата монтажная  для шкафов CQE N ВхШ 2000 x 600 мм</t>
  </si>
  <si>
    <t>R5NPCE2060</t>
  </si>
  <si>
    <t>Комплект угловых элементов с пластиковыми заглушками, В =100 мм, 1 кмп = 4 шт.</t>
  </si>
  <si>
    <t>R5NBP01B</t>
  </si>
  <si>
    <t>Комплект панелей цоколя, Ш/Г=600 мм, В=100 мм, 1 кмп = 2 шт.</t>
  </si>
  <si>
    <t>R5NFPB60</t>
  </si>
  <si>
    <t>Рейка боковая, широкая, для шкафов CQE глубиной 600 мм, 1 упаковка - 4 шт.</t>
  </si>
  <si>
    <t>R5NPDL600</t>
  </si>
  <si>
    <t>Уплотнитель для ввода кабеля для шкафов CQE &amp; CQE N, Ш=600 мм</t>
  </si>
  <si>
    <t>R5NFPC600</t>
  </si>
  <si>
    <t>Рым-болты, М12, 1 упаковка - 4 шт.</t>
  </si>
  <si>
    <t>R5A33</t>
  </si>
  <si>
    <t>Ограничитель угла открытия двери, 90 градусов</t>
  </si>
  <si>
    <t>R5RAE02</t>
  </si>
  <si>
    <t>Концевой выключатель с двумя контактами, нормально открытый + нормально закрытый (NO+NC). Исполнение с кнопкой.</t>
  </si>
  <si>
    <t>R5MC101</t>
  </si>
  <si>
    <t>LDBO0-3001-4-4000-K01</t>
  </si>
  <si>
    <t>IEK</t>
  </si>
  <si>
    <t>Светильник светодиодный линейный ДБО 3001 4Вт 4000K IP20 311мм пластик</t>
  </si>
  <si>
    <t>DPSL075W24V</t>
  </si>
  <si>
    <t>Блок питания "ECO POWER", однофазный, 75Вт, 24В</t>
  </si>
  <si>
    <t>XCSD1015W024VAA</t>
  </si>
  <si>
    <t>Блок питания "MODULAR POWER", однофазный, 15Вт, 0.6А, 24В</t>
  </si>
  <si>
    <t>DPSL240W24V</t>
  </si>
  <si>
    <t>Блок питания "ECO POWER", однофазный, 240Вт, 10А, 24В</t>
  </si>
  <si>
    <t>R5RF08</t>
  </si>
  <si>
    <t>Вентиляционная решетка с фильтром RF 112x112 мм, IP54</t>
  </si>
  <si>
    <t>Вентилятор с фильтром RV 10/12 м3/ч, 230 В, 112x112 мм, IP54</t>
  </si>
  <si>
    <t>R5RV08230</t>
  </si>
  <si>
    <t>Модуль резервирования 20А</t>
  </si>
  <si>
    <t>DPSRED20A</t>
  </si>
  <si>
    <t>ТРЭИ</t>
  </si>
  <si>
    <t>Каркас CR6 MR</t>
  </si>
  <si>
    <t>CR6 MR</t>
  </si>
  <si>
    <t>Коммутатор</t>
  </si>
  <si>
    <t>S304</t>
  </si>
  <si>
    <t>S343</t>
  </si>
  <si>
    <t>Терминальная панель дискретного вывода</t>
  </si>
  <si>
    <t>TP-D</t>
  </si>
  <si>
    <t>TP-О</t>
  </si>
  <si>
    <t>ALIL2L220</t>
  </si>
  <si>
    <t>Сигнальный индикатор со встроенным диодом 220В, зеленый</t>
  </si>
  <si>
    <t>Панель оператора</t>
  </si>
  <si>
    <t>Weintek cMT2128X, 12.1″</t>
  </si>
  <si>
    <t xml:space="preserve">Weintek </t>
  </si>
  <si>
    <t>SR1103L</t>
  </si>
  <si>
    <t>Онлайн ИБП   (3 кВА / 2,7 кВт)</t>
  </si>
  <si>
    <t>Штиль</t>
  </si>
  <si>
    <t xml:space="preserve">Батарейный модуль </t>
  </si>
  <si>
    <t>BMR-96-09</t>
  </si>
  <si>
    <t>Розетка РАр10-3-ОПс заземлением на DIN-рейку</t>
  </si>
  <si>
    <t>MRD10-16</t>
  </si>
  <si>
    <t>Заглушка</t>
  </si>
  <si>
    <t>FP-04R</t>
  </si>
  <si>
    <t>Модуль аналогового ввода тока и напряжения с изолированными каналами</t>
  </si>
  <si>
    <t>M1234A</t>
  </si>
  <si>
    <t>Модули дискретного ввода</t>
  </si>
  <si>
    <t>M1252D</t>
  </si>
  <si>
    <t>Модули дискретного вывода</t>
  </si>
  <si>
    <t>M1251O</t>
  </si>
  <si>
    <t>38.51.7.024.0050</t>
  </si>
  <si>
    <t>Finder</t>
  </si>
  <si>
    <t>Интерфейсный модуль электромеханического реле 6А; 24В AC/DC</t>
  </si>
  <si>
    <t>Клемма винтовая проходная, 2.5 мм², серая</t>
  </si>
  <si>
    <t>Стойка верт. для уст. внутр. панелй В=2000 1кмп=2шт. RAM power</t>
  </si>
  <si>
    <t>R5TE20M</t>
  </si>
  <si>
    <t>Полка дверная для корпусов CQE &amp; CQE N, Ш=600 мм RAM block</t>
  </si>
  <si>
    <t>R5NRL600</t>
  </si>
  <si>
    <t>R5A32</t>
  </si>
  <si>
    <t>Карман для документов пластиковый для корпусов CQE &amp; CQE N, ШхВхГ 222х230х30 мм RAM block</t>
  </si>
  <si>
    <t>Комплект для монтажа в стойку</t>
  </si>
  <si>
    <t>TP-U</t>
  </si>
  <si>
    <t>Универсальные терминальные панели</t>
  </si>
  <si>
    <t>CUTP-1G</t>
  </si>
  <si>
    <t>Кабель резервирования</t>
  </si>
  <si>
    <t>CUTP-1R</t>
  </si>
  <si>
    <t>M1201Е-0</t>
  </si>
  <si>
    <t>Программируемый модуль ПЛК</t>
  </si>
  <si>
    <t>Карта мониторинга IC-RS232/Dry contacts</t>
  </si>
  <si>
    <t>IC-RS232/Dry contacts</t>
  </si>
  <si>
    <t>EKF</t>
  </si>
  <si>
    <t>scr-ut-2,5-g</t>
  </si>
  <si>
    <t xml:space="preserve">ПО контроллера (СРВК) для ОС LINUX Модули: Проф-1 с
«горячим» резервированием процессоров на 1-
ом контроллере (TM-канал, модуль
межконтроллерного обмена УСО),
резервирование сети, драйвер протокола
ModBus RTU (сервер/клиент), драйвер протокола
ModBus TСР (сервер/клиент)
</t>
  </si>
  <si>
    <t>Термостат NO (охлаждение) на DIN-рейку 10А 230В IP20</t>
  </si>
  <si>
    <t>TNO10M</t>
  </si>
  <si>
    <t>м</t>
  </si>
  <si>
    <t>01107RL</t>
  </si>
  <si>
    <t>Короб перфорированный, серый RL6 40x60</t>
  </si>
  <si>
    <t>Провод ПуГВнг 1х0,75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</si>
  <si>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</si>
  <si>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</si>
  <si>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</si>
  <si>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</si>
  <si>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</si>
  <si>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</si>
  <si>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ЗИП</t>
  </si>
  <si>
    <t>Модуль электромеханического реле 6А 230В AC/DC</t>
  </si>
  <si>
    <t>38.51.7.230.0050</t>
  </si>
  <si>
    <t>АСУ Наб</t>
  </si>
  <si>
    <t>meyertec</t>
  </si>
  <si>
    <t>Кнопка управления D8-11 d=22мм 1NO+1NC черная</t>
  </si>
  <si>
    <t>BBT30-11-3-22-K02</t>
  </si>
  <si>
    <t>Цена б.НДС</t>
  </si>
  <si>
    <t>Сумма б.НДС</t>
  </si>
  <si>
    <t>Кабель для соединения каркасов и модулей</t>
  </si>
  <si>
    <t>CIDC</t>
  </si>
  <si>
    <t>CIDCS</t>
  </si>
  <si>
    <t xml:space="preserve">Сигнальный индикатор со встроенным диодом 220В, красный </t>
  </si>
  <si>
    <t>ALIL1L220</t>
  </si>
  <si>
    <t>Зуммер, 80дБ, черный, 24V AC/DC, IP40, пластик</t>
  </si>
  <si>
    <t>MT22-FM24</t>
  </si>
  <si>
    <t>Итог</t>
  </si>
  <si>
    <t>Терминальная панель дискретного ввода</t>
  </si>
  <si>
    <t>Ethernet сервер последовательных интерфейсов</t>
  </si>
  <si>
    <t>SFP-модуль на дальность</t>
  </si>
  <si>
    <t>SFP-SM-20-0</t>
  </si>
  <si>
    <t>Каркас CR6 IOR</t>
  </si>
  <si>
    <t>Шина медная 3Х20</t>
  </si>
  <si>
    <t>Изолятор SM35 (М8) силовой с болтом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</si>
</sst>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/>
    <xf numFmtId="0" fontId="0" fillId="4" borderId="1" xfId="0" applyFill="1" applyBorder="1"/>
    <xf numFmtId="2" fontId="4" fillId="0" borderId="1" xfId="0" applyNumberFormat="1" applyFont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704"/>
  <sheetViews>
    <sheetView tabSelected="1" topLeftCell="A40" zoomScaleNormal="100" workbookViewId="0">
      <selection activeCell="A47" sqref="A47:F70"/>
    </sheetView>
  </sheetViews>
  <sheetFormatPr defaultRowHeight="16.5" x14ac:dyDescent="0.3"/>
  <cols>
    <col min="1" max="1" width="7.7109375" customWidth="1"/>
    <col min="2" max="2" width="61.7109375" customWidth="1"/>
    <col min="3" max="3" width="21.7109375" customWidth="1"/>
    <col min="4" max="4" width="16.5703125" customWidth="1"/>
    <col min="5" max="5" width="8" customWidth="1"/>
    <col min="6" max="6" width="7.42578125" customWidth="1"/>
    <col min="7" max="7" width="17.42578125" style="9" customWidth="1"/>
    <col min="8" max="8" width="15.28515625" customWidth="1"/>
    <col min="9" max="9" width="10.140625" customWidth="1"/>
    <col min="10" max="10" width="8.85546875" style="6" customWidth="1"/>
    <col min="11" max="11" width="9.5703125" customWidth="1"/>
  </cols>
  <sheetData>
    <row r="1" spans="1:8" s="1" customFormat="1" x14ac:dyDescent="0.25">
      <c r="A1" s="2" t="s">
        <v>0</v>
      </c>
      <c r="B1" s="2" t="s">
        <v>1</v>
      </c>
      <c r="C1" s="2" t="s">
        <v>2</v>
      </c>
      <c r="D1" s="2" t="s">
        <v>5</v>
      </c>
      <c r="E1" s="2" t="s">
        <v>3</v>
      </c>
      <c r="F1" s="2" t="s">
        <v>4</v>
      </c>
      <c r="G1" s="14" t="s">
        <v>118</v>
      </c>
      <c r="H1" s="7" t="s">
        <v>119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14">
        <v>7</v>
      </c>
      <c r="H2" s="14">
        <v>8</v>
      </c>
    </row>
    <row r="3" spans="1:8" s="1" customFormat="1" x14ac:dyDescent="0.25">
      <c r="A3" s="2">
        <v>1</v>
      </c>
      <c r="B3" s="10" t="s">
        <v>114</v>
      </c>
      <c r="C3" s="11"/>
      <c r="D3" s="11"/>
      <c r="E3" s="11"/>
      <c r="F3" s="11">
        <v>1</v>
      </c>
      <c r="G3" s="15"/>
      <c r="H3" s="16"/>
    </row>
    <row r="4" spans="1:8" s="1" customFormat="1" x14ac:dyDescent="0.25">
      <c r="A4" s="2"/>
      <c r="B4" s="3" t="s">
        <v>6</v>
      </c>
      <c r="C4" s="2" t="s">
        <v>7</v>
      </c>
      <c r="D4" s="2" t="s">
        <v>8</v>
      </c>
      <c r="E4" s="2" t="s">
        <v>9</v>
      </c>
      <c r="F4" s="2">
        <v>2</v>
      </c>
      <c r="G4" s="17">
        <v>13336.66</v>
      </c>
      <c r="H4" s="14">
        <f>G4*F4</f>
        <v>26673.32</v>
      </c>
    </row>
    <row r="5" spans="1:8" s="1" customFormat="1" x14ac:dyDescent="0.25">
      <c r="A5" s="2"/>
      <c r="B5" s="3" t="s">
        <v>10</v>
      </c>
      <c r="C5" s="2" t="s">
        <v>11</v>
      </c>
      <c r="D5" s="2" t="s">
        <v>8</v>
      </c>
      <c r="E5" s="2" t="s">
        <v>9</v>
      </c>
      <c r="F5" s="2">
        <v>2</v>
      </c>
      <c r="G5" s="17">
        <v>31500.62</v>
      </c>
      <c r="H5" s="14">
        <f t="shared" ref="H5:H34" si="0">G5*F5</f>
        <v>63001.24</v>
      </c>
    </row>
    <row r="6" spans="1:8" s="1" customFormat="1" x14ac:dyDescent="0.25">
      <c r="A6" s="2"/>
      <c r="B6" s="3" t="s">
        <v>13</v>
      </c>
      <c r="C6" s="2" t="s">
        <v>12</v>
      </c>
      <c r="D6" s="2" t="s">
        <v>8</v>
      </c>
      <c r="E6" s="2" t="s">
        <v>9</v>
      </c>
      <c r="F6" s="2">
        <v>4</v>
      </c>
      <c r="G6" s="17">
        <v>20219.900000000001</v>
      </c>
      <c r="H6" s="14">
        <f t="shared" si="0"/>
        <v>80879.600000000006</v>
      </c>
    </row>
    <row r="7" spans="1:8" s="1" customFormat="1" x14ac:dyDescent="0.25">
      <c r="A7" s="2"/>
      <c r="B7" s="3" t="s">
        <v>14</v>
      </c>
      <c r="C7" s="2" t="s">
        <v>15</v>
      </c>
      <c r="D7" s="2" t="s">
        <v>8</v>
      </c>
      <c r="E7" s="2" t="s">
        <v>9</v>
      </c>
      <c r="F7" s="2">
        <v>1</v>
      </c>
      <c r="G7" s="17">
        <v>16230.47</v>
      </c>
      <c r="H7" s="14">
        <f t="shared" si="0"/>
        <v>16230.47</v>
      </c>
    </row>
    <row r="8" spans="1:8" s="1" customFormat="1" x14ac:dyDescent="0.25">
      <c r="A8" s="4"/>
      <c r="B8" s="3" t="s">
        <v>16</v>
      </c>
      <c r="C8" s="2" t="s">
        <v>17</v>
      </c>
      <c r="D8" s="2" t="s">
        <v>8</v>
      </c>
      <c r="E8" s="2" t="s">
        <v>9</v>
      </c>
      <c r="F8" s="2">
        <v>4</v>
      </c>
      <c r="G8" s="17">
        <v>13856.99</v>
      </c>
      <c r="H8" s="14">
        <f t="shared" si="0"/>
        <v>55427.96</v>
      </c>
    </row>
    <row r="9" spans="1:8" s="1" customFormat="1" x14ac:dyDescent="0.25">
      <c r="A9" s="4"/>
      <c r="B9" s="3" t="s">
        <v>18</v>
      </c>
      <c r="C9" s="2" t="s">
        <v>19</v>
      </c>
      <c r="D9" s="2" t="s">
        <v>8</v>
      </c>
      <c r="E9" s="2" t="s">
        <v>9</v>
      </c>
      <c r="F9" s="2">
        <v>2</v>
      </c>
      <c r="G9" s="17">
        <v>8312.18</v>
      </c>
      <c r="H9" s="14">
        <f t="shared" si="0"/>
        <v>16624.36</v>
      </c>
    </row>
    <row r="10" spans="1:8" s="1" customFormat="1" x14ac:dyDescent="0.25">
      <c r="A10" s="4"/>
      <c r="B10" s="3" t="s">
        <v>20</v>
      </c>
      <c r="C10" s="2" t="s">
        <v>21</v>
      </c>
      <c r="D10" s="2" t="s">
        <v>8</v>
      </c>
      <c r="E10" s="2" t="s">
        <v>9</v>
      </c>
      <c r="F10" s="2">
        <v>4</v>
      </c>
      <c r="G10" s="17">
        <v>4050.05</v>
      </c>
      <c r="H10" s="14">
        <f t="shared" si="0"/>
        <v>16200.2</v>
      </c>
    </row>
    <row r="11" spans="1:8" s="1" customFormat="1" x14ac:dyDescent="0.25">
      <c r="A11" s="2"/>
      <c r="B11" s="3" t="s">
        <v>22</v>
      </c>
      <c r="C11" s="2" t="s">
        <v>23</v>
      </c>
      <c r="D11" s="2" t="s">
        <v>8</v>
      </c>
      <c r="E11" s="2" t="s">
        <v>9</v>
      </c>
      <c r="F11" s="2">
        <v>1</v>
      </c>
      <c r="G11" s="17">
        <v>7881.08</v>
      </c>
      <c r="H11" s="14">
        <f t="shared" si="0"/>
        <v>7881.08</v>
      </c>
    </row>
    <row r="12" spans="1:8" s="1" customFormat="1" x14ac:dyDescent="0.25">
      <c r="A12" s="2"/>
      <c r="B12" s="3" t="s">
        <v>24</v>
      </c>
      <c r="C12" s="2" t="s">
        <v>25</v>
      </c>
      <c r="D12" s="2" t="s">
        <v>8</v>
      </c>
      <c r="E12" s="2" t="s">
        <v>9</v>
      </c>
      <c r="F12" s="2">
        <v>4</v>
      </c>
      <c r="G12" s="17">
        <v>2423.9699999999998</v>
      </c>
      <c r="H12" s="14">
        <f t="shared" si="0"/>
        <v>9695.8799999999992</v>
      </c>
    </row>
    <row r="13" spans="1:8" s="1" customFormat="1" x14ac:dyDescent="0.25">
      <c r="A13" s="2"/>
      <c r="B13" s="3" t="s">
        <v>26</v>
      </c>
      <c r="C13" s="2" t="s">
        <v>27</v>
      </c>
      <c r="D13" s="2" t="s">
        <v>8</v>
      </c>
      <c r="E13" s="2" t="s">
        <v>9</v>
      </c>
      <c r="F13" s="2">
        <v>2</v>
      </c>
      <c r="G13" s="17">
        <v>1368.58</v>
      </c>
      <c r="H13" s="14">
        <f t="shared" si="0"/>
        <v>2737.16</v>
      </c>
    </row>
    <row r="14" spans="1:8" s="1" customFormat="1" x14ac:dyDescent="0.25">
      <c r="A14" s="2"/>
      <c r="B14" s="3" t="s">
        <v>28</v>
      </c>
      <c r="C14" s="2" t="s">
        <v>29</v>
      </c>
      <c r="D14" s="2" t="s">
        <v>8</v>
      </c>
      <c r="E14" s="2" t="s">
        <v>9</v>
      </c>
      <c r="F14" s="2">
        <v>4</v>
      </c>
      <c r="G14" s="17">
        <v>5070.55</v>
      </c>
      <c r="H14" s="14">
        <f t="shared" si="0"/>
        <v>20282.2</v>
      </c>
    </row>
    <row r="15" spans="1:8" s="1" customFormat="1" ht="33" x14ac:dyDescent="0.25">
      <c r="A15" s="12"/>
      <c r="B15" s="5" t="s">
        <v>30</v>
      </c>
      <c r="C15" s="12" t="s">
        <v>31</v>
      </c>
      <c r="D15" s="12" t="s">
        <v>8</v>
      </c>
      <c r="E15" s="12" t="s">
        <v>9</v>
      </c>
      <c r="F15" s="12">
        <v>4</v>
      </c>
      <c r="G15" s="17">
        <v>1545.28</v>
      </c>
      <c r="H15" s="14">
        <f t="shared" si="0"/>
        <v>6181.12</v>
      </c>
    </row>
    <row r="16" spans="1:8" s="1" customFormat="1" x14ac:dyDescent="0.25">
      <c r="A16" s="7"/>
      <c r="B16" s="3" t="s">
        <v>80</v>
      </c>
      <c r="C16" s="2" t="s">
        <v>81</v>
      </c>
      <c r="D16" s="2" t="s">
        <v>8</v>
      </c>
      <c r="E16" s="2" t="s">
        <v>9</v>
      </c>
      <c r="F16" s="2">
        <v>1</v>
      </c>
      <c r="G16" s="17">
        <v>4848.87</v>
      </c>
      <c r="H16" s="14">
        <f t="shared" si="0"/>
        <v>4848.87</v>
      </c>
    </row>
    <row r="17" spans="1:8" s="1" customFormat="1" x14ac:dyDescent="0.25">
      <c r="A17" s="7"/>
      <c r="B17" s="3" t="s">
        <v>82</v>
      </c>
      <c r="C17" s="2" t="s">
        <v>83</v>
      </c>
      <c r="D17" s="2" t="s">
        <v>8</v>
      </c>
      <c r="E17" s="2" t="s">
        <v>9</v>
      </c>
      <c r="F17" s="2">
        <v>1</v>
      </c>
      <c r="G17" s="17">
        <v>26355.73</v>
      </c>
      <c r="H17" s="14">
        <f t="shared" si="0"/>
        <v>26355.73</v>
      </c>
    </row>
    <row r="18" spans="1:8" s="1" customFormat="1" ht="33" x14ac:dyDescent="0.25">
      <c r="A18" s="13"/>
      <c r="B18" s="5" t="s">
        <v>85</v>
      </c>
      <c r="C18" s="12" t="s">
        <v>84</v>
      </c>
      <c r="D18" s="12" t="s">
        <v>8</v>
      </c>
      <c r="E18" s="12" t="s">
        <v>9</v>
      </c>
      <c r="F18" s="12">
        <v>4</v>
      </c>
      <c r="G18" s="17">
        <v>1524.03</v>
      </c>
      <c r="H18" s="14">
        <f t="shared" si="0"/>
        <v>6096.12</v>
      </c>
    </row>
    <row r="19" spans="1:8" s="1" customFormat="1" x14ac:dyDescent="0.25">
      <c r="A19" s="8"/>
      <c r="B19" s="3" t="s">
        <v>34</v>
      </c>
      <c r="C19" s="2" t="s">
        <v>32</v>
      </c>
      <c r="D19" s="2" t="s">
        <v>33</v>
      </c>
      <c r="E19" s="2" t="s">
        <v>9</v>
      </c>
      <c r="F19" s="2">
        <v>4</v>
      </c>
      <c r="G19" s="17">
        <v>430.07</v>
      </c>
      <c r="H19" s="14">
        <f t="shared" si="0"/>
        <v>1720.28</v>
      </c>
    </row>
    <row r="20" spans="1:8" s="1" customFormat="1" x14ac:dyDescent="0.25">
      <c r="A20" s="8"/>
      <c r="B20" s="3" t="s">
        <v>108</v>
      </c>
      <c r="C20" s="2" t="s">
        <v>107</v>
      </c>
      <c r="D20" s="2" t="s">
        <v>33</v>
      </c>
      <c r="E20" s="2" t="s">
        <v>9</v>
      </c>
      <c r="F20" s="2">
        <v>3</v>
      </c>
      <c r="G20" s="17">
        <v>1176.69</v>
      </c>
      <c r="H20" s="14">
        <f t="shared" si="0"/>
        <v>3530.07</v>
      </c>
    </row>
    <row r="21" spans="1:8" s="1" customFormat="1" x14ac:dyDescent="0.25">
      <c r="A21" s="8"/>
      <c r="B21" s="3" t="s">
        <v>109</v>
      </c>
      <c r="C21" s="2" t="s">
        <v>110</v>
      </c>
      <c r="D21" s="2" t="s">
        <v>33</v>
      </c>
      <c r="E21" s="2" t="s">
        <v>9</v>
      </c>
      <c r="F21" s="2">
        <v>16</v>
      </c>
      <c r="G21" s="17">
        <v>213.21</v>
      </c>
      <c r="H21" s="14">
        <f t="shared" si="0"/>
        <v>3411.36</v>
      </c>
    </row>
    <row r="22" spans="1:8" s="1" customFormat="1" x14ac:dyDescent="0.25">
      <c r="A22" s="8"/>
      <c r="B22" s="3" t="s">
        <v>36</v>
      </c>
      <c r="C22" s="2" t="s">
        <v>35</v>
      </c>
      <c r="D22" s="2" t="s">
        <v>8</v>
      </c>
      <c r="E22" s="2" t="s">
        <v>9</v>
      </c>
      <c r="F22" s="2">
        <v>4</v>
      </c>
      <c r="G22" s="17">
        <v>5564.85</v>
      </c>
      <c r="H22" s="14">
        <f t="shared" si="0"/>
        <v>22259.4</v>
      </c>
    </row>
    <row r="23" spans="1:8" s="1" customFormat="1" x14ac:dyDescent="0.25">
      <c r="A23" s="8"/>
      <c r="B23" s="3" t="s">
        <v>38</v>
      </c>
      <c r="C23" s="2" t="s">
        <v>37</v>
      </c>
      <c r="D23" s="2" t="s">
        <v>8</v>
      </c>
      <c r="E23" s="2" t="s">
        <v>9</v>
      </c>
      <c r="F23" s="2">
        <v>6</v>
      </c>
      <c r="G23" s="17">
        <v>5517.97</v>
      </c>
      <c r="H23" s="14">
        <f t="shared" si="0"/>
        <v>33107.82</v>
      </c>
    </row>
    <row r="24" spans="1:8" s="1" customFormat="1" x14ac:dyDescent="0.25">
      <c r="A24" s="8"/>
      <c r="B24" s="5" t="s">
        <v>40</v>
      </c>
      <c r="C24" s="12" t="s">
        <v>39</v>
      </c>
      <c r="D24" s="2" t="s">
        <v>8</v>
      </c>
      <c r="E24" s="2" t="s">
        <v>9</v>
      </c>
      <c r="F24" s="2">
        <v>4</v>
      </c>
      <c r="G24" s="17">
        <v>20106.599999999999</v>
      </c>
      <c r="H24" s="14">
        <f t="shared" si="0"/>
        <v>80426.399999999994</v>
      </c>
    </row>
    <row r="25" spans="1:8" s="1" customFormat="1" x14ac:dyDescent="0.25">
      <c r="A25" s="8"/>
      <c r="B25" s="5" t="s">
        <v>42</v>
      </c>
      <c r="C25" s="2" t="s">
        <v>41</v>
      </c>
      <c r="D25" s="2" t="s">
        <v>8</v>
      </c>
      <c r="E25" s="2" t="s">
        <v>9</v>
      </c>
      <c r="F25" s="2">
        <v>2</v>
      </c>
      <c r="G25" s="17">
        <v>1151.18</v>
      </c>
      <c r="H25" s="14">
        <f t="shared" si="0"/>
        <v>2302.36</v>
      </c>
    </row>
    <row r="26" spans="1:8" s="1" customFormat="1" x14ac:dyDescent="0.25">
      <c r="A26" s="8"/>
      <c r="B26" s="3" t="s">
        <v>43</v>
      </c>
      <c r="C26" s="2" t="s">
        <v>44</v>
      </c>
      <c r="D26" s="2" t="s">
        <v>8</v>
      </c>
      <c r="E26" s="2" t="s">
        <v>9</v>
      </c>
      <c r="F26" s="2">
        <v>2</v>
      </c>
      <c r="G26" s="17">
        <v>5365.01</v>
      </c>
      <c r="H26" s="14">
        <f t="shared" si="0"/>
        <v>10730.02</v>
      </c>
    </row>
    <row r="27" spans="1:8" s="1" customFormat="1" x14ac:dyDescent="0.25">
      <c r="A27" s="8"/>
      <c r="B27" s="3" t="s">
        <v>66</v>
      </c>
      <c r="C27" s="2" t="s">
        <v>67</v>
      </c>
      <c r="D27" s="2" t="s">
        <v>33</v>
      </c>
      <c r="E27" s="2" t="s">
        <v>9</v>
      </c>
      <c r="F27" s="2">
        <v>1</v>
      </c>
      <c r="G27" s="17">
        <v>306.83</v>
      </c>
      <c r="H27" s="14">
        <f t="shared" si="0"/>
        <v>306.83</v>
      </c>
    </row>
    <row r="28" spans="1:8" s="1" customFormat="1" ht="23.25" customHeight="1" x14ac:dyDescent="0.25">
      <c r="A28" s="8"/>
      <c r="B28" s="3" t="s">
        <v>99</v>
      </c>
      <c r="C28" s="2" t="s">
        <v>100</v>
      </c>
      <c r="D28" s="2" t="s">
        <v>96</v>
      </c>
      <c r="E28" s="2" t="s">
        <v>9</v>
      </c>
      <c r="F28" s="2">
        <v>1</v>
      </c>
      <c r="G28" s="17">
        <v>569.25</v>
      </c>
      <c r="H28" s="14">
        <f t="shared" si="0"/>
        <v>569.25</v>
      </c>
    </row>
    <row r="29" spans="1:8" s="1" customFormat="1" x14ac:dyDescent="0.25">
      <c r="A29" s="8"/>
      <c r="B29" s="3" t="s">
        <v>125</v>
      </c>
      <c r="C29" s="2" t="s">
        <v>126</v>
      </c>
      <c r="D29" s="2" t="s">
        <v>115</v>
      </c>
      <c r="E29" s="2" t="s">
        <v>9</v>
      </c>
      <c r="F29" s="2">
        <v>1</v>
      </c>
      <c r="G29" s="17">
        <v>449</v>
      </c>
      <c r="H29" s="14">
        <f t="shared" si="0"/>
        <v>449</v>
      </c>
    </row>
    <row r="30" spans="1:8" s="1" customFormat="1" ht="19.5" customHeight="1" x14ac:dyDescent="0.25">
      <c r="A30" s="8"/>
      <c r="B30" s="3" t="s">
        <v>116</v>
      </c>
      <c r="C30" s="2" t="s">
        <v>117</v>
      </c>
      <c r="D30" s="2" t="s">
        <v>33</v>
      </c>
      <c r="E30" s="2" t="s">
        <v>9</v>
      </c>
      <c r="F30" s="2">
        <v>1</v>
      </c>
      <c r="G30" s="17">
        <v>127.71</v>
      </c>
      <c r="H30" s="14">
        <f t="shared" si="0"/>
        <v>127.71</v>
      </c>
    </row>
    <row r="31" spans="1:8" s="1" customFormat="1" x14ac:dyDescent="0.25">
      <c r="A31" s="8"/>
      <c r="B31" s="5" t="s">
        <v>45</v>
      </c>
      <c r="C31" s="2" t="s">
        <v>46</v>
      </c>
      <c r="D31" s="2" t="s">
        <v>8</v>
      </c>
      <c r="E31" s="2" t="s">
        <v>9</v>
      </c>
      <c r="F31" s="2">
        <v>2</v>
      </c>
      <c r="G31" s="17">
        <v>7555.21</v>
      </c>
      <c r="H31" s="14">
        <f t="shared" si="0"/>
        <v>15110.42</v>
      </c>
    </row>
    <row r="32" spans="1:8" s="1" customFormat="1" ht="16.5" customHeight="1" x14ac:dyDescent="0.25">
      <c r="A32" s="8"/>
      <c r="B32" s="5" t="s">
        <v>57</v>
      </c>
      <c r="C32" s="2" t="s">
        <v>56</v>
      </c>
      <c r="D32" s="2" t="s">
        <v>8</v>
      </c>
      <c r="E32" s="2" t="s">
        <v>9</v>
      </c>
      <c r="F32" s="2">
        <v>1</v>
      </c>
      <c r="G32" s="17">
        <v>1043.51</v>
      </c>
      <c r="H32" s="14">
        <f t="shared" si="0"/>
        <v>1043.51</v>
      </c>
    </row>
    <row r="33" spans="1:8" s="1" customFormat="1" x14ac:dyDescent="0.25">
      <c r="A33" s="8"/>
      <c r="B33" s="5" t="s">
        <v>123</v>
      </c>
      <c r="C33" s="2" t="s">
        <v>124</v>
      </c>
      <c r="D33" s="2" t="s">
        <v>8</v>
      </c>
      <c r="E33" s="2" t="s">
        <v>9</v>
      </c>
      <c r="F33" s="2">
        <v>1</v>
      </c>
      <c r="G33" s="17">
        <v>1043.51</v>
      </c>
      <c r="H33" s="14">
        <f>G33*F33</f>
        <v>1043.51</v>
      </c>
    </row>
    <row r="34" spans="1:8" s="1" customFormat="1" x14ac:dyDescent="0.25">
      <c r="A34" s="8"/>
      <c r="B34" s="3" t="s">
        <v>58</v>
      </c>
      <c r="C34" s="2" t="s">
        <v>59</v>
      </c>
      <c r="D34" s="2" t="s">
        <v>60</v>
      </c>
      <c r="E34" s="2" t="s">
        <v>9</v>
      </c>
      <c r="F34" s="2">
        <v>1</v>
      </c>
      <c r="G34" s="17">
        <v>66578.33</v>
      </c>
      <c r="H34" s="14">
        <f t="shared" si="0"/>
        <v>66578.33</v>
      </c>
    </row>
    <row r="35" spans="1:8" s="1" customFormat="1" x14ac:dyDescent="0.25">
      <c r="A35" s="8"/>
      <c r="B35" s="3" t="s">
        <v>94</v>
      </c>
      <c r="C35" s="2" t="s">
        <v>95</v>
      </c>
      <c r="D35" s="2" t="s">
        <v>63</v>
      </c>
      <c r="E35" s="2" t="s">
        <v>9</v>
      </c>
      <c r="F35" s="2">
        <v>1</v>
      </c>
      <c r="G35" s="17">
        <v>1091.67</v>
      </c>
      <c r="H35" s="14">
        <f t="shared" ref="H35:H36" si="1">G35*F35</f>
        <v>1091.67</v>
      </c>
    </row>
    <row r="36" spans="1:8" s="1" customFormat="1" ht="15.75" customHeight="1" x14ac:dyDescent="0.25">
      <c r="A36" s="8"/>
      <c r="B36" s="3" t="s">
        <v>62</v>
      </c>
      <c r="C36" s="2" t="s">
        <v>61</v>
      </c>
      <c r="D36" s="2" t="s">
        <v>63</v>
      </c>
      <c r="E36" s="2" t="s">
        <v>9</v>
      </c>
      <c r="F36" s="2">
        <v>1</v>
      </c>
      <c r="G36" s="17">
        <v>56066.67</v>
      </c>
      <c r="H36" s="14">
        <f t="shared" si="1"/>
        <v>56066.67</v>
      </c>
    </row>
    <row r="37" spans="1:8" s="1" customFormat="1" x14ac:dyDescent="0.25">
      <c r="A37" s="8"/>
      <c r="B37" s="3" t="s">
        <v>86</v>
      </c>
      <c r="C37" s="2"/>
      <c r="D37" s="2" t="s">
        <v>63</v>
      </c>
      <c r="E37" s="2" t="s">
        <v>9</v>
      </c>
      <c r="F37" s="2">
        <v>2</v>
      </c>
      <c r="G37" s="7"/>
      <c r="H37" s="7"/>
    </row>
    <row r="38" spans="1:8" s="1" customFormat="1" x14ac:dyDescent="0.25">
      <c r="A38" s="8"/>
      <c r="B38" s="3" t="s">
        <v>64</v>
      </c>
      <c r="C38" s="2" t="s">
        <v>65</v>
      </c>
      <c r="D38" s="2" t="s">
        <v>63</v>
      </c>
      <c r="E38" s="2" t="s">
        <v>9</v>
      </c>
      <c r="F38" s="2">
        <v>1</v>
      </c>
      <c r="G38" s="17">
        <v>34533.33</v>
      </c>
      <c r="H38" s="14">
        <f t="shared" ref="H38" si="2">G38*F38</f>
        <v>34533.33</v>
      </c>
    </row>
    <row r="39" spans="1:8" s="1" customFormat="1" x14ac:dyDescent="0.25">
      <c r="A39" s="8"/>
      <c r="B39" s="3" t="s">
        <v>112</v>
      </c>
      <c r="C39" s="2" t="s">
        <v>113</v>
      </c>
      <c r="D39" s="2" t="s">
        <v>77</v>
      </c>
      <c r="E39" s="2" t="s">
        <v>9</v>
      </c>
      <c r="F39" s="2">
        <v>86</v>
      </c>
      <c r="G39" s="17">
        <v>1320</v>
      </c>
      <c r="H39" s="14">
        <f t="shared" ref="H39:H41" si="3">G39*F39</f>
        <v>113520</v>
      </c>
    </row>
    <row r="40" spans="1:8" s="1" customFormat="1" x14ac:dyDescent="0.25">
      <c r="A40" s="8"/>
      <c r="B40" s="5" t="s">
        <v>78</v>
      </c>
      <c r="C40" s="2" t="s">
        <v>76</v>
      </c>
      <c r="D40" s="2" t="s">
        <v>77</v>
      </c>
      <c r="E40" s="2" t="s">
        <v>9</v>
      </c>
      <c r="F40" s="2">
        <v>84</v>
      </c>
      <c r="G40" s="17">
        <v>1295</v>
      </c>
      <c r="H40" s="14">
        <f t="shared" si="3"/>
        <v>108780</v>
      </c>
    </row>
    <row r="41" spans="1:8" s="1" customFormat="1" x14ac:dyDescent="0.25">
      <c r="A41" s="8"/>
      <c r="B41" s="5" t="s">
        <v>79</v>
      </c>
      <c r="C41" s="2" t="s">
        <v>97</v>
      </c>
      <c r="D41" s="2" t="s">
        <v>96</v>
      </c>
      <c r="E41" s="2" t="s">
        <v>9</v>
      </c>
      <c r="F41" s="2">
        <v>340</v>
      </c>
      <c r="G41" s="17">
        <v>37.53</v>
      </c>
      <c r="H41" s="14">
        <f t="shared" si="3"/>
        <v>12760.2</v>
      </c>
    </row>
    <row r="42" spans="1:8" s="1" customFormat="1" x14ac:dyDescent="0.25">
      <c r="A42" s="8"/>
      <c r="B42" s="5" t="s">
        <v>103</v>
      </c>
      <c r="C42" s="2" t="s">
        <v>102</v>
      </c>
      <c r="D42" s="2" t="s">
        <v>8</v>
      </c>
      <c r="E42" s="2" t="s">
        <v>101</v>
      </c>
      <c r="F42" s="2">
        <v>12</v>
      </c>
      <c r="G42" s="17">
        <v>421.49</v>
      </c>
      <c r="H42" s="14">
        <f t="shared" ref="H42:H45" si="4">G42*F42</f>
        <v>5057.88</v>
      </c>
    </row>
    <row r="43" spans="1:8" s="1" customFormat="1" x14ac:dyDescent="0.25">
      <c r="A43" s="8"/>
      <c r="B43" s="8" t="s">
        <v>104</v>
      </c>
      <c r="C43" s="8"/>
      <c r="D43" s="8"/>
      <c r="E43" s="2" t="s">
        <v>101</v>
      </c>
      <c r="F43" s="2">
        <v>300</v>
      </c>
      <c r="G43" s="17">
        <v>13</v>
      </c>
      <c r="H43" s="14">
        <f t="shared" si="4"/>
        <v>3900</v>
      </c>
    </row>
    <row r="44" spans="1:8" s="1" customFormat="1" x14ac:dyDescent="0.25">
      <c r="A44" s="8"/>
      <c r="B44" s="8" t="s">
        <v>105</v>
      </c>
      <c r="C44" s="8"/>
      <c r="D44" s="8"/>
      <c r="E44" s="2" t="s">
        <v>106</v>
      </c>
      <c r="F44" s="2">
        <v>50</v>
      </c>
      <c r="G44" s="17">
        <v>33.33</v>
      </c>
      <c r="H44" s="14">
        <f t="shared" si="4"/>
        <v>1666.5</v>
      </c>
    </row>
    <row r="45" spans="1:8" s="1" customFormat="1" x14ac:dyDescent="0.25">
      <c r="A45" s="8"/>
      <c r="B45" s="8" t="s">
        <v>133</v>
      </c>
      <c r="C45" s="8"/>
      <c r="D45" s="8"/>
      <c r="E45" s="2" t="s">
        <v>106</v>
      </c>
      <c r="F45" s="2">
        <v>2</v>
      </c>
      <c r="G45" s="14">
        <v>903.66</v>
      </c>
      <c r="H45" s="14">
        <f t="shared" si="4"/>
        <v>1807.32</v>
      </c>
    </row>
    <row r="46" spans="1:8" s="1" customFormat="1" x14ac:dyDescent="0.25">
      <c r="A46" s="8"/>
      <c r="B46" s="8" t="s">
        <v>134</v>
      </c>
      <c r="C46" s="8"/>
      <c r="D46" s="14" t="s">
        <v>33</v>
      </c>
      <c r="E46" s="2" t="s">
        <v>9</v>
      </c>
      <c r="F46" s="2">
        <v>8</v>
      </c>
      <c r="G46" s="14">
        <v>95</v>
      </c>
      <c r="H46" s="14">
        <f>G46*F46</f>
        <v>760</v>
      </c>
    </row>
    <row r="47" spans="1:8" s="1" customFormat="1" x14ac:dyDescent="0.25">
      <c r="A47" s="8"/>
      <c r="B47" s="3" t="s">
        <v>90</v>
      </c>
      <c r="C47" s="2" t="s">
        <v>91</v>
      </c>
      <c r="D47" s="2" t="s">
        <v>47</v>
      </c>
      <c r="E47" s="2" t="s">
        <v>9</v>
      </c>
      <c r="F47" s="2">
        <v>1</v>
      </c>
      <c r="G47" s="18"/>
      <c r="H47" s="18"/>
    </row>
    <row r="48" spans="1:8" s="1" customFormat="1" x14ac:dyDescent="0.25">
      <c r="A48" s="8"/>
      <c r="B48" s="3" t="s">
        <v>90</v>
      </c>
      <c r="C48" s="2" t="s">
        <v>89</v>
      </c>
      <c r="D48" s="2" t="s">
        <v>47</v>
      </c>
      <c r="E48" s="2" t="s">
        <v>9</v>
      </c>
      <c r="F48" s="2">
        <v>1</v>
      </c>
      <c r="G48" s="18"/>
      <c r="H48" s="18"/>
    </row>
    <row r="49" spans="1:8" s="1" customFormat="1" x14ac:dyDescent="0.25">
      <c r="A49" s="8"/>
      <c r="B49" s="3" t="s">
        <v>120</v>
      </c>
      <c r="C49" s="2" t="s">
        <v>121</v>
      </c>
      <c r="D49" s="2" t="s">
        <v>47</v>
      </c>
      <c r="E49" s="2" t="s">
        <v>9</v>
      </c>
      <c r="F49" s="2">
        <v>7</v>
      </c>
      <c r="G49" s="18"/>
      <c r="H49" s="18"/>
    </row>
    <row r="50" spans="1:8" s="1" customFormat="1" x14ac:dyDescent="0.25">
      <c r="A50" s="8"/>
      <c r="B50" s="3" t="s">
        <v>120</v>
      </c>
      <c r="C50" s="2" t="s">
        <v>122</v>
      </c>
      <c r="D50" s="2" t="s">
        <v>47</v>
      </c>
      <c r="E50" s="2" t="s">
        <v>9</v>
      </c>
      <c r="F50" s="2">
        <v>8</v>
      </c>
      <c r="G50" s="18"/>
      <c r="H50" s="18"/>
    </row>
    <row r="51" spans="1:8" s="1" customFormat="1" x14ac:dyDescent="0.25">
      <c r="A51" s="8"/>
      <c r="B51" s="3" t="s">
        <v>48</v>
      </c>
      <c r="C51" s="2" t="s">
        <v>49</v>
      </c>
      <c r="D51" s="2" t="s">
        <v>47</v>
      </c>
      <c r="E51" s="2" t="s">
        <v>9</v>
      </c>
      <c r="F51" s="2">
        <v>1</v>
      </c>
      <c r="G51" s="18"/>
      <c r="H51" s="18"/>
    </row>
    <row r="52" spans="1:8" s="1" customFormat="1" x14ac:dyDescent="0.25">
      <c r="A52" s="8"/>
      <c r="B52" s="3" t="s">
        <v>132</v>
      </c>
      <c r="C52" s="2" t="s">
        <v>49</v>
      </c>
      <c r="D52" s="2" t="s">
        <v>47</v>
      </c>
      <c r="E52" s="2" t="s">
        <v>9</v>
      </c>
      <c r="F52" s="2">
        <v>1</v>
      </c>
      <c r="G52" s="18"/>
      <c r="H52" s="18"/>
    </row>
    <row r="53" spans="1:8" s="1" customFormat="1" x14ac:dyDescent="0.25">
      <c r="A53" s="8"/>
      <c r="B53" s="3" t="s">
        <v>130</v>
      </c>
      <c r="C53" s="2" t="s">
        <v>131</v>
      </c>
      <c r="D53" s="2" t="s">
        <v>47</v>
      </c>
      <c r="E53" s="2" t="s">
        <v>9</v>
      </c>
      <c r="F53" s="21">
        <v>4</v>
      </c>
      <c r="G53" s="22"/>
      <c r="H53" s="23"/>
    </row>
    <row r="54" spans="1:8" s="1" customFormat="1" x14ac:dyDescent="0.25">
      <c r="A54" s="8"/>
      <c r="B54" s="3" t="s">
        <v>50</v>
      </c>
      <c r="C54" s="2" t="s">
        <v>51</v>
      </c>
      <c r="D54" s="2" t="s">
        <v>47</v>
      </c>
      <c r="E54" s="2" t="s">
        <v>9</v>
      </c>
      <c r="F54" s="2">
        <v>2</v>
      </c>
      <c r="G54" s="18"/>
      <c r="H54" s="18"/>
    </row>
    <row r="55" spans="1:8" s="1" customFormat="1" x14ac:dyDescent="0.25">
      <c r="A55" s="8"/>
      <c r="B55" s="3" t="s">
        <v>129</v>
      </c>
      <c r="C55" s="2" t="s">
        <v>52</v>
      </c>
      <c r="D55" s="2" t="s">
        <v>47</v>
      </c>
      <c r="E55" s="2" t="s">
        <v>9</v>
      </c>
      <c r="F55" s="2">
        <v>1</v>
      </c>
      <c r="G55" s="18"/>
      <c r="H55" s="18"/>
    </row>
    <row r="56" spans="1:8" s="1" customFormat="1" x14ac:dyDescent="0.25">
      <c r="A56" s="8"/>
      <c r="B56" s="3" t="s">
        <v>128</v>
      </c>
      <c r="C56" s="2" t="s">
        <v>54</v>
      </c>
      <c r="D56" s="2" t="s">
        <v>47</v>
      </c>
      <c r="E56" s="2" t="s">
        <v>9</v>
      </c>
      <c r="F56" s="2">
        <v>4</v>
      </c>
      <c r="G56" s="18"/>
      <c r="H56" s="18"/>
    </row>
    <row r="57" spans="1:8" s="1" customFormat="1" ht="16.149999999999999" customHeight="1" x14ac:dyDescent="0.25">
      <c r="A57" s="8"/>
      <c r="B57" s="3" t="s">
        <v>53</v>
      </c>
      <c r="C57" s="2" t="s">
        <v>55</v>
      </c>
      <c r="D57" s="2" t="s">
        <v>47</v>
      </c>
      <c r="E57" s="2" t="s">
        <v>9</v>
      </c>
      <c r="F57" s="2">
        <v>3</v>
      </c>
      <c r="G57" s="18"/>
      <c r="H57" s="18"/>
    </row>
    <row r="58" spans="1:8" s="1" customFormat="1" x14ac:dyDescent="0.25">
      <c r="A58" s="8"/>
      <c r="B58" s="3" t="s">
        <v>88</v>
      </c>
      <c r="C58" s="2" t="s">
        <v>87</v>
      </c>
      <c r="D58" s="2" t="s">
        <v>47</v>
      </c>
      <c r="E58" s="2" t="s">
        <v>9</v>
      </c>
      <c r="F58" s="2">
        <v>8</v>
      </c>
      <c r="G58" s="18"/>
      <c r="H58" s="18"/>
    </row>
    <row r="59" spans="1:8" s="1" customFormat="1" x14ac:dyDescent="0.25">
      <c r="A59" s="8"/>
      <c r="B59" s="3" t="s">
        <v>68</v>
      </c>
      <c r="C59" s="2" t="s">
        <v>69</v>
      </c>
      <c r="D59" s="2" t="s">
        <v>47</v>
      </c>
      <c r="E59" s="2" t="s">
        <v>9</v>
      </c>
      <c r="F59" s="2">
        <v>1</v>
      </c>
      <c r="G59" s="18"/>
      <c r="H59" s="18"/>
    </row>
    <row r="60" spans="1:8" s="1" customFormat="1" x14ac:dyDescent="0.25">
      <c r="A60" s="8"/>
      <c r="B60" s="3" t="s">
        <v>70</v>
      </c>
      <c r="C60" s="2" t="s">
        <v>71</v>
      </c>
      <c r="D60" s="2" t="s">
        <v>47</v>
      </c>
      <c r="E60" s="2" t="s">
        <v>9</v>
      </c>
      <c r="F60" s="2">
        <v>8</v>
      </c>
      <c r="G60" s="18"/>
      <c r="H60" s="18"/>
    </row>
    <row r="61" spans="1:8" s="1" customFormat="1" x14ac:dyDescent="0.25">
      <c r="A61" s="8"/>
      <c r="B61" s="3" t="s">
        <v>72</v>
      </c>
      <c r="C61" s="2" t="s">
        <v>73</v>
      </c>
      <c r="D61" s="2" t="s">
        <v>47</v>
      </c>
      <c r="E61" s="2" t="s">
        <v>9</v>
      </c>
      <c r="F61" s="2">
        <v>4</v>
      </c>
      <c r="G61" s="18"/>
      <c r="H61" s="18"/>
    </row>
    <row r="62" spans="1:8" s="1" customFormat="1" x14ac:dyDescent="0.25">
      <c r="A62" s="8"/>
      <c r="B62" s="3" t="s">
        <v>74</v>
      </c>
      <c r="C62" s="2" t="s">
        <v>75</v>
      </c>
      <c r="D62" s="2" t="s">
        <v>47</v>
      </c>
      <c r="E62" s="2" t="s">
        <v>9</v>
      </c>
      <c r="F62" s="2">
        <v>3</v>
      </c>
      <c r="G62" s="18"/>
      <c r="H62" s="18"/>
    </row>
    <row r="63" spans="1:8" s="1" customFormat="1" x14ac:dyDescent="0.25">
      <c r="A63" s="8"/>
      <c r="B63" s="3" t="s">
        <v>93</v>
      </c>
      <c r="C63" s="2" t="s">
        <v>92</v>
      </c>
      <c r="D63" s="2" t="s">
        <v>47</v>
      </c>
      <c r="E63" s="2" t="s">
        <v>9</v>
      </c>
      <c r="F63" s="2">
        <v>2</v>
      </c>
      <c r="G63" s="18"/>
      <c r="H63" s="18"/>
    </row>
    <row r="64" spans="1:8" s="1" customFormat="1" ht="132" x14ac:dyDescent="0.25">
      <c r="A64" s="7"/>
      <c r="B64" s="5" t="s">
        <v>98</v>
      </c>
      <c r="C64" s="5"/>
      <c r="D64" s="12" t="s">
        <v>47</v>
      </c>
      <c r="E64" s="12" t="s">
        <v>9</v>
      </c>
      <c r="F64" s="12">
        <v>2</v>
      </c>
      <c r="G64" s="18"/>
      <c r="H64" s="18"/>
    </row>
    <row r="65" spans="1:10" s="1" customFormat="1" x14ac:dyDescent="0.25">
      <c r="A65" s="2">
        <v>2</v>
      </c>
      <c r="B65" s="10" t="s">
        <v>111</v>
      </c>
      <c r="C65" s="11"/>
      <c r="D65" s="11"/>
      <c r="E65" s="11"/>
      <c r="F65" s="11">
        <v>1</v>
      </c>
      <c r="G65" s="8"/>
      <c r="H65" s="8"/>
    </row>
    <row r="66" spans="1:10" s="1" customFormat="1" x14ac:dyDescent="0.25">
      <c r="A66" s="8"/>
      <c r="B66" s="3" t="s">
        <v>53</v>
      </c>
      <c r="C66" s="2" t="s">
        <v>54</v>
      </c>
      <c r="D66" s="2" t="s">
        <v>47</v>
      </c>
      <c r="E66" s="2" t="s">
        <v>9</v>
      </c>
      <c r="F66" s="2">
        <v>1</v>
      </c>
      <c r="G66" s="19"/>
      <c r="H66" s="19"/>
    </row>
    <row r="67" spans="1:10" s="1" customFormat="1" x14ac:dyDescent="0.25">
      <c r="A67" s="8"/>
      <c r="B67" s="3" t="s">
        <v>53</v>
      </c>
      <c r="C67" s="2" t="s">
        <v>55</v>
      </c>
      <c r="D67" s="2" t="s">
        <v>47</v>
      </c>
      <c r="E67" s="2" t="s">
        <v>9</v>
      </c>
      <c r="F67" s="2">
        <v>1</v>
      </c>
      <c r="G67" s="19"/>
      <c r="H67" s="19"/>
    </row>
    <row r="68" spans="1:10" s="1" customFormat="1" x14ac:dyDescent="0.25">
      <c r="A68" s="8"/>
      <c r="B68" s="3" t="s">
        <v>70</v>
      </c>
      <c r="C68" s="2" t="s">
        <v>71</v>
      </c>
      <c r="D68" s="2" t="s">
        <v>47</v>
      </c>
      <c r="E68" s="2" t="s">
        <v>9</v>
      </c>
      <c r="F68" s="2">
        <v>1</v>
      </c>
      <c r="G68" s="19"/>
      <c r="H68" s="19"/>
    </row>
    <row r="69" spans="1:10" s="1" customFormat="1" x14ac:dyDescent="0.25">
      <c r="A69" s="8"/>
      <c r="B69" s="3" t="s">
        <v>72</v>
      </c>
      <c r="C69" s="2" t="s">
        <v>73</v>
      </c>
      <c r="D69" s="2" t="s">
        <v>47</v>
      </c>
      <c r="E69" s="2" t="s">
        <v>9</v>
      </c>
      <c r="F69" s="2">
        <v>1</v>
      </c>
      <c r="G69" s="19"/>
      <c r="H69" s="19"/>
    </row>
    <row r="70" spans="1:10" s="1" customFormat="1" x14ac:dyDescent="0.25">
      <c r="A70" s="8"/>
      <c r="B70" s="3" t="s">
        <v>74</v>
      </c>
      <c r="C70" s="2" t="s">
        <v>75</v>
      </c>
      <c r="D70" s="2" t="s">
        <v>47</v>
      </c>
      <c r="E70" s="2" t="s">
        <v>9</v>
      </c>
      <c r="F70" s="2">
        <v>1</v>
      </c>
      <c r="G70" s="19"/>
      <c r="H70" s="19"/>
    </row>
    <row r="71" spans="1:10" ht="15" x14ac:dyDescent="0.25">
      <c r="G71"/>
      <c r="J71"/>
    </row>
    <row r="72" spans="1:10" ht="15" x14ac:dyDescent="0.25">
      <c r="G72" s="20" t="s">
        <v>127</v>
      </c>
      <c r="H72" s="20">
        <f>SUM(H4:H70)</f>
        <v>941775.15</v>
      </c>
      <c r="J72"/>
    </row>
    <row r="73" spans="1:10" ht="15" x14ac:dyDescent="0.25">
      <c r="G73"/>
      <c r="J73"/>
    </row>
    <row r="74" spans="1:10" ht="15" x14ac:dyDescent="0.25">
      <c r="G74"/>
      <c r="J74"/>
    </row>
    <row r="75" spans="1:10" ht="15" x14ac:dyDescent="0.25">
      <c r="G75"/>
      <c r="J75"/>
    </row>
    <row r="76" spans="1:10" ht="15" x14ac:dyDescent="0.25">
      <c r="G76"/>
      <c r="J76"/>
    </row>
    <row r="77" spans="1:10" ht="15" x14ac:dyDescent="0.25">
      <c r="G77"/>
      <c r="J77"/>
    </row>
    <row r="78" spans="1:10" ht="15" x14ac:dyDescent="0.25">
      <c r="G78"/>
      <c r="J78"/>
    </row>
    <row r="79" spans="1:10" ht="15" x14ac:dyDescent="0.25">
      <c r="G79"/>
      <c r="J79"/>
    </row>
    <row r="80" spans="1:10" ht="15" x14ac:dyDescent="0.25">
      <c r="G80"/>
      <c r="J80"/>
    </row>
    <row r="81" spans="7:10" ht="15" x14ac:dyDescent="0.25">
      <c r="G81"/>
      <c r="J81"/>
    </row>
    <row r="82" spans="7:10" ht="15" x14ac:dyDescent="0.25">
      <c r="G82"/>
      <c r="J82"/>
    </row>
    <row r="83" spans="7:10" ht="15" x14ac:dyDescent="0.25">
      <c r="G83"/>
      <c r="J83"/>
    </row>
    <row r="84" spans="7:10" ht="15" x14ac:dyDescent="0.25">
      <c r="G84"/>
      <c r="J84"/>
    </row>
    <row r="85" spans="7:10" ht="15" x14ac:dyDescent="0.25">
      <c r="G85"/>
      <c r="J85"/>
    </row>
    <row r="86" spans="7:10" ht="15" x14ac:dyDescent="0.25">
      <c r="G86"/>
      <c r="J86"/>
    </row>
    <row r="87" spans="7:10" ht="15" x14ac:dyDescent="0.25">
      <c r="G87"/>
      <c r="J87"/>
    </row>
    <row r="88" spans="7:10" ht="15" x14ac:dyDescent="0.25">
      <c r="G88"/>
      <c r="J88"/>
    </row>
    <row r="89" spans="7:10" ht="15" x14ac:dyDescent="0.25">
      <c r="G89"/>
      <c r="J89"/>
    </row>
    <row r="90" spans="7:10" ht="15" x14ac:dyDescent="0.25">
      <c r="G90"/>
      <c r="J90"/>
    </row>
    <row r="91" spans="7:10" ht="15" x14ac:dyDescent="0.25">
      <c r="G91"/>
      <c r="J91"/>
    </row>
    <row r="92" spans="7:10" ht="15" x14ac:dyDescent="0.25">
      <c r="G92"/>
      <c r="J92"/>
    </row>
    <row r="93" spans="7:10" ht="15" x14ac:dyDescent="0.25">
      <c r="G93"/>
      <c r="J93"/>
    </row>
    <row r="94" spans="7:10" ht="15" x14ac:dyDescent="0.25">
      <c r="G94"/>
      <c r="J94"/>
    </row>
    <row r="95" spans="7:10" ht="15" x14ac:dyDescent="0.25">
      <c r="G95"/>
      <c r="J95"/>
    </row>
    <row r="96" spans="7:10" ht="15" x14ac:dyDescent="0.25">
      <c r="G96"/>
      <c r="J96"/>
    </row>
    <row r="97" spans="7:10" ht="15" x14ac:dyDescent="0.25">
      <c r="G97"/>
      <c r="J97"/>
    </row>
    <row r="98" spans="7:10" ht="15" x14ac:dyDescent="0.25">
      <c r="G98"/>
      <c r="J98"/>
    </row>
    <row r="99" spans="7:10" ht="28.15" customHeight="1" x14ac:dyDescent="0.25">
      <c r="G99"/>
      <c r="J99"/>
    </row>
    <row r="100" spans="7:10" ht="28.15" customHeight="1" x14ac:dyDescent="0.25">
      <c r="G100"/>
      <c r="J100"/>
    </row>
    <row r="101" spans="7:10" ht="15" x14ac:dyDescent="0.25">
      <c r="G101"/>
      <c r="J101"/>
    </row>
    <row r="102" spans="7:10" ht="15" x14ac:dyDescent="0.25">
      <c r="G102"/>
      <c r="J102"/>
    </row>
    <row r="103" spans="7:10" ht="15" x14ac:dyDescent="0.25">
      <c r="G103"/>
      <c r="J103"/>
    </row>
    <row r="104" spans="7:10" ht="15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15" x14ac:dyDescent="0.25">
      <c r="G107"/>
      <c r="J107"/>
    </row>
    <row r="108" spans="7:10" ht="15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15" x14ac:dyDescent="0.25">
      <c r="G160"/>
      <c r="J160"/>
    </row>
    <row r="161" spans="7:10" ht="15" x14ac:dyDescent="0.25">
      <c r="G161"/>
      <c r="J161"/>
    </row>
    <row r="162" spans="7:10" ht="15" x14ac:dyDescent="0.25">
      <c r="G162"/>
      <c r="J162"/>
    </row>
    <row r="163" spans="7:10" ht="15" x14ac:dyDescent="0.25">
      <c r="G163"/>
      <c r="J163"/>
    </row>
    <row r="164" spans="7:10" ht="15" x14ac:dyDescent="0.25">
      <c r="G164"/>
      <c r="J164"/>
    </row>
    <row r="165" spans="7:10" ht="15" x14ac:dyDescent="0.25">
      <c r="G165"/>
      <c r="J165"/>
    </row>
    <row r="166" spans="7:10" ht="15" x14ac:dyDescent="0.25">
      <c r="G166"/>
      <c r="J166"/>
    </row>
    <row r="167" spans="7:10" ht="37.9" customHeight="1" x14ac:dyDescent="0.25">
      <c r="G167"/>
      <c r="J167"/>
    </row>
    <row r="168" spans="7:10" ht="24.6" customHeight="1" x14ac:dyDescent="0.25">
      <c r="G168"/>
      <c r="J168"/>
    </row>
    <row r="169" spans="7:10" ht="15" x14ac:dyDescent="0.25">
      <c r="G169"/>
      <c r="J169"/>
    </row>
    <row r="170" spans="7:10" ht="15" x14ac:dyDescent="0.25">
      <c r="G170"/>
      <c r="J170"/>
    </row>
    <row r="171" spans="7:10" ht="15" x14ac:dyDescent="0.25">
      <c r="G171"/>
      <c r="J171"/>
    </row>
    <row r="172" spans="7:10" ht="15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15" x14ac:dyDescent="0.25">
      <c r="G175"/>
      <c r="J175"/>
    </row>
    <row r="176" spans="7:10" ht="15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15" x14ac:dyDescent="0.25">
      <c r="G214"/>
      <c r="J214"/>
    </row>
    <row r="215" spans="7:10" ht="15" x14ac:dyDescent="0.25">
      <c r="G215"/>
      <c r="J215"/>
    </row>
    <row r="216" spans="7:10" ht="15" x14ac:dyDescent="0.25">
      <c r="G216"/>
      <c r="J216"/>
    </row>
    <row r="217" spans="7:10" ht="15" x14ac:dyDescent="0.25">
      <c r="G217"/>
      <c r="J217"/>
    </row>
    <row r="218" spans="7:10" ht="15" x14ac:dyDescent="0.25">
      <c r="G218"/>
      <c r="J218"/>
    </row>
    <row r="219" spans="7:10" ht="15" x14ac:dyDescent="0.25">
      <c r="G219"/>
      <c r="J219"/>
    </row>
    <row r="220" spans="7:10" ht="15" x14ac:dyDescent="0.25">
      <c r="G220"/>
      <c r="J220"/>
    </row>
    <row r="221" spans="7:10" ht="34.9" customHeight="1" x14ac:dyDescent="0.25">
      <c r="G221"/>
      <c r="J221"/>
    </row>
    <row r="222" spans="7:10" ht="33.6" customHeight="1" x14ac:dyDescent="0.25">
      <c r="G222"/>
      <c r="J222"/>
    </row>
    <row r="223" spans="7:10" ht="34.15" customHeight="1" x14ac:dyDescent="0.25">
      <c r="G223"/>
      <c r="J223"/>
    </row>
    <row r="224" spans="7:10" ht="59.45" customHeight="1" x14ac:dyDescent="0.25">
      <c r="G224"/>
      <c r="J224"/>
    </row>
    <row r="225" spans="7:10" ht="15" x14ac:dyDescent="0.25">
      <c r="G225"/>
      <c r="J225"/>
    </row>
    <row r="226" spans="7:10" ht="15" x14ac:dyDescent="0.25">
      <c r="G226"/>
      <c r="J226"/>
    </row>
    <row r="227" spans="7:10" ht="15" x14ac:dyDescent="0.25">
      <c r="G227"/>
      <c r="J227"/>
    </row>
    <row r="228" spans="7:10" ht="15" x14ac:dyDescent="0.25">
      <c r="G228"/>
      <c r="J228"/>
    </row>
    <row r="229" spans="7:10" ht="15" x14ac:dyDescent="0.25">
      <c r="G229"/>
      <c r="J229"/>
    </row>
    <row r="230" spans="7:10" ht="15" x14ac:dyDescent="0.25">
      <c r="G230"/>
      <c r="J230"/>
    </row>
    <row r="231" spans="7:10" ht="15" x14ac:dyDescent="0.25">
      <c r="G231"/>
      <c r="J231"/>
    </row>
    <row r="232" spans="7:10" ht="15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15" x14ac:dyDescent="0.25">
      <c r="G237"/>
      <c r="J237"/>
    </row>
    <row r="238" spans="7:10" ht="15" x14ac:dyDescent="0.25">
      <c r="G238"/>
      <c r="J238"/>
    </row>
    <row r="239" spans="7:10" ht="15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15" x14ac:dyDescent="0.25">
      <c r="G242"/>
      <c r="J242"/>
    </row>
    <row r="243" spans="7:10" ht="15" x14ac:dyDescent="0.25">
      <c r="G243"/>
      <c r="J243"/>
    </row>
    <row r="244" spans="7:10" ht="27" customHeight="1" x14ac:dyDescent="0.25">
      <c r="G244"/>
      <c r="J244"/>
    </row>
    <row r="245" spans="7:10" ht="15" x14ac:dyDescent="0.25">
      <c r="G245"/>
      <c r="J245"/>
    </row>
    <row r="246" spans="7:10" ht="15" x14ac:dyDescent="0.25">
      <c r="G246"/>
      <c r="J246"/>
    </row>
    <row r="247" spans="7:10" ht="15" x14ac:dyDescent="0.25">
      <c r="G247"/>
      <c r="J247"/>
    </row>
    <row r="248" spans="7:10" ht="15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15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15" x14ac:dyDescent="0.25">
      <c r="G285"/>
      <c r="J285"/>
    </row>
    <row r="286" spans="7:10" ht="15" x14ac:dyDescent="0.25">
      <c r="G286"/>
      <c r="J286"/>
    </row>
    <row r="287" spans="7:10" ht="15" x14ac:dyDescent="0.25">
      <c r="G287"/>
      <c r="J287"/>
    </row>
    <row r="288" spans="7:10" ht="15" x14ac:dyDescent="0.25">
      <c r="G288"/>
      <c r="J288"/>
    </row>
    <row r="289" spans="7:10" ht="15" x14ac:dyDescent="0.25">
      <c r="G289"/>
      <c r="J289"/>
    </row>
    <row r="290" spans="7:10" ht="15" x14ac:dyDescent="0.25">
      <c r="G290"/>
      <c r="J290"/>
    </row>
    <row r="291" spans="7:10" ht="15" x14ac:dyDescent="0.25">
      <c r="G291"/>
      <c r="J291"/>
    </row>
    <row r="292" spans="7:10" ht="27" customHeight="1" x14ac:dyDescent="0.25">
      <c r="G292"/>
      <c r="J292"/>
    </row>
    <row r="293" spans="7:10" ht="33.6" customHeight="1" x14ac:dyDescent="0.25">
      <c r="G293"/>
      <c r="J293"/>
    </row>
    <row r="294" spans="7:10" ht="15" x14ac:dyDescent="0.25">
      <c r="G294"/>
      <c r="J294"/>
    </row>
    <row r="295" spans="7:10" ht="15" x14ac:dyDescent="0.25">
      <c r="G295"/>
      <c r="J295"/>
    </row>
    <row r="296" spans="7:10" ht="15" x14ac:dyDescent="0.25">
      <c r="G296"/>
      <c r="J296"/>
    </row>
    <row r="297" spans="7:10" ht="15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15" x14ac:dyDescent="0.25">
      <c r="G300"/>
      <c r="J300"/>
    </row>
    <row r="301" spans="7:10" ht="15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15" x14ac:dyDescent="0.25">
      <c r="G336"/>
      <c r="J336"/>
    </row>
    <row r="337" spans="7:10" ht="15" x14ac:dyDescent="0.25">
      <c r="G337"/>
      <c r="J337"/>
    </row>
    <row r="338" spans="7:10" ht="15" x14ac:dyDescent="0.25">
      <c r="G338"/>
      <c r="J338"/>
    </row>
    <row r="339" spans="7:10" ht="15" x14ac:dyDescent="0.25">
      <c r="G339"/>
      <c r="J339"/>
    </row>
    <row r="340" spans="7:10" ht="15" x14ac:dyDescent="0.25">
      <c r="G340"/>
      <c r="J340"/>
    </row>
    <row r="341" spans="7:10" ht="15" x14ac:dyDescent="0.25">
      <c r="G341"/>
      <c r="J341"/>
    </row>
    <row r="342" spans="7:10" ht="15" x14ac:dyDescent="0.25">
      <c r="G342"/>
      <c r="J342"/>
    </row>
    <row r="343" spans="7:10" ht="31.9" customHeight="1" x14ac:dyDescent="0.25">
      <c r="G343"/>
      <c r="J343"/>
    </row>
    <row r="344" spans="7:10" ht="29.45" customHeight="1" x14ac:dyDescent="0.25">
      <c r="G344"/>
      <c r="J344"/>
    </row>
    <row r="345" spans="7:10" ht="15" x14ac:dyDescent="0.25">
      <c r="G345"/>
      <c r="J345"/>
    </row>
    <row r="346" spans="7:10" ht="66.599999999999994" customHeight="1" x14ac:dyDescent="0.25">
      <c r="G346"/>
      <c r="J346"/>
    </row>
    <row r="347" spans="7:10" ht="15" x14ac:dyDescent="0.25">
      <c r="G347"/>
      <c r="J347"/>
    </row>
    <row r="348" spans="7:10" ht="15" x14ac:dyDescent="0.25">
      <c r="G348"/>
      <c r="J348"/>
    </row>
    <row r="349" spans="7:10" ht="15" x14ac:dyDescent="0.25">
      <c r="G349"/>
      <c r="J349"/>
    </row>
    <row r="350" spans="7:10" ht="15" x14ac:dyDescent="0.25">
      <c r="G350"/>
      <c r="J350"/>
    </row>
    <row r="351" spans="7:10" ht="15" x14ac:dyDescent="0.25">
      <c r="G351"/>
      <c r="J351"/>
    </row>
    <row r="352" spans="7:10" ht="15" x14ac:dyDescent="0.25">
      <c r="G352"/>
      <c r="J352"/>
    </row>
    <row r="353" spans="7:10" ht="15" x14ac:dyDescent="0.25">
      <c r="G353"/>
      <c r="J353"/>
    </row>
    <row r="354" spans="7:10" ht="15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15" x14ac:dyDescent="0.25">
      <c r="G357"/>
      <c r="J357"/>
    </row>
    <row r="358" spans="7:10" ht="15" x14ac:dyDescent="0.25">
      <c r="G358"/>
      <c r="J358"/>
    </row>
    <row r="359" spans="7:10" ht="15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15" x14ac:dyDescent="0.25">
      <c r="G362"/>
      <c r="J362"/>
    </row>
    <row r="363" spans="7:10" ht="15" x14ac:dyDescent="0.25">
      <c r="G363"/>
      <c r="J363"/>
    </row>
    <row r="364" spans="7:10" ht="28.9" customHeight="1" x14ac:dyDescent="0.25">
      <c r="G364"/>
      <c r="J364"/>
    </row>
    <row r="365" spans="7:10" ht="15" x14ac:dyDescent="0.25">
      <c r="G365"/>
      <c r="J365"/>
    </row>
    <row r="366" spans="7:10" ht="15" x14ac:dyDescent="0.25">
      <c r="G366"/>
      <c r="J366"/>
    </row>
    <row r="367" spans="7:10" ht="15" x14ac:dyDescent="0.25">
      <c r="G367"/>
      <c r="J367"/>
    </row>
    <row r="368" spans="7:10" ht="15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15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J377"/>
    </row>
    <row r="378" spans="7:10" ht="15" x14ac:dyDescent="0.25">
      <c r="J378"/>
    </row>
    <row r="379" spans="7:10" ht="15" x14ac:dyDescent="0.25">
      <c r="J379"/>
    </row>
    <row r="380" spans="7:10" ht="15" x14ac:dyDescent="0.25">
      <c r="J380"/>
    </row>
    <row r="381" spans="7:10" ht="15" x14ac:dyDescent="0.25">
      <c r="J381"/>
    </row>
    <row r="382" spans="7:10" ht="15" x14ac:dyDescent="0.25">
      <c r="J382"/>
    </row>
    <row r="383" spans="7:10" ht="15" x14ac:dyDescent="0.25">
      <c r="J383"/>
    </row>
    <row r="384" spans="7:10" ht="15" x14ac:dyDescent="0.25">
      <c r="J384"/>
    </row>
    <row r="385" spans="10:10" ht="15" x14ac:dyDescent="0.25">
      <c r="J385"/>
    </row>
    <row r="386" spans="10:10" ht="15" x14ac:dyDescent="0.25">
      <c r="J386"/>
    </row>
    <row r="387" spans="10:10" ht="15" x14ac:dyDescent="0.25">
      <c r="J387"/>
    </row>
    <row r="388" spans="10:10" ht="15" x14ac:dyDescent="0.25">
      <c r="J388"/>
    </row>
    <row r="389" spans="10:10" ht="15" x14ac:dyDescent="0.25">
      <c r="J389"/>
    </row>
    <row r="390" spans="10:10" ht="15" x14ac:dyDescent="0.25">
      <c r="J390"/>
    </row>
    <row r="391" spans="10:10" ht="15" x14ac:dyDescent="0.25">
      <c r="J391"/>
    </row>
    <row r="392" spans="10:10" ht="15" x14ac:dyDescent="0.25">
      <c r="J392"/>
    </row>
    <row r="393" spans="10:10" ht="15" x14ac:dyDescent="0.25">
      <c r="J393"/>
    </row>
    <row r="394" spans="10:10" ht="15" x14ac:dyDescent="0.25">
      <c r="J394"/>
    </row>
    <row r="395" spans="10:10" ht="15" x14ac:dyDescent="0.25">
      <c r="J395"/>
    </row>
    <row r="396" spans="10:10" ht="15" x14ac:dyDescent="0.25">
      <c r="J396"/>
    </row>
    <row r="397" spans="10:10" ht="15" x14ac:dyDescent="0.25">
      <c r="J397"/>
    </row>
    <row r="398" spans="10:10" ht="15" x14ac:dyDescent="0.25">
      <c r="J398"/>
    </row>
    <row r="399" spans="10:10" ht="15" x14ac:dyDescent="0.25">
      <c r="J399"/>
    </row>
    <row r="400" spans="10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  <row r="698" spans="10:10" ht="15" x14ac:dyDescent="0.25">
      <c r="J698"/>
    </row>
    <row r="699" spans="10:10" ht="15" x14ac:dyDescent="0.25">
      <c r="J699"/>
    </row>
    <row r="700" spans="10:10" ht="15" x14ac:dyDescent="0.25">
      <c r="J700"/>
    </row>
    <row r="701" spans="10:10" ht="15" x14ac:dyDescent="0.25">
      <c r="J701"/>
    </row>
    <row r="702" spans="10:10" ht="15" x14ac:dyDescent="0.25">
      <c r="J702"/>
    </row>
    <row r="703" spans="10:10" ht="15" x14ac:dyDescent="0.25">
      <c r="J703"/>
    </row>
    <row r="704" spans="10:10" ht="15" x14ac:dyDescent="0.25">
      <c r="J704"/>
    </row>
  </sheetData>
  <pageMargins left="0.39370078740157483" right="0.39370078740157483" top="0.59055118110236227" bottom="0.47244094488188981" header="0.31496062992125984" footer="0.31496062992125984"/>
  <pageSetup paperSize="9" scale="77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2025-10-08T09:15:55Z</dcterms:modified>
</cp:coreProperties>
</file>