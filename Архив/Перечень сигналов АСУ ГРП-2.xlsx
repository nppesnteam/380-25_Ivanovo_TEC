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8_{761754AD-F5B1-432D-9A62-133A7F5D9C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3" i="1" l="1"/>
  <c r="M133" i="1"/>
  <c r="L133" i="1"/>
  <c r="K133" i="1"/>
  <c r="J133" i="1"/>
  <c r="I133" i="1"/>
  <c r="N132" i="1"/>
  <c r="M132" i="1"/>
  <c r="L132" i="1"/>
  <c r="K132" i="1"/>
  <c r="J132" i="1"/>
  <c r="I132" i="1"/>
  <c r="N131" i="1"/>
  <c r="M131" i="1"/>
  <c r="L131" i="1"/>
  <c r="K131" i="1"/>
  <c r="J131" i="1"/>
  <c r="I131" i="1"/>
  <c r="N130" i="1"/>
  <c r="M130" i="1"/>
  <c r="L130" i="1"/>
  <c r="K130" i="1"/>
  <c r="J130" i="1"/>
  <c r="I130" i="1"/>
  <c r="N129" i="1"/>
  <c r="M129" i="1"/>
  <c r="L129" i="1"/>
  <c r="K129" i="1"/>
  <c r="J129" i="1"/>
  <c r="I129" i="1"/>
  <c r="N128" i="1"/>
  <c r="M128" i="1"/>
  <c r="L128" i="1"/>
  <c r="K128" i="1"/>
  <c r="J128" i="1"/>
  <c r="I128" i="1"/>
  <c r="N127" i="1"/>
  <c r="M127" i="1"/>
  <c r="L127" i="1"/>
  <c r="K127" i="1"/>
  <c r="J127" i="1"/>
  <c r="I127" i="1"/>
  <c r="N126" i="1"/>
  <c r="M126" i="1"/>
  <c r="L126" i="1"/>
  <c r="K126" i="1"/>
  <c r="J126" i="1"/>
  <c r="I126" i="1"/>
  <c r="N125" i="1"/>
  <c r="M125" i="1"/>
  <c r="L125" i="1"/>
  <c r="K125" i="1"/>
  <c r="J125" i="1"/>
  <c r="I125" i="1"/>
  <c r="N124" i="1"/>
  <c r="M124" i="1"/>
  <c r="L124" i="1"/>
  <c r="K124" i="1"/>
  <c r="J124" i="1"/>
  <c r="I124" i="1"/>
  <c r="N123" i="1"/>
  <c r="M123" i="1"/>
  <c r="L123" i="1"/>
  <c r="K123" i="1"/>
  <c r="J123" i="1"/>
  <c r="I123" i="1"/>
  <c r="N122" i="1"/>
  <c r="M122" i="1"/>
  <c r="L122" i="1"/>
  <c r="K122" i="1"/>
  <c r="J122" i="1"/>
  <c r="I122" i="1"/>
  <c r="N121" i="1"/>
  <c r="M121" i="1"/>
  <c r="L121" i="1"/>
  <c r="K121" i="1"/>
  <c r="J121" i="1"/>
  <c r="I121" i="1"/>
  <c r="N120" i="1"/>
  <c r="M120" i="1"/>
  <c r="L120" i="1"/>
  <c r="K120" i="1"/>
  <c r="J120" i="1"/>
  <c r="I120" i="1"/>
  <c r="N119" i="1"/>
  <c r="M119" i="1"/>
  <c r="L119" i="1"/>
  <c r="K119" i="1"/>
  <c r="J119" i="1"/>
  <c r="I119" i="1"/>
  <c r="N118" i="1"/>
  <c r="M118" i="1"/>
  <c r="L118" i="1"/>
  <c r="K118" i="1"/>
  <c r="J118" i="1"/>
  <c r="I118" i="1"/>
  <c r="N117" i="1"/>
  <c r="M117" i="1"/>
  <c r="L117" i="1"/>
  <c r="K117" i="1"/>
  <c r="J117" i="1"/>
  <c r="I117" i="1"/>
  <c r="N116" i="1"/>
  <c r="M116" i="1"/>
  <c r="L116" i="1"/>
  <c r="K116" i="1"/>
  <c r="J116" i="1"/>
  <c r="I116" i="1"/>
  <c r="N115" i="1"/>
  <c r="M115" i="1"/>
  <c r="L115" i="1"/>
  <c r="K115" i="1"/>
  <c r="J115" i="1"/>
  <c r="I115" i="1"/>
  <c r="M114" i="1"/>
  <c r="L114" i="1"/>
  <c r="K114" i="1"/>
  <c r="J114" i="1"/>
  <c r="I114" i="1"/>
  <c r="N113" i="1"/>
  <c r="M113" i="1"/>
  <c r="L113" i="1"/>
  <c r="K113" i="1"/>
  <c r="J113" i="1"/>
  <c r="I113" i="1"/>
  <c r="N112" i="1"/>
  <c r="N114" i="1" s="1"/>
  <c r="M112" i="1"/>
  <c r="L112" i="1"/>
  <c r="K112" i="1"/>
  <c r="J112" i="1"/>
  <c r="I112" i="1"/>
  <c r="N111" i="1"/>
  <c r="M111" i="1"/>
  <c r="L111" i="1"/>
  <c r="K111" i="1"/>
  <c r="J111" i="1"/>
  <c r="I111" i="1"/>
  <c r="N110" i="1"/>
  <c r="M110" i="1"/>
  <c r="L110" i="1"/>
  <c r="K110" i="1"/>
  <c r="J110" i="1"/>
  <c r="I110" i="1"/>
  <c r="N109" i="1"/>
  <c r="M109" i="1"/>
  <c r="L109" i="1"/>
  <c r="K109" i="1"/>
  <c r="J109" i="1"/>
  <c r="I109" i="1"/>
  <c r="N108" i="1"/>
  <c r="M108" i="1"/>
  <c r="L108" i="1"/>
  <c r="K108" i="1"/>
  <c r="J108" i="1"/>
  <c r="I108" i="1"/>
  <c r="N107" i="1"/>
  <c r="M107" i="1"/>
  <c r="L107" i="1"/>
  <c r="K107" i="1"/>
  <c r="J107" i="1"/>
  <c r="I107" i="1"/>
  <c r="N106" i="1"/>
  <c r="M106" i="1"/>
  <c r="L106" i="1"/>
  <c r="K106" i="1"/>
  <c r="J106" i="1"/>
  <c r="I106" i="1"/>
  <c r="N105" i="1"/>
  <c r="M105" i="1"/>
  <c r="L105" i="1"/>
  <c r="K105" i="1"/>
  <c r="J105" i="1"/>
  <c r="I105" i="1"/>
  <c r="N104" i="1"/>
  <c r="M104" i="1"/>
  <c r="L104" i="1"/>
  <c r="K104" i="1"/>
  <c r="J104" i="1"/>
  <c r="I104" i="1"/>
  <c r="N103" i="1"/>
  <c r="M103" i="1"/>
  <c r="L103" i="1"/>
  <c r="K103" i="1"/>
  <c r="J103" i="1"/>
  <c r="I103" i="1"/>
  <c r="N102" i="1"/>
  <c r="M102" i="1"/>
  <c r="L102" i="1"/>
  <c r="K102" i="1"/>
  <c r="J102" i="1"/>
  <c r="I102" i="1"/>
  <c r="N101" i="1"/>
  <c r="M101" i="1"/>
  <c r="L101" i="1"/>
  <c r="K101" i="1"/>
  <c r="J101" i="1"/>
  <c r="I101" i="1"/>
  <c r="N100" i="1"/>
  <c r="M100" i="1"/>
  <c r="L100" i="1"/>
  <c r="K100" i="1"/>
  <c r="J100" i="1"/>
  <c r="I100" i="1"/>
  <c r="N99" i="1"/>
  <c r="M99" i="1"/>
  <c r="L99" i="1"/>
  <c r="K99" i="1"/>
  <c r="J99" i="1"/>
  <c r="I99" i="1"/>
  <c r="N98" i="1"/>
  <c r="M98" i="1"/>
  <c r="L98" i="1"/>
  <c r="K98" i="1"/>
  <c r="J98" i="1"/>
  <c r="I98" i="1"/>
  <c r="N97" i="1"/>
  <c r="M97" i="1"/>
  <c r="L97" i="1"/>
  <c r="K97" i="1"/>
  <c r="J97" i="1"/>
  <c r="I97" i="1"/>
  <c r="N96" i="1"/>
  <c r="M96" i="1"/>
  <c r="L96" i="1"/>
  <c r="K96" i="1"/>
  <c r="J96" i="1"/>
  <c r="I96" i="1"/>
  <c r="N95" i="1"/>
  <c r="M95" i="1"/>
  <c r="L95" i="1"/>
  <c r="K95" i="1"/>
  <c r="J95" i="1"/>
  <c r="I95" i="1"/>
  <c r="N94" i="1"/>
  <c r="M94" i="1"/>
  <c r="L94" i="1"/>
  <c r="K94" i="1"/>
  <c r="J94" i="1"/>
  <c r="I94" i="1"/>
  <c r="N93" i="1"/>
  <c r="M93" i="1"/>
  <c r="L93" i="1"/>
  <c r="K93" i="1"/>
  <c r="J93" i="1"/>
  <c r="I93" i="1"/>
  <c r="N92" i="1"/>
  <c r="M92" i="1"/>
  <c r="L92" i="1"/>
  <c r="K92" i="1"/>
  <c r="J92" i="1"/>
  <c r="I92" i="1"/>
  <c r="N91" i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N74" i="1"/>
  <c r="M74" i="1"/>
  <c r="L74" i="1"/>
  <c r="K74" i="1"/>
  <c r="J74" i="1"/>
  <c r="I74" i="1"/>
  <c r="N73" i="1"/>
  <c r="M73" i="1"/>
  <c r="L73" i="1"/>
  <c r="K73" i="1"/>
  <c r="J73" i="1"/>
  <c r="I73" i="1"/>
  <c r="N72" i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69" i="1"/>
  <c r="M69" i="1"/>
  <c r="L69" i="1"/>
  <c r="K69" i="1"/>
  <c r="J69" i="1"/>
  <c r="I69" i="1"/>
  <c r="N68" i="1"/>
  <c r="M68" i="1"/>
  <c r="L68" i="1"/>
  <c r="K68" i="1"/>
  <c r="J68" i="1"/>
  <c r="I68" i="1"/>
  <c r="N67" i="1"/>
  <c r="M67" i="1"/>
  <c r="L67" i="1"/>
  <c r="K67" i="1"/>
  <c r="J67" i="1"/>
  <c r="I67" i="1"/>
  <c r="N66" i="1"/>
  <c r="M66" i="1"/>
  <c r="L66" i="1"/>
  <c r="K66" i="1"/>
  <c r="J66" i="1"/>
  <c r="I66" i="1"/>
  <c r="N65" i="1"/>
  <c r="M65" i="1"/>
  <c r="L65" i="1"/>
  <c r="K65" i="1"/>
  <c r="J65" i="1"/>
  <c r="I65" i="1"/>
  <c r="N64" i="1"/>
  <c r="M64" i="1"/>
  <c r="L64" i="1"/>
  <c r="K64" i="1"/>
  <c r="J64" i="1"/>
  <c r="I64" i="1"/>
  <c r="N63" i="1"/>
  <c r="M63" i="1"/>
  <c r="L63" i="1"/>
  <c r="K63" i="1"/>
  <c r="J63" i="1"/>
  <c r="I63" i="1"/>
  <c r="N62" i="1"/>
  <c r="M62" i="1"/>
  <c r="L62" i="1"/>
  <c r="K62" i="1"/>
  <c r="J62" i="1"/>
  <c r="I62" i="1"/>
  <c r="N61" i="1"/>
  <c r="M61" i="1"/>
  <c r="L61" i="1"/>
  <c r="K61" i="1"/>
  <c r="J61" i="1"/>
  <c r="I61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M1" i="1" s="1"/>
  <c r="L4" i="1"/>
  <c r="L1" i="1" s="1"/>
  <c r="K4" i="1"/>
  <c r="K1" i="1" s="1"/>
  <c r="J4" i="1"/>
  <c r="J1" i="1" s="1"/>
  <c r="I4" i="1"/>
  <c r="I1" i="1" l="1"/>
  <c r="G1" i="1" s="1"/>
  <c r="N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6" authorId="0" shapeId="0" xr:uid="{00000000-0006-0000-0000-00000A000000}">
      <text>
        <r>
          <rPr>
            <sz val="10"/>
            <color rgb="FF000000"/>
            <rFont val="Calibri"/>
            <scheme val="minor"/>
          </rPr>
          <t>нужны принципиалки
	-Илья «darknesss133» Чураков</t>
        </r>
      </text>
    </comment>
    <comment ref="D122" authorId="0" shapeId="0" xr:uid="{00000000-0006-0000-0000-000009000000}">
      <text>
        <r>
          <rPr>
            <sz val="10"/>
            <color rgb="FF000000"/>
            <rFont val="Calibri"/>
            <scheme val="minor"/>
          </rPr>
          <t>нет соответствующих сигналам схем
	-Илья «darknesss133» Чураков</t>
        </r>
      </text>
    </comment>
  </commentList>
</comments>
</file>

<file path=xl/sharedStrings.xml><?xml version="1.0" encoding="utf-8"?>
<sst xmlns="http://schemas.openxmlformats.org/spreadsheetml/2006/main" count="988" uniqueCount="299">
  <si>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</si>
  <si>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</si>
  <si>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</si>
  <si>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</si>
  <si>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</si>
  <si>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Клеммы</t>
  </si>
  <si>
    <t>4-20мА</t>
  </si>
  <si>
    <t>АСУ ТП ВК</t>
  </si>
  <si>
    <t>дискретный</t>
  </si>
  <si>
    <t>входящий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</si>
  <si>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</si>
  <si>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</si>
  <si>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</si>
  <si>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</si>
  <si>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</si>
  <si>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</si>
  <si>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</si>
  <si>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</si>
  <si>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</si>
  <si>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</si>
  <si>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</si>
  <si>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</si>
  <si>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</si>
  <si>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RS485 Modbus RTU</t>
  </si>
  <si>
    <t>АСУ ГРП-1</t>
  </si>
  <si>
    <t>аналоговый</t>
  </si>
  <si>
    <t>исходящий</t>
  </si>
  <si>
    <t>Pt500 (Pt100)</t>
  </si>
  <si>
    <t>АСУ ГРП-2</t>
  </si>
  <si>
    <t>цифровой</t>
  </si>
  <si>
    <t>50П</t>
  </si>
  <si>
    <t>АСУ Зд теплообменников</t>
  </si>
  <si>
    <t>=24В</t>
  </si>
  <si>
    <t>АСУ ТП НАБ</t>
  </si>
  <si>
    <t>220В, 50Гц</t>
  </si>
  <si>
    <t>АСУ ЭТО</t>
  </si>
  <si>
    <t>100П, 4-х пр.</t>
  </si>
  <si>
    <t>Eth MODBUS TCP</t>
  </si>
  <si>
    <t>Eth МЭК-104</t>
  </si>
  <si>
    <t>Eth OPC UA</t>
  </si>
  <si>
    <t>R</t>
  </si>
  <si>
    <t>?</t>
  </si>
  <si>
    <t>Положение ИМ</t>
  </si>
  <si>
    <t>Не открыто</t>
  </si>
  <si>
    <t>Не закрыто</t>
  </si>
  <si>
    <t>Превышение момента</t>
  </si>
  <si>
    <t>Неисправность</t>
  </si>
  <si>
    <t>Готовность</t>
  </si>
  <si>
    <t>Автоматический выключатель отключен</t>
  </si>
  <si>
    <t>Больше</t>
  </si>
  <si>
    <t>Меньше</t>
  </si>
  <si>
    <t>Открыто</t>
  </si>
  <si>
    <t>Закрыто</t>
  </si>
  <si>
    <t>Превышение момента на закрытие</t>
  </si>
  <si>
    <t>Дистанционный режим работы</t>
  </si>
  <si>
    <t>Открыть</t>
  </si>
  <si>
    <t>Закрыть</t>
  </si>
  <si>
    <t>Стоп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</si>
  <si>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</si>
  <si>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</si>
  <si>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</si>
  <si>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</si>
  <si>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</si>
  <si>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</si>
  <si>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</si>
  <si>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</si>
  <si>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</si>
  <si>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</si>
  <si>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Сигнализатор газов СТМ-10</t>
  </si>
  <si>
    <t>Загазованность в ГРП, 1 порог</t>
  </si>
  <si>
    <t>Загазованность в ГРП, 2 порог</t>
  </si>
  <si>
    <t>Пожарная сигнализация сработала</t>
  </si>
  <si>
    <t>Неисправность шкафа сборки задвижек</t>
  </si>
  <si>
    <t>ГРП-2</t>
  </si>
  <si>
    <t>Давление после клапана ЗР-1</t>
  </si>
  <si>
    <t>E2EKD01CP001</t>
  </si>
  <si>
    <t>Давление после клапана ЗР-2</t>
  </si>
  <si>
    <t>E2EKD02CP001</t>
  </si>
  <si>
    <t>Давление на входе ГРП-2</t>
  </si>
  <si>
    <t>E2EKA01CP001</t>
  </si>
  <si>
    <t>Давление на выходе ГРП-2</t>
  </si>
  <si>
    <t>E2EKG01CP001</t>
  </si>
  <si>
    <t>E2EKG01CP002</t>
  </si>
  <si>
    <t>E2EKG01CP003</t>
  </si>
  <si>
    <t>Температура на входе в ГРП-2</t>
  </si>
  <si>
    <t>E2EKA01CT101</t>
  </si>
  <si>
    <t>Температура на выходе ГРП-2</t>
  </si>
  <si>
    <t>E2EKG01CT101</t>
  </si>
  <si>
    <t>Регулирующий клапан ЗР-1 (линия 1)</t>
  </si>
  <si>
    <t>E2EKD01CG801</t>
  </si>
  <si>
    <t>E2EKD01AA801XC51</t>
  </si>
  <si>
    <t>E2EKD01AA801</t>
  </si>
  <si>
    <t>E2EKD01AA801XC52</t>
  </si>
  <si>
    <t>E2EKD01AA801ХС57</t>
  </si>
  <si>
    <t>E2EKD01AA801ХС10</t>
  </si>
  <si>
    <t>E2EKD01AA801ХM01</t>
  </si>
  <si>
    <t>E2EKD01AA801YC01</t>
  </si>
  <si>
    <t>E2EKD01AA801YC02</t>
  </si>
  <si>
    <t>Регулирующий клапан ЗР-1 (линия 2)</t>
  </si>
  <si>
    <t>E2EKD02CG801</t>
  </si>
  <si>
    <t>E2EKD02AA801XC51</t>
  </si>
  <si>
    <t>E2EKD02AA801</t>
  </si>
  <si>
    <t>E2EKD02AA801XC52</t>
  </si>
  <si>
    <t>E2EKD02AA801XC57</t>
  </si>
  <si>
    <t>E2EKD02AA801XC10</t>
  </si>
  <si>
    <t>E2EKD02AA801XM01</t>
  </si>
  <si>
    <t>E2EKD02AA801YC01</t>
  </si>
  <si>
    <t>E2EKD02AA801YC02</t>
  </si>
  <si>
    <t>Задвижка 2-13Г на входе линии 1</t>
  </si>
  <si>
    <t>E2EKD01AA001XB51</t>
  </si>
  <si>
    <t>E2EKD01AA001</t>
  </si>
  <si>
    <t>E2EKD01AA001XB52</t>
  </si>
  <si>
    <t>E2EKD01AA001XM01</t>
  </si>
  <si>
    <t>E2EKD01AA001XL01</t>
  </si>
  <si>
    <t>E2EKD01AA001YB01</t>
  </si>
  <si>
    <t>E2EKD01AA001YB02</t>
  </si>
  <si>
    <t>E2EKD01AA001YB03</t>
  </si>
  <si>
    <t>Задвижка 2-14Г на выходе линии 1</t>
  </si>
  <si>
    <t>E2EKD01AA002XB51</t>
  </si>
  <si>
    <t>E2EKD01AA002</t>
  </si>
  <si>
    <t>E2EKD01AA002XB52</t>
  </si>
  <si>
    <t>E2EKD01AA002XM01</t>
  </si>
  <si>
    <t>E2EKD01AA002XL01</t>
  </si>
  <si>
    <t>E2EKD01AA002YB01</t>
  </si>
  <si>
    <t>E2EKD01AA002YB02</t>
  </si>
  <si>
    <t>E2EKD01AA002YB03</t>
  </si>
  <si>
    <t>Задвижка 2-15Г на входе линии 2</t>
  </si>
  <si>
    <t>E2EKD02AA001XB51</t>
  </si>
  <si>
    <t>E2EKD02AA001</t>
  </si>
  <si>
    <t>E2EKD02AA001XB52</t>
  </si>
  <si>
    <t>E2EKD02AA001XM01</t>
  </si>
  <si>
    <t>E2EKD02AA001XL01</t>
  </si>
  <si>
    <t>E2EKD02AA001YB01</t>
  </si>
  <si>
    <t>E2EKD02AA001YB02</t>
  </si>
  <si>
    <t>E2EKD02AA001YB03</t>
  </si>
  <si>
    <t>Задвижка 2-16Г на выходе линии 2</t>
  </si>
  <si>
    <t>E2EKD02AA002XB51</t>
  </si>
  <si>
    <t>E2EKD02AA002</t>
  </si>
  <si>
    <t>E2EKD02AA002XB52</t>
  </si>
  <si>
    <t>E2EKD02AA002XM01</t>
  </si>
  <si>
    <t>E2EKD02AA002XL01</t>
  </si>
  <si>
    <t>E2EKD02AA002YB01</t>
  </si>
  <si>
    <t>E2EKD02AA002YB02</t>
  </si>
  <si>
    <t>E2EKD02AA002YB03</t>
  </si>
  <si>
    <t>Задвижка 2-17Г на байпасе ГРП-2</t>
  </si>
  <si>
    <t>E2EKG02AA001XB51</t>
  </si>
  <si>
    <t>E2EKG02AA001</t>
  </si>
  <si>
    <t>E2EKG02AA001XB52</t>
  </si>
  <si>
    <t>E2EKG02AA001XB06</t>
  </si>
  <si>
    <t>E2EKG02AA001XM01</t>
  </si>
  <si>
    <t>E2EKG02AA001XL01</t>
  </si>
  <si>
    <t>E2EKG02AA001YB01</t>
  </si>
  <si>
    <t>E2EKG02AA001YB02</t>
  </si>
  <si>
    <t>E2EKG02AA001YB03</t>
  </si>
  <si>
    <t>Задвижка 2-3Г на входе ГРП-2</t>
  </si>
  <si>
    <t>E2EKA01AA001XB51</t>
  </si>
  <si>
    <t>E2EKA01AA001</t>
  </si>
  <si>
    <t>E2EKA01AA001XB52</t>
  </si>
  <si>
    <t>E2EKA01AA001XB06</t>
  </si>
  <si>
    <t>E2EKA01AA001XM01</t>
  </si>
  <si>
    <t>E2EKA01AA001XL01</t>
  </si>
  <si>
    <t>E2EKA01AA001YB01</t>
  </si>
  <si>
    <t>E2EKA01AA001YB02</t>
  </si>
  <si>
    <t>E2EKA01AA001YB03</t>
  </si>
  <si>
    <t>Задвижка 2-19Г на выходе ГРП-2 к главному корпусу</t>
  </si>
  <si>
    <t>E2EKG11AA001XB51</t>
  </si>
  <si>
    <t>E2EKG11AA001</t>
  </si>
  <si>
    <t>E2EKG11AA001XB52</t>
  </si>
  <si>
    <t>E2EKG11AA001XB06</t>
  </si>
  <si>
    <t>E2EKG11AA001XM01</t>
  </si>
  <si>
    <t>E2EKG11AA001XL01</t>
  </si>
  <si>
    <t>E2EKG11AA001YB01</t>
  </si>
  <si>
    <t>E2EKG11AA001YB02</t>
  </si>
  <si>
    <t>E2EKG11AA001YB03</t>
  </si>
  <si>
    <t>Задвижка 4-ГД</t>
  </si>
  <si>
    <t>E2EKG11AA002XB51</t>
  </si>
  <si>
    <t>E2EKG11AA002</t>
  </si>
  <si>
    <t>E2EKG11AA002XB52</t>
  </si>
  <si>
    <t>E2EKG11AA002XB06</t>
  </si>
  <si>
    <t>E2EKG11AA002XM01</t>
  </si>
  <si>
    <t>E2EKG11AA002XL01</t>
  </si>
  <si>
    <t>E2EKG11AA002YB01</t>
  </si>
  <si>
    <t>E2EKG11AA002YB02</t>
  </si>
  <si>
    <t>E2EKG11AA002YB03</t>
  </si>
  <si>
    <t>Дисковый затвор ГК-2</t>
  </si>
  <si>
    <t>E2EKG12AA001XB01</t>
  </si>
  <si>
    <t>E2EKG12AA001</t>
  </si>
  <si>
    <t>E2EKG12AA001XB02</t>
  </si>
  <si>
    <t>E2EKG12AA001XB04</t>
  </si>
  <si>
    <t>E2EKG12AA001XB10</t>
  </si>
  <si>
    <t>E2EKG12AA001XM01</t>
  </si>
  <si>
    <t>E2EKG12AA001XL01</t>
  </si>
  <si>
    <t>E2EKG12AA001YB01</t>
  </si>
  <si>
    <t>E2EKG12AA001YB02</t>
  </si>
  <si>
    <t>E2EKG12AA001YB03</t>
  </si>
  <si>
    <t>E2UEN01CQ001XG01</t>
  </si>
  <si>
    <t>E2UEN01CQ001</t>
  </si>
  <si>
    <t>E2UEN01CQ001XG03</t>
  </si>
  <si>
    <t>E2UEN02CQ001</t>
  </si>
  <si>
    <t>E2CYE01CH001XM01</t>
  </si>
  <si>
    <t>E2CYE01CH001</t>
  </si>
  <si>
    <t>Сборка задвижек ГРП-2</t>
  </si>
  <si>
    <t>E2CDA01GH001XM01</t>
  </si>
  <si>
    <t>E2CDA01GH001</t>
  </si>
  <si>
    <t>Перемычка с высокой стороны между ГРП-1 ГРП-2</t>
  </si>
  <si>
    <t>Давление газа после регулятора (регулирование)</t>
  </si>
  <si>
    <t>E2EKA02СР001</t>
  </si>
  <si>
    <t>Давление газа после регулятора</t>
  </si>
  <si>
    <t>E2EKA02СР002</t>
  </si>
  <si>
    <t>Давление газа до регулятора</t>
  </si>
  <si>
    <t>E2EKA02СР003</t>
  </si>
  <si>
    <t>Расход газа</t>
  </si>
  <si>
    <t>E2EKA02СF001</t>
  </si>
  <si>
    <t>E2EKA02FF001</t>
  </si>
  <si>
    <t>Затвор со стороны газопровода на ГРП-2</t>
  </si>
  <si>
    <t>E2EKA02AA001XC02</t>
  </si>
  <si>
    <t>E2EKA02AA001</t>
  </si>
  <si>
    <t>E2EKA02AA001XC01</t>
  </si>
  <si>
    <t>E2EKA02AA001XM01</t>
  </si>
  <si>
    <t>E2EKA02AA001XL01</t>
  </si>
  <si>
    <t>E2EKA02AA001YB01</t>
  </si>
  <si>
    <t>E2EKA02AA001YB02</t>
  </si>
  <si>
    <t>E2EKA02AA001YB03</t>
  </si>
  <si>
    <t>Затвор со стороны газопровода на ГРП-1</t>
  </si>
  <si>
    <t>E2EKA02AA002XC02</t>
  </si>
  <si>
    <t>E2EKA02AA002</t>
  </si>
  <si>
    <t>E2EKA02AA002XC01</t>
  </si>
  <si>
    <t>E2EKA02AA002XM01</t>
  </si>
  <si>
    <t>E2EKA02AA002XL01</t>
  </si>
  <si>
    <t>E2EKA02AA002YB01</t>
  </si>
  <si>
    <t>E2EKA02AA002YB02</t>
  </si>
  <si>
    <t>E2EKA02AA002YB03</t>
  </si>
  <si>
    <t>Регулятор давления газа</t>
  </si>
  <si>
    <t>E2EKD01AA801XC02</t>
  </si>
  <si>
    <t>E2EKA02AA801</t>
  </si>
  <si>
    <t>E2EKD01AA801XC01</t>
  </si>
  <si>
    <t>E2EKD01AA801XM01</t>
  </si>
  <si>
    <t>E2EKA02AA801YC01</t>
  </si>
  <si>
    <t>E2EKA02AA801YC02</t>
  </si>
  <si>
    <t>1A</t>
  </si>
  <si>
    <t>1B</t>
  </si>
  <si>
    <t>A3.1</t>
  </si>
  <si>
    <t>A5.9</t>
  </si>
  <si>
    <t>C1</t>
  </si>
  <si>
    <t>B1</t>
  </si>
  <si>
    <t>A6.6</t>
  </si>
  <si>
    <t>32X</t>
  </si>
  <si>
    <t>2A</t>
  </si>
  <si>
    <t>2B</t>
  </si>
  <si>
    <t>C7</t>
  </si>
  <si>
    <t>B7</t>
  </si>
  <si>
    <t>3B</t>
  </si>
  <si>
    <t>3A</t>
  </si>
  <si>
    <t>33X</t>
  </si>
  <si>
    <t>C13</t>
  </si>
  <si>
    <t>B13</t>
  </si>
  <si>
    <t>5B</t>
  </si>
  <si>
    <t>5A</t>
  </si>
  <si>
    <t>34X</t>
  </si>
  <si>
    <t>4A</t>
  </si>
  <si>
    <t>4B</t>
  </si>
  <si>
    <t>C19</t>
  </si>
  <si>
    <t>B19</t>
  </si>
  <si>
    <t>C25</t>
  </si>
  <si>
    <t>B25</t>
  </si>
  <si>
    <t>6A</t>
  </si>
  <si>
    <t>6B</t>
  </si>
  <si>
    <t>C31</t>
  </si>
  <si>
    <t>B31</t>
  </si>
  <si>
    <t>7A</t>
  </si>
  <si>
    <t>7B</t>
  </si>
  <si>
    <t>C37</t>
  </si>
  <si>
    <t>B37</t>
  </si>
  <si>
    <t>8A</t>
  </si>
  <si>
    <t>8B</t>
  </si>
  <si>
    <t>C43</t>
  </si>
  <si>
    <t>B43</t>
  </si>
  <si>
    <t>C49</t>
  </si>
  <si>
    <t>B49</t>
  </si>
  <si>
    <t>C55</t>
  </si>
  <si>
    <t>B55</t>
  </si>
  <si>
    <t>C61</t>
  </si>
  <si>
    <t>B61</t>
  </si>
  <si>
    <t>C67</t>
  </si>
  <si>
    <t>B67</t>
  </si>
  <si>
    <t>C73</t>
  </si>
  <si>
    <t>B73</t>
  </si>
  <si>
    <t>C79</t>
  </si>
  <si>
    <t>B79</t>
  </si>
  <si>
    <t>C85</t>
  </si>
  <si>
    <t>B85</t>
  </si>
  <si>
    <t>C91</t>
  </si>
  <si>
    <t>B91</t>
  </si>
  <si>
    <t>C97</t>
  </si>
  <si>
    <t>B97</t>
  </si>
  <si>
    <t>C103</t>
  </si>
  <si>
    <t>B103</t>
  </si>
  <si>
    <t>C109</t>
  </si>
  <si>
    <t>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</si>
</sst>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/>
    </xf>
    <xf numFmtId="0" fontId="3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1" fillId="0" borderId="18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2" borderId="18" xfId="0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3" fillId="3" borderId="1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1" fillId="4" borderId="5" xfId="0" applyFont="1" applyFill="1" applyBorder="1" applyAlignment="1">
      <alignment horizontal="left" vertical="top" wrapText="1"/>
    </xf>
    <xf numFmtId="0" fontId="1" fillId="5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center" vertical="top" wrapText="1"/>
    </xf>
    <xf numFmtId="0" fontId="1" fillId="5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81"/>
  <sheetViews>
    <sheetView tabSelected="1" zoomScale="85" zoomScaleNormal="85" workbookViewId="0">
      <pane ySplit="2" topLeftCell="A10" activePane="bottomLeft" state="frozen"/>
      <selection pane="bottomLeft" activeCell="A134" sqref="A134:XFD372"/>
    </sheetView>
  </sheetViews>
  <sheetFormatPr defaultColWidth="14.42578125" defaultRowHeight="15" customHeight="1" x14ac:dyDescent="0.2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customWidth="1"/>
    <col min="16" max="16" width="16.28515625" customWidth="1"/>
    <col min="17" max="17" width="16.140625" customWidth="1"/>
    <col min="18" max="18" width="22.7109375" customWidth="1"/>
    <col min="19" max="19" width="22.28515625" customWidth="1"/>
    <col min="20" max="20" width="29.28515625" customWidth="1"/>
    <col min="21" max="21" width="13.7109375" customWidth="1"/>
    <col min="22" max="22" width="12.85546875" customWidth="1"/>
  </cols>
  <sheetData>
    <row r="1" spans="1:22" ht="33" customHeight="1" x14ac:dyDescent="0.2">
      <c r="A1" s="1" t="s">
        <v>0</v>
      </c>
      <c r="B1" s="2"/>
      <c r="C1" s="2"/>
      <c r="D1" s="1"/>
      <c r="E1" s="1" t="s">
        <v>1</v>
      </c>
      <c r="F1" s="1"/>
      <c r="G1" s="3">
        <f>SUM(I1:L1)</f>
        <v>129</v>
      </c>
      <c r="H1" s="1"/>
      <c r="I1" s="4">
        <f>SUM(I4:I3639)</f>
        <v>76</v>
      </c>
      <c r="J1" s="4">
        <f>SUM(J4:J3682)</f>
        <v>39</v>
      </c>
      <c r="K1" s="4">
        <f>SUM(K4:K3639)</f>
        <v>14</v>
      </c>
      <c r="L1" s="4">
        <f>SUM(L4:L3639)</f>
        <v>0</v>
      </c>
      <c r="M1" s="4">
        <f>SUM(M4:M3639)</f>
        <v>1</v>
      </c>
      <c r="N1" s="4">
        <f>SUM(N4:N3639)</f>
        <v>1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</row>
    <row r="2" spans="1:22" ht="45" x14ac:dyDescent="0.2">
      <c r="A2" s="6" t="s">
        <v>10</v>
      </c>
      <c r="B2" s="6"/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10" t="s">
        <v>22</v>
      </c>
      <c r="O2" s="5"/>
      <c r="P2" s="5"/>
      <c r="Q2" s="5"/>
      <c r="R2" s="5"/>
      <c r="S2" s="5" t="s">
        <v>23</v>
      </c>
      <c r="T2" s="5" t="s">
        <v>24</v>
      </c>
      <c r="U2" s="5" t="s">
        <v>25</v>
      </c>
      <c r="V2" s="5" t="s">
        <v>26</v>
      </c>
    </row>
    <row r="3" spans="1:22" ht="15.75" customHeight="1" thickBot="1" x14ac:dyDescent="0.3">
      <c r="A3" s="11"/>
      <c r="B3" s="12"/>
      <c r="C3" s="13"/>
      <c r="D3" s="14"/>
      <c r="E3" s="15"/>
      <c r="F3" s="15"/>
      <c r="G3" s="15"/>
      <c r="H3" s="16"/>
      <c r="I3" s="12"/>
      <c r="J3" s="12"/>
      <c r="K3" s="12"/>
      <c r="L3" s="12"/>
      <c r="M3" s="12"/>
      <c r="N3" s="12"/>
      <c r="O3" s="5"/>
      <c r="P3" s="5"/>
      <c r="Q3" s="5"/>
      <c r="R3" s="5"/>
      <c r="S3" s="5" t="s">
        <v>27</v>
      </c>
      <c r="T3" s="5" t="s">
        <v>28</v>
      </c>
      <c r="U3" s="5" t="s">
        <v>29</v>
      </c>
      <c r="V3" s="5"/>
    </row>
    <row r="4" spans="1:22" ht="15.75" customHeight="1" x14ac:dyDescent="0.2">
      <c r="A4" s="17"/>
      <c r="B4" s="68" t="s">
        <v>28</v>
      </c>
      <c r="C4" s="65" t="s">
        <v>73</v>
      </c>
      <c r="D4" s="18"/>
      <c r="E4" s="19" t="s">
        <v>74</v>
      </c>
      <c r="F4" s="20" t="s">
        <v>25</v>
      </c>
      <c r="G4" s="20" t="s">
        <v>9</v>
      </c>
      <c r="H4" s="21" t="s">
        <v>6</v>
      </c>
      <c r="I4" s="22">
        <f t="shared" ref="I4:I133" si="0">IF(AND(F4="дискретный", G4="входящий"),1, )</f>
        <v>0</v>
      </c>
      <c r="J4" s="22">
        <f t="shared" ref="J4:J133" si="1">IF(AND(F4="дискретный", G4="исходящий"),1, )</f>
        <v>0</v>
      </c>
      <c r="K4" s="22">
        <f t="shared" ref="K4:K133" si="2">IF(AND(F4="аналоговый", G4="входящий"),1, )</f>
        <v>1</v>
      </c>
      <c r="L4" s="22">
        <f t="shared" ref="L4:L133" si="3">IF(AND(F4="аналоговый", G4="исходящий"),1, )</f>
        <v>0</v>
      </c>
      <c r="M4" s="22">
        <f t="shared" ref="M4:M133" si="4">IF(F4="цифровой",1, )</f>
        <v>0</v>
      </c>
      <c r="N4" s="23">
        <f>IF(F4="цифровой",IF(AND(#REF!="цифровой",OR(#REF!=1,#REF!="")),"",1),0)</f>
        <v>0</v>
      </c>
      <c r="O4" s="44" t="s">
        <v>75</v>
      </c>
      <c r="P4" s="43"/>
      <c r="Q4" s="43"/>
      <c r="R4" s="43"/>
      <c r="S4" s="5" t="s">
        <v>30</v>
      </c>
      <c r="T4" s="5" t="s">
        <v>31</v>
      </c>
      <c r="U4" s="5"/>
      <c r="V4" s="5"/>
    </row>
    <row r="5" spans="1:22" ht="15.75" customHeight="1" x14ac:dyDescent="0.2">
      <c r="A5" s="25"/>
      <c r="B5" s="63"/>
      <c r="C5" s="63"/>
      <c r="D5" s="26"/>
      <c r="E5" s="27" t="s">
        <v>76</v>
      </c>
      <c r="F5" s="28" t="s">
        <v>25</v>
      </c>
      <c r="G5" s="28" t="s">
        <v>9</v>
      </c>
      <c r="H5" s="29" t="s">
        <v>6</v>
      </c>
      <c r="I5" s="30">
        <f t="shared" si="0"/>
        <v>0</v>
      </c>
      <c r="J5" s="30">
        <f t="shared" si="1"/>
        <v>0</v>
      </c>
      <c r="K5" s="30">
        <f t="shared" si="2"/>
        <v>1</v>
      </c>
      <c r="L5" s="30">
        <f t="shared" si="3"/>
        <v>0</v>
      </c>
      <c r="M5" s="30">
        <f t="shared" si="4"/>
        <v>0</v>
      </c>
      <c r="N5" s="31">
        <f>IF(F5="цифровой",IF(AND(F4="цифровой",OR(N4=1,N4="")),"",1),0)</f>
        <v>0</v>
      </c>
      <c r="O5" s="44" t="s">
        <v>77</v>
      </c>
      <c r="P5" s="43"/>
      <c r="Q5" s="43"/>
      <c r="R5" s="43"/>
      <c r="S5" s="24" t="s">
        <v>32</v>
      </c>
      <c r="T5" s="5" t="s">
        <v>33</v>
      </c>
      <c r="U5" s="5"/>
      <c r="V5" s="5"/>
    </row>
    <row r="6" spans="1:22" ht="15.75" customHeight="1" x14ac:dyDescent="0.2">
      <c r="A6" s="25"/>
      <c r="B6" s="63"/>
      <c r="C6" s="63"/>
      <c r="D6" s="26"/>
      <c r="E6" s="27" t="s">
        <v>78</v>
      </c>
      <c r="F6" s="28" t="s">
        <v>25</v>
      </c>
      <c r="G6" s="28" t="s">
        <v>9</v>
      </c>
      <c r="H6" s="29" t="s">
        <v>6</v>
      </c>
      <c r="I6" s="30">
        <f t="shared" si="0"/>
        <v>0</v>
      </c>
      <c r="J6" s="30">
        <f t="shared" si="1"/>
        <v>0</v>
      </c>
      <c r="K6" s="30">
        <f t="shared" si="2"/>
        <v>1</v>
      </c>
      <c r="L6" s="30">
        <f t="shared" si="3"/>
        <v>0</v>
      </c>
      <c r="M6" s="30">
        <f t="shared" si="4"/>
        <v>0</v>
      </c>
      <c r="N6" s="31">
        <f>IF(F6="цифровой",IF(AND(#REF!="цифровой",OR(#REF!=1,#REF!="")),"",1),0)</f>
        <v>0</v>
      </c>
      <c r="O6" s="44" t="s">
        <v>79</v>
      </c>
      <c r="P6" s="43"/>
      <c r="Q6" s="43"/>
      <c r="R6" s="43"/>
      <c r="S6" s="5" t="s">
        <v>34</v>
      </c>
      <c r="T6" s="5" t="s">
        <v>35</v>
      </c>
      <c r="U6" s="5"/>
      <c r="V6" s="5"/>
    </row>
    <row r="7" spans="1:22" ht="15.75" customHeight="1" x14ac:dyDescent="0.2">
      <c r="A7" s="25"/>
      <c r="B7" s="63"/>
      <c r="C7" s="63"/>
      <c r="D7" s="26"/>
      <c r="E7" s="27" t="s">
        <v>80</v>
      </c>
      <c r="F7" s="28" t="s">
        <v>25</v>
      </c>
      <c r="G7" s="28" t="s">
        <v>9</v>
      </c>
      <c r="H7" s="29" t="s">
        <v>6</v>
      </c>
      <c r="I7" s="30">
        <f t="shared" si="0"/>
        <v>0</v>
      </c>
      <c r="J7" s="30">
        <f t="shared" si="1"/>
        <v>0</v>
      </c>
      <c r="K7" s="30">
        <f t="shared" si="2"/>
        <v>1</v>
      </c>
      <c r="L7" s="30">
        <f t="shared" si="3"/>
        <v>0</v>
      </c>
      <c r="M7" s="30">
        <f t="shared" si="4"/>
        <v>0</v>
      </c>
      <c r="N7" s="31">
        <f t="shared" ref="N7:N10" si="5">IF(F7="цифровой",IF(AND(F5="цифровой",OR(N5=1,N5="")),"",1),0)</f>
        <v>0</v>
      </c>
      <c r="O7" s="44" t="s">
        <v>81</v>
      </c>
      <c r="P7" s="43"/>
      <c r="Q7" s="43"/>
      <c r="R7" s="43"/>
      <c r="S7" s="5" t="s">
        <v>36</v>
      </c>
      <c r="T7" s="5"/>
      <c r="U7" s="5"/>
      <c r="V7" s="5"/>
    </row>
    <row r="8" spans="1:22" ht="15.75" customHeight="1" x14ac:dyDescent="0.2">
      <c r="A8" s="25"/>
      <c r="B8" s="63"/>
      <c r="C8" s="63"/>
      <c r="D8" s="26"/>
      <c r="E8" s="27" t="s">
        <v>80</v>
      </c>
      <c r="F8" s="28" t="s">
        <v>25</v>
      </c>
      <c r="G8" s="28" t="s">
        <v>9</v>
      </c>
      <c r="H8" s="29" t="s">
        <v>6</v>
      </c>
      <c r="I8" s="30">
        <f t="shared" si="0"/>
        <v>0</v>
      </c>
      <c r="J8" s="30">
        <f t="shared" si="1"/>
        <v>0</v>
      </c>
      <c r="K8" s="30">
        <f t="shared" si="2"/>
        <v>1</v>
      </c>
      <c r="L8" s="30">
        <f t="shared" si="3"/>
        <v>0</v>
      </c>
      <c r="M8" s="30">
        <f t="shared" si="4"/>
        <v>0</v>
      </c>
      <c r="N8" s="31">
        <f t="shared" si="5"/>
        <v>0</v>
      </c>
      <c r="O8" s="44" t="s">
        <v>82</v>
      </c>
      <c r="P8" s="43"/>
      <c r="Q8" s="43"/>
      <c r="R8" s="43"/>
      <c r="S8" s="5" t="s">
        <v>37</v>
      </c>
      <c r="T8" s="5"/>
      <c r="U8" s="5"/>
      <c r="V8" s="5"/>
    </row>
    <row r="9" spans="1:22" ht="15.75" customHeight="1" x14ac:dyDescent="0.2">
      <c r="A9" s="25"/>
      <c r="B9" s="63"/>
      <c r="C9" s="63"/>
      <c r="D9" s="26"/>
      <c r="E9" s="27" t="s">
        <v>80</v>
      </c>
      <c r="F9" s="28" t="s">
        <v>25</v>
      </c>
      <c r="G9" s="28" t="s">
        <v>9</v>
      </c>
      <c r="H9" s="29" t="s">
        <v>6</v>
      </c>
      <c r="I9" s="30">
        <f t="shared" si="0"/>
        <v>0</v>
      </c>
      <c r="J9" s="30">
        <f t="shared" si="1"/>
        <v>0</v>
      </c>
      <c r="K9" s="30">
        <f t="shared" si="2"/>
        <v>1</v>
      </c>
      <c r="L9" s="30">
        <f t="shared" si="3"/>
        <v>0</v>
      </c>
      <c r="M9" s="30">
        <f t="shared" si="4"/>
        <v>0</v>
      </c>
      <c r="N9" s="31">
        <f t="shared" si="5"/>
        <v>0</v>
      </c>
      <c r="O9" s="44" t="s">
        <v>83</v>
      </c>
      <c r="P9" s="43"/>
      <c r="Q9" s="43"/>
      <c r="R9" s="43"/>
      <c r="S9" s="5" t="s">
        <v>38</v>
      </c>
      <c r="T9" s="5"/>
      <c r="U9" s="5"/>
      <c r="V9" s="5"/>
    </row>
    <row r="10" spans="1:22" x14ac:dyDescent="0.2">
      <c r="A10" s="25"/>
      <c r="B10" s="63"/>
      <c r="C10" s="63"/>
      <c r="D10" s="26"/>
      <c r="E10" s="27" t="s">
        <v>84</v>
      </c>
      <c r="F10" s="28" t="s">
        <v>25</v>
      </c>
      <c r="G10" s="28" t="s">
        <v>9</v>
      </c>
      <c r="H10" s="29" t="s">
        <v>36</v>
      </c>
      <c r="I10" s="30">
        <f t="shared" si="0"/>
        <v>0</v>
      </c>
      <c r="J10" s="30">
        <f t="shared" si="1"/>
        <v>0</v>
      </c>
      <c r="K10" s="30">
        <f t="shared" si="2"/>
        <v>1</v>
      </c>
      <c r="L10" s="30">
        <f t="shared" si="3"/>
        <v>0</v>
      </c>
      <c r="M10" s="30">
        <f t="shared" si="4"/>
        <v>0</v>
      </c>
      <c r="N10" s="31">
        <f t="shared" si="5"/>
        <v>0</v>
      </c>
      <c r="O10" s="44" t="s">
        <v>85</v>
      </c>
      <c r="P10" s="43"/>
      <c r="Q10" s="43"/>
      <c r="R10" s="43"/>
      <c r="S10" s="5" t="s">
        <v>39</v>
      </c>
      <c r="T10" s="5"/>
      <c r="U10" s="5"/>
      <c r="V10" s="5"/>
    </row>
    <row r="11" spans="1:22" ht="15.75" thickBot="1" x14ac:dyDescent="0.25">
      <c r="A11" s="25"/>
      <c r="B11" s="63"/>
      <c r="C11" s="63"/>
      <c r="D11" s="33"/>
      <c r="E11" s="34" t="s">
        <v>86</v>
      </c>
      <c r="F11" s="35" t="s">
        <v>25</v>
      </c>
      <c r="G11" s="35" t="s">
        <v>9</v>
      </c>
      <c r="H11" s="36" t="s">
        <v>36</v>
      </c>
      <c r="I11" s="37">
        <f t="shared" si="0"/>
        <v>0</v>
      </c>
      <c r="J11" s="37">
        <f t="shared" si="1"/>
        <v>0</v>
      </c>
      <c r="K11" s="37">
        <f t="shared" si="2"/>
        <v>1</v>
      </c>
      <c r="L11" s="37">
        <f t="shared" si="3"/>
        <v>0</v>
      </c>
      <c r="M11" s="37">
        <f t="shared" si="4"/>
        <v>0</v>
      </c>
      <c r="N11" s="38">
        <f>IF(F11="цифровой",IF(AND(#REF!="цифровой",OR(#REF!=1,#REF!="")),"",1),0)</f>
        <v>0</v>
      </c>
      <c r="O11" s="44" t="s">
        <v>87</v>
      </c>
      <c r="P11" s="43"/>
      <c r="Q11" s="43"/>
      <c r="R11" s="43"/>
      <c r="S11" s="5" t="s">
        <v>40</v>
      </c>
      <c r="T11" s="5"/>
      <c r="U11" s="5"/>
      <c r="V11" s="5"/>
    </row>
    <row r="12" spans="1:22" ht="15.75" customHeight="1" x14ac:dyDescent="0.2">
      <c r="A12" s="25"/>
      <c r="B12" s="63"/>
      <c r="C12" s="63"/>
      <c r="D12" s="62" t="s">
        <v>88</v>
      </c>
      <c r="E12" s="19" t="s">
        <v>42</v>
      </c>
      <c r="F12" s="20" t="s">
        <v>25</v>
      </c>
      <c r="G12" s="20" t="s">
        <v>9</v>
      </c>
      <c r="H12" s="21" t="s">
        <v>6</v>
      </c>
      <c r="I12" s="22">
        <f t="shared" si="0"/>
        <v>0</v>
      </c>
      <c r="J12" s="22">
        <f t="shared" si="1"/>
        <v>0</v>
      </c>
      <c r="K12" s="22">
        <f t="shared" si="2"/>
        <v>1</v>
      </c>
      <c r="L12" s="22">
        <f t="shared" si="3"/>
        <v>0</v>
      </c>
      <c r="M12" s="22">
        <f t="shared" si="4"/>
        <v>0</v>
      </c>
      <c r="N12" s="23">
        <f>IF(F12="цифровой",IF(AND(#REF!="цифровой",OR(#REF!=1,#REF!="")),"",1),0)</f>
        <v>0</v>
      </c>
      <c r="O12" s="44" t="s">
        <v>89</v>
      </c>
      <c r="P12" s="43"/>
      <c r="Q12" s="43"/>
      <c r="R12" s="43"/>
      <c r="S12" s="5" t="s">
        <v>41</v>
      </c>
      <c r="T12" s="5"/>
      <c r="U12" s="5"/>
      <c r="V12" s="5"/>
    </row>
    <row r="13" spans="1:22" ht="15.75" customHeight="1" x14ac:dyDescent="0.2">
      <c r="A13" s="25"/>
      <c r="B13" s="63"/>
      <c r="C13" s="63"/>
      <c r="D13" s="63"/>
      <c r="E13" s="27" t="s">
        <v>43</v>
      </c>
      <c r="F13" s="28" t="s">
        <v>8</v>
      </c>
      <c r="G13" s="28" t="s">
        <v>9</v>
      </c>
      <c r="H13" s="29" t="s">
        <v>32</v>
      </c>
      <c r="I13" s="30">
        <f t="shared" si="0"/>
        <v>1</v>
      </c>
      <c r="J13" s="30">
        <f t="shared" si="1"/>
        <v>0</v>
      </c>
      <c r="K13" s="30">
        <f t="shared" si="2"/>
        <v>0</v>
      </c>
      <c r="L13" s="30">
        <f t="shared" si="3"/>
        <v>0</v>
      </c>
      <c r="M13" s="30">
        <f t="shared" si="4"/>
        <v>0</v>
      </c>
      <c r="N13" s="31">
        <f>IF(F13="цифровой",IF(AND(F11="цифровой",OR(N11=1,N11="")),"",1),0)</f>
        <v>0</v>
      </c>
      <c r="O13" s="44" t="s">
        <v>90</v>
      </c>
      <c r="P13" s="43"/>
      <c r="Q13" s="44" t="s">
        <v>91</v>
      </c>
      <c r="R13" s="43"/>
      <c r="S13" s="5"/>
      <c r="T13" s="5"/>
      <c r="U13" s="5"/>
      <c r="V13" s="5"/>
    </row>
    <row r="14" spans="1:22" x14ac:dyDescent="0.2">
      <c r="A14" s="25"/>
      <c r="B14" s="63"/>
      <c r="C14" s="63"/>
      <c r="D14" s="63"/>
      <c r="E14" s="27" t="s">
        <v>44</v>
      </c>
      <c r="F14" s="28" t="s">
        <v>8</v>
      </c>
      <c r="G14" s="28" t="s">
        <v>9</v>
      </c>
      <c r="H14" s="29" t="s">
        <v>32</v>
      </c>
      <c r="I14" s="30">
        <f t="shared" si="0"/>
        <v>1</v>
      </c>
      <c r="J14" s="30">
        <f t="shared" si="1"/>
        <v>0</v>
      </c>
      <c r="K14" s="30">
        <f t="shared" si="2"/>
        <v>0</v>
      </c>
      <c r="L14" s="30">
        <f t="shared" si="3"/>
        <v>0</v>
      </c>
      <c r="M14" s="30">
        <f t="shared" si="4"/>
        <v>0</v>
      </c>
      <c r="N14" s="31">
        <f t="shared" ref="N14:N15" si="6">IF(F14="цифровой",IF(AND(F13="цифровой",OR(N13=1,N13="")),"",1),0)</f>
        <v>0</v>
      </c>
      <c r="O14" s="44" t="s">
        <v>92</v>
      </c>
      <c r="P14" s="43"/>
      <c r="Q14" s="43"/>
      <c r="R14" s="43"/>
      <c r="S14" s="5"/>
      <c r="T14" s="5"/>
      <c r="U14" s="5"/>
      <c r="V14" s="5"/>
    </row>
    <row r="15" spans="1:22" x14ac:dyDescent="0.2">
      <c r="A15" s="25"/>
      <c r="B15" s="63"/>
      <c r="C15" s="63"/>
      <c r="D15" s="63"/>
      <c r="E15" s="27" t="s">
        <v>46</v>
      </c>
      <c r="F15" s="28" t="s">
        <v>8</v>
      </c>
      <c r="G15" s="28" t="s">
        <v>9</v>
      </c>
      <c r="H15" s="29" t="s">
        <v>32</v>
      </c>
      <c r="I15" s="30">
        <f t="shared" si="0"/>
        <v>1</v>
      </c>
      <c r="J15" s="30">
        <f t="shared" si="1"/>
        <v>0</v>
      </c>
      <c r="K15" s="30">
        <f t="shared" si="2"/>
        <v>0</v>
      </c>
      <c r="L15" s="30">
        <f t="shared" si="3"/>
        <v>0</v>
      </c>
      <c r="M15" s="30">
        <f t="shared" si="4"/>
        <v>0</v>
      </c>
      <c r="N15" s="31">
        <f t="shared" si="6"/>
        <v>0</v>
      </c>
      <c r="O15" s="44" t="s">
        <v>93</v>
      </c>
      <c r="P15" s="43"/>
      <c r="Q15" s="43"/>
      <c r="R15" s="43"/>
      <c r="S15" s="5"/>
      <c r="T15" s="5"/>
      <c r="U15" s="5"/>
      <c r="V15" s="5"/>
    </row>
    <row r="16" spans="1:22" ht="15.75" customHeight="1" x14ac:dyDescent="0.2">
      <c r="A16" s="25"/>
      <c r="B16" s="63"/>
      <c r="C16" s="63"/>
      <c r="D16" s="63"/>
      <c r="E16" s="27" t="s">
        <v>47</v>
      </c>
      <c r="F16" s="28" t="s">
        <v>8</v>
      </c>
      <c r="G16" s="28" t="s">
        <v>9</v>
      </c>
      <c r="H16" s="29" t="s">
        <v>32</v>
      </c>
      <c r="I16" s="30">
        <f t="shared" si="0"/>
        <v>1</v>
      </c>
      <c r="J16" s="30">
        <f t="shared" si="1"/>
        <v>0</v>
      </c>
      <c r="K16" s="30">
        <f t="shared" si="2"/>
        <v>0</v>
      </c>
      <c r="L16" s="30">
        <f t="shared" si="3"/>
        <v>0</v>
      </c>
      <c r="M16" s="30">
        <f t="shared" si="4"/>
        <v>0</v>
      </c>
      <c r="N16" s="31">
        <f>IF(F16="цифровой",IF(AND(#REF!="цифровой",OR(#REF!=1,#REF!="")),"",1),0)</f>
        <v>0</v>
      </c>
      <c r="O16" s="44" t="s">
        <v>94</v>
      </c>
      <c r="P16" s="43"/>
      <c r="Q16" s="43"/>
      <c r="R16" s="43"/>
      <c r="S16" s="5"/>
      <c r="T16" s="5"/>
      <c r="U16" s="5"/>
      <c r="V16" s="5"/>
    </row>
    <row r="17" spans="1:22" ht="15.75" customHeight="1" x14ac:dyDescent="0.2">
      <c r="A17" s="25"/>
      <c r="B17" s="63"/>
      <c r="C17" s="63"/>
      <c r="D17" s="63"/>
      <c r="E17" s="27" t="s">
        <v>48</v>
      </c>
      <c r="F17" s="28" t="s">
        <v>8</v>
      </c>
      <c r="G17" s="28" t="s">
        <v>9</v>
      </c>
      <c r="H17" s="29" t="s">
        <v>32</v>
      </c>
      <c r="I17" s="30">
        <f t="shared" si="0"/>
        <v>1</v>
      </c>
      <c r="J17" s="30">
        <f t="shared" si="1"/>
        <v>0</v>
      </c>
      <c r="K17" s="30">
        <f t="shared" si="2"/>
        <v>0</v>
      </c>
      <c r="L17" s="30">
        <f t="shared" si="3"/>
        <v>0</v>
      </c>
      <c r="M17" s="30">
        <f t="shared" si="4"/>
        <v>0</v>
      </c>
      <c r="N17" s="31">
        <f t="shared" ref="N17:N19" si="7">IF(F17="цифровой",IF(AND(F16="цифровой",OR(N16=1,N16="")),"",1),0)</f>
        <v>0</v>
      </c>
      <c r="O17" s="44" t="s">
        <v>95</v>
      </c>
      <c r="P17" s="43"/>
      <c r="Q17" s="43"/>
      <c r="R17" s="43"/>
      <c r="S17" s="5"/>
      <c r="T17" s="5"/>
      <c r="U17" s="5"/>
      <c r="V17" s="5"/>
    </row>
    <row r="18" spans="1:22" ht="15.75" customHeight="1" x14ac:dyDescent="0.2">
      <c r="A18" s="25"/>
      <c r="B18" s="63"/>
      <c r="C18" s="63"/>
      <c r="D18" s="63"/>
      <c r="E18" s="27" t="s">
        <v>49</v>
      </c>
      <c r="F18" s="28" t="s">
        <v>8</v>
      </c>
      <c r="G18" s="28" t="s">
        <v>26</v>
      </c>
      <c r="H18" s="29" t="s">
        <v>32</v>
      </c>
      <c r="I18" s="30">
        <f t="shared" si="0"/>
        <v>0</v>
      </c>
      <c r="J18" s="30">
        <f t="shared" si="1"/>
        <v>1</v>
      </c>
      <c r="K18" s="30">
        <f t="shared" si="2"/>
        <v>0</v>
      </c>
      <c r="L18" s="30">
        <f t="shared" si="3"/>
        <v>0</v>
      </c>
      <c r="M18" s="30">
        <f t="shared" si="4"/>
        <v>0</v>
      </c>
      <c r="N18" s="31">
        <f t="shared" si="7"/>
        <v>0</v>
      </c>
      <c r="O18" s="44" t="s">
        <v>96</v>
      </c>
      <c r="P18" s="43"/>
      <c r="Q18" s="43"/>
      <c r="R18" s="43"/>
      <c r="S18" s="5"/>
      <c r="T18" s="5"/>
      <c r="U18" s="5"/>
      <c r="V18" s="5"/>
    </row>
    <row r="19" spans="1:22" ht="15.75" customHeight="1" thickBot="1" x14ac:dyDescent="0.25">
      <c r="A19" s="25"/>
      <c r="B19" s="63"/>
      <c r="C19" s="63"/>
      <c r="D19" s="64"/>
      <c r="E19" s="34" t="s">
        <v>50</v>
      </c>
      <c r="F19" s="35" t="s">
        <v>8</v>
      </c>
      <c r="G19" s="35" t="s">
        <v>26</v>
      </c>
      <c r="H19" s="36" t="s">
        <v>32</v>
      </c>
      <c r="I19" s="37">
        <f t="shared" si="0"/>
        <v>0</v>
      </c>
      <c r="J19" s="37">
        <f t="shared" si="1"/>
        <v>1</v>
      </c>
      <c r="K19" s="37">
        <f t="shared" si="2"/>
        <v>0</v>
      </c>
      <c r="L19" s="37">
        <f t="shared" si="3"/>
        <v>0</v>
      </c>
      <c r="M19" s="37">
        <f t="shared" si="4"/>
        <v>0</v>
      </c>
      <c r="N19" s="38">
        <f t="shared" si="7"/>
        <v>0</v>
      </c>
      <c r="O19" s="44" t="s">
        <v>97</v>
      </c>
      <c r="P19" s="43"/>
      <c r="Q19" s="43"/>
      <c r="R19" s="43"/>
      <c r="S19" s="5"/>
      <c r="T19" s="5"/>
      <c r="U19" s="5"/>
      <c r="V19" s="5"/>
    </row>
    <row r="20" spans="1:22" ht="15.75" customHeight="1" x14ac:dyDescent="0.2">
      <c r="A20" s="25"/>
      <c r="B20" s="63"/>
      <c r="C20" s="63"/>
      <c r="D20" s="62" t="s">
        <v>98</v>
      </c>
      <c r="E20" s="19" t="s">
        <v>42</v>
      </c>
      <c r="F20" s="20" t="s">
        <v>25</v>
      </c>
      <c r="G20" s="20" t="s">
        <v>9</v>
      </c>
      <c r="H20" s="21" t="s">
        <v>6</v>
      </c>
      <c r="I20" s="22">
        <f t="shared" si="0"/>
        <v>0</v>
      </c>
      <c r="J20" s="22">
        <f t="shared" si="1"/>
        <v>0</v>
      </c>
      <c r="K20" s="22">
        <f t="shared" si="2"/>
        <v>1</v>
      </c>
      <c r="L20" s="22">
        <f t="shared" si="3"/>
        <v>0</v>
      </c>
      <c r="M20" s="22">
        <f t="shared" si="4"/>
        <v>0</v>
      </c>
      <c r="N20" s="23">
        <f>IF(F20="цифровой",IF(AND(#REF!="цифровой",OR(#REF!=1,#REF!="")),"",1),0)</f>
        <v>0</v>
      </c>
      <c r="O20" s="44" t="s">
        <v>99</v>
      </c>
      <c r="P20" s="43"/>
      <c r="Q20" s="43"/>
      <c r="R20" s="43"/>
      <c r="S20" s="5"/>
      <c r="T20" s="5"/>
      <c r="U20" s="5"/>
      <c r="V20" s="5"/>
    </row>
    <row r="21" spans="1:22" ht="15.75" customHeight="1" x14ac:dyDescent="0.2">
      <c r="A21" s="25"/>
      <c r="B21" s="63"/>
      <c r="C21" s="63"/>
      <c r="D21" s="63"/>
      <c r="E21" s="27" t="s">
        <v>43</v>
      </c>
      <c r="F21" s="28" t="s">
        <v>8</v>
      </c>
      <c r="G21" s="28" t="s">
        <v>9</v>
      </c>
      <c r="H21" s="29" t="s">
        <v>32</v>
      </c>
      <c r="I21" s="30">
        <f t="shared" si="0"/>
        <v>1</v>
      </c>
      <c r="J21" s="30">
        <f t="shared" si="1"/>
        <v>0</v>
      </c>
      <c r="K21" s="30">
        <f t="shared" si="2"/>
        <v>0</v>
      </c>
      <c r="L21" s="30">
        <f t="shared" si="3"/>
        <v>0</v>
      </c>
      <c r="M21" s="30">
        <f t="shared" si="4"/>
        <v>0</v>
      </c>
      <c r="N21" s="31">
        <f>IF(F21="цифровой",IF(AND(F17="цифровой",OR(N17=1,N17="")),"",1),0)</f>
        <v>0</v>
      </c>
      <c r="O21" s="44" t="s">
        <v>100</v>
      </c>
      <c r="P21" s="43"/>
      <c r="Q21" s="44" t="s">
        <v>101</v>
      </c>
      <c r="R21" s="43"/>
      <c r="S21" s="5"/>
      <c r="T21" s="5"/>
      <c r="U21" s="5"/>
      <c r="V21" s="5"/>
    </row>
    <row r="22" spans="1:22" ht="15.75" customHeight="1" x14ac:dyDescent="0.2">
      <c r="A22" s="25"/>
      <c r="B22" s="63"/>
      <c r="C22" s="63"/>
      <c r="D22" s="63"/>
      <c r="E22" s="27" t="s">
        <v>44</v>
      </c>
      <c r="F22" s="28" t="s">
        <v>8</v>
      </c>
      <c r="G22" s="28" t="s">
        <v>9</v>
      </c>
      <c r="H22" s="29" t="s">
        <v>32</v>
      </c>
      <c r="I22" s="30">
        <f t="shared" si="0"/>
        <v>1</v>
      </c>
      <c r="J22" s="30">
        <f t="shared" si="1"/>
        <v>0</v>
      </c>
      <c r="K22" s="30">
        <f t="shared" si="2"/>
        <v>0</v>
      </c>
      <c r="L22" s="30">
        <f t="shared" si="3"/>
        <v>0</v>
      </c>
      <c r="M22" s="30">
        <f t="shared" si="4"/>
        <v>0</v>
      </c>
      <c r="N22" s="31">
        <f t="shared" ref="N22:N23" si="8">IF(F22="цифровой",IF(AND(F21="цифровой",OR(N21=1,N21="")),"",1),0)</f>
        <v>0</v>
      </c>
      <c r="O22" s="44" t="s">
        <v>102</v>
      </c>
      <c r="P22" s="43"/>
      <c r="Q22" s="43"/>
      <c r="R22" s="43"/>
      <c r="S22" s="5"/>
      <c r="T22" s="5"/>
      <c r="U22" s="5"/>
      <c r="V22" s="5"/>
    </row>
    <row r="23" spans="1:22" ht="15.75" customHeight="1" x14ac:dyDescent="0.2">
      <c r="A23" s="25"/>
      <c r="B23" s="63"/>
      <c r="C23" s="63"/>
      <c r="D23" s="63"/>
      <c r="E23" s="27" t="s">
        <v>46</v>
      </c>
      <c r="F23" s="28" t="s">
        <v>8</v>
      </c>
      <c r="G23" s="28" t="s">
        <v>9</v>
      </c>
      <c r="H23" s="29" t="s">
        <v>32</v>
      </c>
      <c r="I23" s="30">
        <f t="shared" si="0"/>
        <v>1</v>
      </c>
      <c r="J23" s="30">
        <f t="shared" si="1"/>
        <v>0</v>
      </c>
      <c r="K23" s="30">
        <f t="shared" si="2"/>
        <v>0</v>
      </c>
      <c r="L23" s="30">
        <f t="shared" si="3"/>
        <v>0</v>
      </c>
      <c r="M23" s="30">
        <f t="shared" si="4"/>
        <v>0</v>
      </c>
      <c r="N23" s="31">
        <f t="shared" si="8"/>
        <v>0</v>
      </c>
      <c r="O23" s="44" t="s">
        <v>103</v>
      </c>
      <c r="P23" s="43"/>
      <c r="Q23" s="43"/>
      <c r="R23" s="43"/>
      <c r="S23" s="5"/>
      <c r="T23" s="5"/>
      <c r="U23" s="5"/>
      <c r="V23" s="5"/>
    </row>
    <row r="24" spans="1:22" ht="15.75" customHeight="1" x14ac:dyDescent="0.2">
      <c r="A24" s="25"/>
      <c r="B24" s="63"/>
      <c r="C24" s="63"/>
      <c r="D24" s="63"/>
      <c r="E24" s="27" t="s">
        <v>47</v>
      </c>
      <c r="F24" s="28" t="s">
        <v>8</v>
      </c>
      <c r="G24" s="28" t="s">
        <v>9</v>
      </c>
      <c r="H24" s="29" t="s">
        <v>32</v>
      </c>
      <c r="I24" s="30">
        <f t="shared" si="0"/>
        <v>1</v>
      </c>
      <c r="J24" s="30">
        <f t="shared" si="1"/>
        <v>0</v>
      </c>
      <c r="K24" s="30">
        <f t="shared" si="2"/>
        <v>0</v>
      </c>
      <c r="L24" s="30">
        <f t="shared" si="3"/>
        <v>0</v>
      </c>
      <c r="M24" s="30">
        <f t="shared" si="4"/>
        <v>0</v>
      </c>
      <c r="N24" s="31">
        <f>IF(F24="цифровой",IF(AND(#REF!="цифровой",OR(#REF!=1,#REF!="")),"",1),0)</f>
        <v>0</v>
      </c>
      <c r="O24" s="44" t="s">
        <v>104</v>
      </c>
      <c r="P24" s="43"/>
      <c r="Q24" s="43"/>
      <c r="R24" s="43"/>
      <c r="S24" s="5"/>
      <c r="T24" s="5"/>
      <c r="U24" s="5"/>
      <c r="V24" s="5"/>
    </row>
    <row r="25" spans="1:22" ht="15.75" customHeight="1" x14ac:dyDescent="0.2">
      <c r="A25" s="25"/>
      <c r="B25" s="63"/>
      <c r="C25" s="63"/>
      <c r="D25" s="63"/>
      <c r="E25" s="27" t="s">
        <v>48</v>
      </c>
      <c r="F25" s="28" t="s">
        <v>8</v>
      </c>
      <c r="G25" s="28" t="s">
        <v>9</v>
      </c>
      <c r="H25" s="29" t="s">
        <v>32</v>
      </c>
      <c r="I25" s="30">
        <f t="shared" si="0"/>
        <v>1</v>
      </c>
      <c r="J25" s="30">
        <f t="shared" si="1"/>
        <v>0</v>
      </c>
      <c r="K25" s="30">
        <f t="shared" si="2"/>
        <v>0</v>
      </c>
      <c r="L25" s="30">
        <f t="shared" si="3"/>
        <v>0</v>
      </c>
      <c r="M25" s="30">
        <f t="shared" si="4"/>
        <v>0</v>
      </c>
      <c r="N25" s="31">
        <f t="shared" ref="N25:N27" si="9">IF(F25="цифровой",IF(AND(F24="цифровой",OR(N24=1,N24="")),"",1),0)</f>
        <v>0</v>
      </c>
      <c r="O25" s="44" t="s">
        <v>105</v>
      </c>
      <c r="P25" s="43"/>
      <c r="Q25" s="43"/>
      <c r="R25" s="43"/>
      <c r="S25" s="5"/>
      <c r="T25" s="5"/>
      <c r="U25" s="5"/>
      <c r="V25" s="5"/>
    </row>
    <row r="26" spans="1:22" ht="15.75" customHeight="1" x14ac:dyDescent="0.2">
      <c r="A26" s="25"/>
      <c r="B26" s="63"/>
      <c r="C26" s="63"/>
      <c r="D26" s="63"/>
      <c r="E26" s="27" t="s">
        <v>49</v>
      </c>
      <c r="F26" s="28" t="s">
        <v>8</v>
      </c>
      <c r="G26" s="28" t="s">
        <v>26</v>
      </c>
      <c r="H26" s="29" t="s">
        <v>32</v>
      </c>
      <c r="I26" s="30">
        <f t="shared" si="0"/>
        <v>0</v>
      </c>
      <c r="J26" s="30">
        <f t="shared" si="1"/>
        <v>1</v>
      </c>
      <c r="K26" s="30">
        <f t="shared" si="2"/>
        <v>0</v>
      </c>
      <c r="L26" s="30">
        <f t="shared" si="3"/>
        <v>0</v>
      </c>
      <c r="M26" s="30">
        <f t="shared" si="4"/>
        <v>0</v>
      </c>
      <c r="N26" s="31">
        <f t="shared" si="9"/>
        <v>0</v>
      </c>
      <c r="O26" s="44" t="s">
        <v>106</v>
      </c>
      <c r="P26" s="43"/>
      <c r="Q26" s="43"/>
      <c r="R26" s="43"/>
      <c r="S26" s="5"/>
      <c r="T26" s="5"/>
      <c r="U26" s="5"/>
      <c r="V26" s="5"/>
    </row>
    <row r="27" spans="1:22" ht="15.75" customHeight="1" thickBot="1" x14ac:dyDescent="0.25">
      <c r="A27" s="25"/>
      <c r="B27" s="63"/>
      <c r="C27" s="63"/>
      <c r="D27" s="64"/>
      <c r="E27" s="34" t="s">
        <v>50</v>
      </c>
      <c r="F27" s="35" t="s">
        <v>8</v>
      </c>
      <c r="G27" s="35" t="s">
        <v>26</v>
      </c>
      <c r="H27" s="36" t="s">
        <v>32</v>
      </c>
      <c r="I27" s="37">
        <f t="shared" si="0"/>
        <v>0</v>
      </c>
      <c r="J27" s="37">
        <f t="shared" si="1"/>
        <v>1</v>
      </c>
      <c r="K27" s="37">
        <f t="shared" si="2"/>
        <v>0</v>
      </c>
      <c r="L27" s="37">
        <f t="shared" si="3"/>
        <v>0</v>
      </c>
      <c r="M27" s="37">
        <f t="shared" si="4"/>
        <v>0</v>
      </c>
      <c r="N27" s="38">
        <f t="shared" si="9"/>
        <v>0</v>
      </c>
      <c r="O27" s="44" t="s">
        <v>107</v>
      </c>
      <c r="P27" s="43"/>
      <c r="Q27" s="43"/>
      <c r="R27" s="43"/>
      <c r="S27" s="5"/>
      <c r="T27" s="5"/>
      <c r="U27" s="5"/>
      <c r="V27" s="5"/>
    </row>
    <row r="28" spans="1:22" ht="15.75" customHeight="1" x14ac:dyDescent="0.2">
      <c r="A28" s="25"/>
      <c r="B28" s="63"/>
      <c r="C28" s="63"/>
      <c r="D28" s="62" t="s">
        <v>108</v>
      </c>
      <c r="E28" s="19" t="s">
        <v>43</v>
      </c>
      <c r="F28" s="20" t="s">
        <v>8</v>
      </c>
      <c r="G28" s="20" t="s">
        <v>9</v>
      </c>
      <c r="H28" s="21" t="s">
        <v>34</v>
      </c>
      <c r="I28" s="22">
        <f t="shared" si="0"/>
        <v>1</v>
      </c>
      <c r="J28" s="22">
        <f t="shared" si="1"/>
        <v>0</v>
      </c>
      <c r="K28" s="22">
        <f t="shared" si="2"/>
        <v>0</v>
      </c>
      <c r="L28" s="22">
        <f t="shared" si="3"/>
        <v>0</v>
      </c>
      <c r="M28" s="22">
        <f t="shared" si="4"/>
        <v>0</v>
      </c>
      <c r="N28" s="23">
        <f>IF(F28="цифровой",IF(AND(F25="цифровой",OR(N25=1,N25="")),"",1),0)</f>
        <v>0</v>
      </c>
      <c r="O28" s="44" t="s">
        <v>109</v>
      </c>
      <c r="P28" s="43"/>
      <c r="Q28" s="44" t="s">
        <v>110</v>
      </c>
      <c r="R28" s="43"/>
      <c r="S28" s="5"/>
      <c r="T28" s="5"/>
      <c r="U28" s="5"/>
      <c r="V28" s="5"/>
    </row>
    <row r="29" spans="1:22" ht="15.75" customHeight="1" x14ac:dyDescent="0.2">
      <c r="A29" s="25"/>
      <c r="B29" s="63"/>
      <c r="C29" s="63"/>
      <c r="D29" s="63"/>
      <c r="E29" s="27" t="s">
        <v>44</v>
      </c>
      <c r="F29" s="28" t="s">
        <v>8</v>
      </c>
      <c r="G29" s="28" t="s">
        <v>9</v>
      </c>
      <c r="H29" s="29" t="s">
        <v>34</v>
      </c>
      <c r="I29" s="30">
        <f t="shared" si="0"/>
        <v>1</v>
      </c>
      <c r="J29" s="30">
        <f t="shared" si="1"/>
        <v>0</v>
      </c>
      <c r="K29" s="30">
        <f t="shared" si="2"/>
        <v>0</v>
      </c>
      <c r="L29" s="30">
        <f t="shared" si="3"/>
        <v>0</v>
      </c>
      <c r="M29" s="30">
        <f t="shared" si="4"/>
        <v>0</v>
      </c>
      <c r="N29" s="31">
        <f t="shared" ref="N29:N30" si="10">IF(F29="цифровой",IF(AND(F28="цифровой",OR(N28=1,N28="")),"",1),0)</f>
        <v>0</v>
      </c>
      <c r="O29" s="44" t="s">
        <v>111</v>
      </c>
      <c r="P29" s="43"/>
      <c r="Q29" s="43"/>
      <c r="R29" s="43"/>
      <c r="S29" s="5"/>
      <c r="T29" s="5"/>
      <c r="U29" s="5"/>
      <c r="V29" s="5"/>
    </row>
    <row r="30" spans="1:22" ht="15.75" customHeight="1" x14ac:dyDescent="0.2">
      <c r="A30" s="25"/>
      <c r="B30" s="63"/>
      <c r="C30" s="63"/>
      <c r="D30" s="63"/>
      <c r="E30" s="27" t="s">
        <v>48</v>
      </c>
      <c r="F30" s="28" t="s">
        <v>8</v>
      </c>
      <c r="G30" s="28" t="s">
        <v>9</v>
      </c>
      <c r="H30" s="29" t="s">
        <v>34</v>
      </c>
      <c r="I30" s="30">
        <f t="shared" si="0"/>
        <v>1</v>
      </c>
      <c r="J30" s="30">
        <f t="shared" si="1"/>
        <v>0</v>
      </c>
      <c r="K30" s="30">
        <f t="shared" si="2"/>
        <v>0</v>
      </c>
      <c r="L30" s="30">
        <f t="shared" si="3"/>
        <v>0</v>
      </c>
      <c r="M30" s="30">
        <f t="shared" si="4"/>
        <v>0</v>
      </c>
      <c r="N30" s="31">
        <f t="shared" si="10"/>
        <v>0</v>
      </c>
      <c r="O30" s="44" t="s">
        <v>112</v>
      </c>
      <c r="P30" s="43"/>
      <c r="Q30" s="43"/>
      <c r="R30" s="43"/>
      <c r="S30" s="5"/>
      <c r="T30" s="5"/>
      <c r="U30" s="5"/>
      <c r="V30" s="5"/>
    </row>
    <row r="31" spans="1:22" ht="15.75" customHeight="1" x14ac:dyDescent="0.2">
      <c r="A31" s="25"/>
      <c r="B31" s="63"/>
      <c r="C31" s="63"/>
      <c r="D31" s="63"/>
      <c r="E31" s="27" t="s">
        <v>54</v>
      </c>
      <c r="F31" s="28" t="s">
        <v>8</v>
      </c>
      <c r="G31" s="28" t="s">
        <v>9</v>
      </c>
      <c r="H31" s="29" t="s">
        <v>34</v>
      </c>
      <c r="I31" s="30">
        <f t="shared" si="0"/>
        <v>1</v>
      </c>
      <c r="J31" s="30">
        <f t="shared" si="1"/>
        <v>0</v>
      </c>
      <c r="K31" s="30">
        <f t="shared" si="2"/>
        <v>0</v>
      </c>
      <c r="L31" s="30">
        <f t="shared" si="3"/>
        <v>0</v>
      </c>
      <c r="M31" s="30">
        <f t="shared" si="4"/>
        <v>0</v>
      </c>
      <c r="N31" s="31">
        <f>IF(F31="цифровой",IF(AND(#REF!="цифровой",OR(#REF!=1,#REF!="")),"",1),0)</f>
        <v>0</v>
      </c>
      <c r="O31" s="44" t="s">
        <v>113</v>
      </c>
      <c r="P31" s="43"/>
      <c r="Q31" s="43"/>
      <c r="R31" s="43"/>
      <c r="S31" s="5"/>
      <c r="T31" s="5"/>
      <c r="U31" s="5"/>
      <c r="V31" s="5"/>
    </row>
    <row r="32" spans="1:22" ht="15.75" customHeight="1" x14ac:dyDescent="0.2">
      <c r="A32" s="25"/>
      <c r="B32" s="63"/>
      <c r="C32" s="63"/>
      <c r="D32" s="63"/>
      <c r="E32" s="27" t="s">
        <v>55</v>
      </c>
      <c r="F32" s="28" t="s">
        <v>8</v>
      </c>
      <c r="G32" s="28" t="s">
        <v>26</v>
      </c>
      <c r="H32" s="29" t="s">
        <v>34</v>
      </c>
      <c r="I32" s="30">
        <f t="shared" si="0"/>
        <v>0</v>
      </c>
      <c r="J32" s="30">
        <f t="shared" si="1"/>
        <v>1</v>
      </c>
      <c r="K32" s="30">
        <f t="shared" si="2"/>
        <v>0</v>
      </c>
      <c r="L32" s="30">
        <f t="shared" si="3"/>
        <v>0</v>
      </c>
      <c r="M32" s="30">
        <f t="shared" si="4"/>
        <v>0</v>
      </c>
      <c r="N32" s="31">
        <f>IF(F32="цифровой",IF(AND(#REF!="цифровой",OR(#REF!=1,#REF!="")),"",1),0)</f>
        <v>0</v>
      </c>
      <c r="O32" s="44" t="s">
        <v>114</v>
      </c>
      <c r="P32" s="43"/>
      <c r="Q32" s="43"/>
      <c r="R32" s="43"/>
      <c r="S32" s="5"/>
      <c r="T32" s="5"/>
      <c r="U32" s="5"/>
      <c r="V32" s="5"/>
    </row>
    <row r="33" spans="1:18" ht="15" customHeight="1" x14ac:dyDescent="0.2">
      <c r="A33" s="25"/>
      <c r="B33" s="63"/>
      <c r="C33" s="63"/>
      <c r="D33" s="63"/>
      <c r="E33" s="27" t="s">
        <v>56</v>
      </c>
      <c r="F33" s="28" t="s">
        <v>8</v>
      </c>
      <c r="G33" s="28" t="s">
        <v>26</v>
      </c>
      <c r="H33" s="29" t="s">
        <v>34</v>
      </c>
      <c r="I33" s="30">
        <f t="shared" si="0"/>
        <v>0</v>
      </c>
      <c r="J33" s="30">
        <f t="shared" si="1"/>
        <v>1</v>
      </c>
      <c r="K33" s="30">
        <f t="shared" si="2"/>
        <v>0</v>
      </c>
      <c r="L33" s="30">
        <f t="shared" si="3"/>
        <v>0</v>
      </c>
      <c r="M33" s="30">
        <f t="shared" si="4"/>
        <v>0</v>
      </c>
      <c r="N33" s="31">
        <f t="shared" ref="N33:N34" si="11">IF(F33="цифровой",IF(AND(F32="цифровой",OR(N32=1,N32="")),"",1),0)</f>
        <v>0</v>
      </c>
      <c r="O33" s="44" t="s">
        <v>115</v>
      </c>
      <c r="P33" s="43"/>
      <c r="Q33" s="43"/>
      <c r="R33" s="43"/>
    </row>
    <row r="34" spans="1:18" ht="15.75" customHeight="1" thickBot="1" x14ac:dyDescent="0.25">
      <c r="A34" s="25"/>
      <c r="B34" s="63"/>
      <c r="C34" s="63"/>
      <c r="D34" s="64"/>
      <c r="E34" s="34" t="s">
        <v>57</v>
      </c>
      <c r="F34" s="35" t="s">
        <v>8</v>
      </c>
      <c r="G34" s="35" t="s">
        <v>26</v>
      </c>
      <c r="H34" s="36" t="s">
        <v>34</v>
      </c>
      <c r="I34" s="37">
        <f t="shared" si="0"/>
        <v>0</v>
      </c>
      <c r="J34" s="37">
        <f t="shared" si="1"/>
        <v>1</v>
      </c>
      <c r="K34" s="37">
        <f t="shared" si="2"/>
        <v>0</v>
      </c>
      <c r="L34" s="37">
        <f t="shared" si="3"/>
        <v>0</v>
      </c>
      <c r="M34" s="37">
        <f t="shared" si="4"/>
        <v>0</v>
      </c>
      <c r="N34" s="38">
        <f t="shared" si="11"/>
        <v>0</v>
      </c>
      <c r="O34" s="44" t="s">
        <v>116</v>
      </c>
      <c r="P34" s="43"/>
      <c r="Q34" s="43"/>
      <c r="R34" s="43"/>
    </row>
    <row r="35" spans="1:18" ht="15.75" customHeight="1" x14ac:dyDescent="0.2">
      <c r="A35" s="25"/>
      <c r="B35" s="63"/>
      <c r="C35" s="63"/>
      <c r="D35" s="62" t="s">
        <v>117</v>
      </c>
      <c r="E35" s="19" t="s">
        <v>43</v>
      </c>
      <c r="F35" s="20" t="s">
        <v>8</v>
      </c>
      <c r="G35" s="20" t="s">
        <v>9</v>
      </c>
      <c r="H35" s="21" t="s">
        <v>34</v>
      </c>
      <c r="I35" s="22">
        <f t="shared" si="0"/>
        <v>1</v>
      </c>
      <c r="J35" s="22">
        <f t="shared" si="1"/>
        <v>0</v>
      </c>
      <c r="K35" s="22">
        <f t="shared" si="2"/>
        <v>0</v>
      </c>
      <c r="L35" s="22">
        <f t="shared" si="3"/>
        <v>0</v>
      </c>
      <c r="M35" s="22">
        <f t="shared" si="4"/>
        <v>0</v>
      </c>
      <c r="N35" s="23">
        <f>IF(F35="цифровой",IF(AND(#REF!="цифровой",OR(#REF!=1,#REF!="")),"",1),0)</f>
        <v>0</v>
      </c>
      <c r="O35" s="44" t="s">
        <v>118</v>
      </c>
      <c r="P35" s="43"/>
      <c r="Q35" s="44" t="s">
        <v>119</v>
      </c>
      <c r="R35" s="43"/>
    </row>
    <row r="36" spans="1:18" ht="15.75" customHeight="1" x14ac:dyDescent="0.2">
      <c r="A36" s="25"/>
      <c r="B36" s="63"/>
      <c r="C36" s="63"/>
      <c r="D36" s="63"/>
      <c r="E36" s="27" t="s">
        <v>44</v>
      </c>
      <c r="F36" s="28" t="s">
        <v>8</v>
      </c>
      <c r="G36" s="28" t="s">
        <v>9</v>
      </c>
      <c r="H36" s="29" t="s">
        <v>34</v>
      </c>
      <c r="I36" s="30">
        <f t="shared" si="0"/>
        <v>1</v>
      </c>
      <c r="J36" s="30">
        <f t="shared" si="1"/>
        <v>0</v>
      </c>
      <c r="K36" s="30">
        <f t="shared" si="2"/>
        <v>0</v>
      </c>
      <c r="L36" s="30">
        <f t="shared" si="3"/>
        <v>0</v>
      </c>
      <c r="M36" s="30">
        <f t="shared" si="4"/>
        <v>0</v>
      </c>
      <c r="N36" s="31">
        <f t="shared" ref="N36:N37" si="12">IF(F36="цифровой",IF(AND(F35="цифровой",OR(N35=1,N35="")),"",1),0)</f>
        <v>0</v>
      </c>
      <c r="O36" s="44" t="s">
        <v>120</v>
      </c>
      <c r="P36" s="43"/>
      <c r="Q36" s="43"/>
      <c r="R36" s="43"/>
    </row>
    <row r="37" spans="1:18" ht="15.75" customHeight="1" x14ac:dyDescent="0.2">
      <c r="A37" s="25"/>
      <c r="B37" s="63"/>
      <c r="C37" s="63"/>
      <c r="D37" s="63"/>
      <c r="E37" s="27" t="s">
        <v>48</v>
      </c>
      <c r="F37" s="28" t="s">
        <v>8</v>
      </c>
      <c r="G37" s="28" t="s">
        <v>9</v>
      </c>
      <c r="H37" s="29" t="s">
        <v>34</v>
      </c>
      <c r="I37" s="30">
        <f t="shared" si="0"/>
        <v>1</v>
      </c>
      <c r="J37" s="30">
        <f t="shared" si="1"/>
        <v>0</v>
      </c>
      <c r="K37" s="30">
        <f t="shared" si="2"/>
        <v>0</v>
      </c>
      <c r="L37" s="30">
        <f t="shared" si="3"/>
        <v>0</v>
      </c>
      <c r="M37" s="30">
        <f t="shared" si="4"/>
        <v>0</v>
      </c>
      <c r="N37" s="31">
        <f t="shared" si="12"/>
        <v>0</v>
      </c>
      <c r="O37" s="44" t="s">
        <v>121</v>
      </c>
      <c r="P37" s="43"/>
      <c r="Q37" s="43"/>
      <c r="R37" s="43"/>
    </row>
    <row r="38" spans="1:18" ht="15.75" customHeight="1" x14ac:dyDescent="0.2">
      <c r="A38" s="25"/>
      <c r="B38" s="63"/>
      <c r="C38" s="63"/>
      <c r="D38" s="63"/>
      <c r="E38" s="27" t="s">
        <v>54</v>
      </c>
      <c r="F38" s="28" t="s">
        <v>8</v>
      </c>
      <c r="G38" s="28" t="s">
        <v>9</v>
      </c>
      <c r="H38" s="29" t="s">
        <v>34</v>
      </c>
      <c r="I38" s="30">
        <f t="shared" si="0"/>
        <v>1</v>
      </c>
      <c r="J38" s="30">
        <f t="shared" si="1"/>
        <v>0</v>
      </c>
      <c r="K38" s="30">
        <f t="shared" si="2"/>
        <v>0</v>
      </c>
      <c r="L38" s="30">
        <f t="shared" si="3"/>
        <v>0</v>
      </c>
      <c r="M38" s="30">
        <f t="shared" si="4"/>
        <v>0</v>
      </c>
      <c r="N38" s="31">
        <f>IF(F38="цифровой",IF(AND(#REF!="цифровой",OR(#REF!=1,#REF!="")),"",1),0)</f>
        <v>0</v>
      </c>
      <c r="O38" s="44" t="s">
        <v>122</v>
      </c>
      <c r="P38" s="43"/>
      <c r="Q38" s="43"/>
      <c r="R38" s="43"/>
    </row>
    <row r="39" spans="1:18" ht="15.75" customHeight="1" x14ac:dyDescent="0.2">
      <c r="A39" s="25"/>
      <c r="B39" s="63"/>
      <c r="C39" s="63"/>
      <c r="D39" s="63"/>
      <c r="E39" s="27" t="s">
        <v>55</v>
      </c>
      <c r="F39" s="28" t="s">
        <v>8</v>
      </c>
      <c r="G39" s="28" t="s">
        <v>26</v>
      </c>
      <c r="H39" s="29" t="s">
        <v>34</v>
      </c>
      <c r="I39" s="30">
        <f t="shared" si="0"/>
        <v>0</v>
      </c>
      <c r="J39" s="30">
        <f t="shared" si="1"/>
        <v>1</v>
      </c>
      <c r="K39" s="30">
        <f t="shared" si="2"/>
        <v>0</v>
      </c>
      <c r="L39" s="30">
        <f t="shared" si="3"/>
        <v>0</v>
      </c>
      <c r="M39" s="30">
        <f t="shared" si="4"/>
        <v>0</v>
      </c>
      <c r="N39" s="31">
        <f>IF(F39="цифровой",IF(AND(#REF!="цифровой",OR(#REF!=1,#REF!="")),"",1),0)</f>
        <v>0</v>
      </c>
      <c r="O39" s="44" t="s">
        <v>123</v>
      </c>
      <c r="P39" s="43"/>
      <c r="Q39" s="43"/>
      <c r="R39" s="43"/>
    </row>
    <row r="40" spans="1:18" ht="15.75" customHeight="1" x14ac:dyDescent="0.2">
      <c r="A40" s="25"/>
      <c r="B40" s="63"/>
      <c r="C40" s="63"/>
      <c r="D40" s="63"/>
      <c r="E40" s="27" t="s">
        <v>56</v>
      </c>
      <c r="F40" s="28" t="s">
        <v>8</v>
      </c>
      <c r="G40" s="28" t="s">
        <v>26</v>
      </c>
      <c r="H40" s="29" t="s">
        <v>34</v>
      </c>
      <c r="I40" s="30">
        <f t="shared" si="0"/>
        <v>0</v>
      </c>
      <c r="J40" s="30">
        <f t="shared" si="1"/>
        <v>1</v>
      </c>
      <c r="K40" s="30">
        <f t="shared" si="2"/>
        <v>0</v>
      </c>
      <c r="L40" s="30">
        <f t="shared" si="3"/>
        <v>0</v>
      </c>
      <c r="M40" s="30">
        <f t="shared" si="4"/>
        <v>0</v>
      </c>
      <c r="N40" s="31">
        <f t="shared" ref="N40:N41" si="13">IF(F40="цифровой",IF(AND(F39="цифровой",OR(N39=1,N39="")),"",1),0)</f>
        <v>0</v>
      </c>
      <c r="O40" s="44" t="s">
        <v>124</v>
      </c>
      <c r="P40" s="43"/>
      <c r="Q40" s="43"/>
      <c r="R40" s="43"/>
    </row>
    <row r="41" spans="1:18" ht="15.75" customHeight="1" thickBot="1" x14ac:dyDescent="0.25">
      <c r="A41" s="25"/>
      <c r="B41" s="63"/>
      <c r="C41" s="63"/>
      <c r="D41" s="64"/>
      <c r="E41" s="34" t="s">
        <v>57</v>
      </c>
      <c r="F41" s="35" t="s">
        <v>8</v>
      </c>
      <c r="G41" s="35" t="s">
        <v>26</v>
      </c>
      <c r="H41" s="36" t="s">
        <v>34</v>
      </c>
      <c r="I41" s="37">
        <f t="shared" si="0"/>
        <v>0</v>
      </c>
      <c r="J41" s="37">
        <f t="shared" si="1"/>
        <v>1</v>
      </c>
      <c r="K41" s="37">
        <f t="shared" si="2"/>
        <v>0</v>
      </c>
      <c r="L41" s="37">
        <f t="shared" si="3"/>
        <v>0</v>
      </c>
      <c r="M41" s="37">
        <f t="shared" si="4"/>
        <v>0</v>
      </c>
      <c r="N41" s="38">
        <f t="shared" si="13"/>
        <v>0</v>
      </c>
      <c r="O41" s="44" t="s">
        <v>125</v>
      </c>
      <c r="P41" s="43"/>
      <c r="Q41" s="43"/>
      <c r="R41" s="43"/>
    </row>
    <row r="42" spans="1:18" ht="15.75" customHeight="1" x14ac:dyDescent="0.2">
      <c r="A42" s="25"/>
      <c r="B42" s="63"/>
      <c r="C42" s="63"/>
      <c r="D42" s="62" t="s">
        <v>126</v>
      </c>
      <c r="E42" s="19" t="s">
        <v>43</v>
      </c>
      <c r="F42" s="20" t="s">
        <v>8</v>
      </c>
      <c r="G42" s="20" t="s">
        <v>9</v>
      </c>
      <c r="H42" s="21" t="s">
        <v>34</v>
      </c>
      <c r="I42" s="22">
        <f t="shared" si="0"/>
        <v>1</v>
      </c>
      <c r="J42" s="22">
        <f t="shared" si="1"/>
        <v>0</v>
      </c>
      <c r="K42" s="22">
        <f t="shared" si="2"/>
        <v>0</v>
      </c>
      <c r="L42" s="22">
        <f t="shared" si="3"/>
        <v>0</v>
      </c>
      <c r="M42" s="22">
        <f t="shared" si="4"/>
        <v>0</v>
      </c>
      <c r="N42" s="23">
        <f>IF(F42="цифровой",IF(AND(#REF!="цифровой",OR(#REF!=1,#REF!="")),"",1),0)</f>
        <v>0</v>
      </c>
      <c r="O42" s="44" t="s">
        <v>127</v>
      </c>
      <c r="P42" s="43"/>
      <c r="Q42" s="44" t="s">
        <v>128</v>
      </c>
      <c r="R42" s="43"/>
    </row>
    <row r="43" spans="1:18" ht="15.75" customHeight="1" x14ac:dyDescent="0.2">
      <c r="A43" s="25"/>
      <c r="B43" s="63"/>
      <c r="C43" s="63"/>
      <c r="D43" s="63"/>
      <c r="E43" s="27" t="s">
        <v>44</v>
      </c>
      <c r="F43" s="28" t="s">
        <v>8</v>
      </c>
      <c r="G43" s="28" t="s">
        <v>9</v>
      </c>
      <c r="H43" s="29" t="s">
        <v>34</v>
      </c>
      <c r="I43" s="30">
        <f t="shared" si="0"/>
        <v>1</v>
      </c>
      <c r="J43" s="30">
        <f t="shared" si="1"/>
        <v>0</v>
      </c>
      <c r="K43" s="30">
        <f t="shared" si="2"/>
        <v>0</v>
      </c>
      <c r="L43" s="30">
        <f t="shared" si="3"/>
        <v>0</v>
      </c>
      <c r="M43" s="30">
        <f t="shared" si="4"/>
        <v>0</v>
      </c>
      <c r="N43" s="31">
        <f t="shared" ref="N43:N44" si="14">IF(F43="цифровой",IF(AND(F42="цифровой",OR(N42=1,N42="")),"",1),0)</f>
        <v>0</v>
      </c>
      <c r="O43" s="44" t="s">
        <v>129</v>
      </c>
      <c r="P43" s="43"/>
      <c r="Q43" s="43"/>
      <c r="R43" s="43"/>
    </row>
    <row r="44" spans="1:18" ht="15.75" customHeight="1" x14ac:dyDescent="0.2">
      <c r="A44" s="25"/>
      <c r="B44" s="63"/>
      <c r="C44" s="63"/>
      <c r="D44" s="63"/>
      <c r="E44" s="27" t="s">
        <v>48</v>
      </c>
      <c r="F44" s="28" t="s">
        <v>8</v>
      </c>
      <c r="G44" s="28" t="s">
        <v>9</v>
      </c>
      <c r="H44" s="29" t="s">
        <v>34</v>
      </c>
      <c r="I44" s="30">
        <f t="shared" si="0"/>
        <v>1</v>
      </c>
      <c r="J44" s="30">
        <f t="shared" si="1"/>
        <v>0</v>
      </c>
      <c r="K44" s="30">
        <f t="shared" si="2"/>
        <v>0</v>
      </c>
      <c r="L44" s="30">
        <f t="shared" si="3"/>
        <v>0</v>
      </c>
      <c r="M44" s="30">
        <f t="shared" si="4"/>
        <v>0</v>
      </c>
      <c r="N44" s="31">
        <f t="shared" si="14"/>
        <v>0</v>
      </c>
      <c r="O44" s="44" t="s">
        <v>130</v>
      </c>
      <c r="P44" s="43"/>
      <c r="Q44" s="43"/>
      <c r="R44" s="43"/>
    </row>
    <row r="45" spans="1:18" ht="15.75" customHeight="1" x14ac:dyDescent="0.2">
      <c r="A45" s="25"/>
      <c r="B45" s="63"/>
      <c r="C45" s="63"/>
      <c r="D45" s="63"/>
      <c r="E45" s="27" t="s">
        <v>54</v>
      </c>
      <c r="F45" s="28" t="s">
        <v>8</v>
      </c>
      <c r="G45" s="28" t="s">
        <v>9</v>
      </c>
      <c r="H45" s="29" t="s">
        <v>34</v>
      </c>
      <c r="I45" s="30">
        <f t="shared" si="0"/>
        <v>1</v>
      </c>
      <c r="J45" s="30">
        <f t="shared" si="1"/>
        <v>0</v>
      </c>
      <c r="K45" s="30">
        <f t="shared" si="2"/>
        <v>0</v>
      </c>
      <c r="L45" s="30">
        <f t="shared" si="3"/>
        <v>0</v>
      </c>
      <c r="M45" s="30">
        <f t="shared" si="4"/>
        <v>0</v>
      </c>
      <c r="N45" s="31">
        <f>IF(F45="цифровой",IF(AND(#REF!="цифровой",OR(#REF!=1,#REF!="")),"",1),0)</f>
        <v>0</v>
      </c>
      <c r="O45" s="44" t="s">
        <v>131</v>
      </c>
      <c r="P45" s="43"/>
      <c r="Q45" s="43"/>
      <c r="R45" s="43"/>
    </row>
    <row r="46" spans="1:18" ht="15.75" customHeight="1" x14ac:dyDescent="0.2">
      <c r="A46" s="25"/>
      <c r="B46" s="63"/>
      <c r="C46" s="63"/>
      <c r="D46" s="63"/>
      <c r="E46" s="27" t="s">
        <v>55</v>
      </c>
      <c r="F46" s="28" t="s">
        <v>8</v>
      </c>
      <c r="G46" s="28" t="s">
        <v>26</v>
      </c>
      <c r="H46" s="29" t="s">
        <v>34</v>
      </c>
      <c r="I46" s="30">
        <f t="shared" si="0"/>
        <v>0</v>
      </c>
      <c r="J46" s="30">
        <f t="shared" si="1"/>
        <v>1</v>
      </c>
      <c r="K46" s="30">
        <f t="shared" si="2"/>
        <v>0</v>
      </c>
      <c r="L46" s="30">
        <f t="shared" si="3"/>
        <v>0</v>
      </c>
      <c r="M46" s="30">
        <f t="shared" si="4"/>
        <v>0</v>
      </c>
      <c r="N46" s="31">
        <f>IF(F46="цифровой",IF(AND(#REF!="цифровой",OR(#REF!=1,#REF!="")),"",1),0)</f>
        <v>0</v>
      </c>
      <c r="O46" s="44" t="s">
        <v>132</v>
      </c>
      <c r="P46" s="43"/>
      <c r="Q46" s="43"/>
      <c r="R46" s="43"/>
    </row>
    <row r="47" spans="1:18" ht="15.75" customHeight="1" x14ac:dyDescent="0.2">
      <c r="A47" s="25"/>
      <c r="B47" s="63"/>
      <c r="C47" s="63"/>
      <c r="D47" s="63"/>
      <c r="E47" s="27" t="s">
        <v>56</v>
      </c>
      <c r="F47" s="28" t="s">
        <v>8</v>
      </c>
      <c r="G47" s="28" t="s">
        <v>26</v>
      </c>
      <c r="H47" s="29" t="s">
        <v>34</v>
      </c>
      <c r="I47" s="30">
        <f t="shared" si="0"/>
        <v>0</v>
      </c>
      <c r="J47" s="30">
        <f t="shared" si="1"/>
        <v>1</v>
      </c>
      <c r="K47" s="30">
        <f t="shared" si="2"/>
        <v>0</v>
      </c>
      <c r="L47" s="30">
        <f t="shared" si="3"/>
        <v>0</v>
      </c>
      <c r="M47" s="30">
        <f t="shared" si="4"/>
        <v>0</v>
      </c>
      <c r="N47" s="31">
        <f t="shared" ref="N47:N48" si="15">IF(F47="цифровой",IF(AND(F46="цифровой",OR(N46=1,N46="")),"",1),0)</f>
        <v>0</v>
      </c>
      <c r="O47" s="44" t="s">
        <v>133</v>
      </c>
      <c r="P47" s="43"/>
      <c r="Q47" s="43"/>
      <c r="R47" s="43"/>
    </row>
    <row r="48" spans="1:18" ht="15.75" customHeight="1" thickBot="1" x14ac:dyDescent="0.25">
      <c r="A48" s="25"/>
      <c r="B48" s="63"/>
      <c r="C48" s="63"/>
      <c r="D48" s="64"/>
      <c r="E48" s="34" t="s">
        <v>57</v>
      </c>
      <c r="F48" s="35" t="s">
        <v>8</v>
      </c>
      <c r="G48" s="35" t="s">
        <v>26</v>
      </c>
      <c r="H48" s="36" t="s">
        <v>34</v>
      </c>
      <c r="I48" s="37">
        <f t="shared" si="0"/>
        <v>0</v>
      </c>
      <c r="J48" s="37">
        <f t="shared" si="1"/>
        <v>1</v>
      </c>
      <c r="K48" s="37">
        <f t="shared" si="2"/>
        <v>0</v>
      </c>
      <c r="L48" s="37">
        <f t="shared" si="3"/>
        <v>0</v>
      </c>
      <c r="M48" s="37">
        <f t="shared" si="4"/>
        <v>0</v>
      </c>
      <c r="N48" s="38">
        <f t="shared" si="15"/>
        <v>0</v>
      </c>
      <c r="O48" s="44" t="s">
        <v>134</v>
      </c>
      <c r="P48" s="43"/>
      <c r="Q48" s="43"/>
      <c r="R48" s="43"/>
    </row>
    <row r="49" spans="1:18" ht="15.75" customHeight="1" x14ac:dyDescent="0.2">
      <c r="A49" s="25"/>
      <c r="B49" s="63"/>
      <c r="C49" s="63"/>
      <c r="D49" s="62" t="s">
        <v>135</v>
      </c>
      <c r="E49" s="19" t="s">
        <v>43</v>
      </c>
      <c r="F49" s="20" t="s">
        <v>8</v>
      </c>
      <c r="G49" s="20" t="s">
        <v>9</v>
      </c>
      <c r="H49" s="21" t="s">
        <v>34</v>
      </c>
      <c r="I49" s="22">
        <f t="shared" si="0"/>
        <v>1</v>
      </c>
      <c r="J49" s="22">
        <f t="shared" si="1"/>
        <v>0</v>
      </c>
      <c r="K49" s="22">
        <f t="shared" si="2"/>
        <v>0</v>
      </c>
      <c r="L49" s="22">
        <f t="shared" si="3"/>
        <v>0</v>
      </c>
      <c r="M49" s="22">
        <f t="shared" si="4"/>
        <v>0</v>
      </c>
      <c r="N49" s="23">
        <f>IF(F49="цифровой",IF(AND(#REF!="цифровой",OR(#REF!=1,#REF!="")),"",1),0)</f>
        <v>0</v>
      </c>
      <c r="O49" s="44" t="s">
        <v>136</v>
      </c>
      <c r="P49" s="43"/>
      <c r="Q49" s="44" t="s">
        <v>137</v>
      </c>
      <c r="R49" s="43"/>
    </row>
    <row r="50" spans="1:18" ht="15.75" customHeight="1" x14ac:dyDescent="0.2">
      <c r="A50" s="25"/>
      <c r="B50" s="63"/>
      <c r="C50" s="63"/>
      <c r="D50" s="63"/>
      <c r="E50" s="27" t="s">
        <v>44</v>
      </c>
      <c r="F50" s="28" t="s">
        <v>8</v>
      </c>
      <c r="G50" s="28" t="s">
        <v>9</v>
      </c>
      <c r="H50" s="29" t="s">
        <v>34</v>
      </c>
      <c r="I50" s="30">
        <f t="shared" si="0"/>
        <v>1</v>
      </c>
      <c r="J50" s="30">
        <f t="shared" si="1"/>
        <v>0</v>
      </c>
      <c r="K50" s="30">
        <f t="shared" si="2"/>
        <v>0</v>
      </c>
      <c r="L50" s="30">
        <f t="shared" si="3"/>
        <v>0</v>
      </c>
      <c r="M50" s="30">
        <f t="shared" si="4"/>
        <v>0</v>
      </c>
      <c r="N50" s="31">
        <f t="shared" ref="N50:N51" si="16">IF(F50="цифровой",IF(AND(F49="цифровой",OR(N49=1,N49="")),"",1),0)</f>
        <v>0</v>
      </c>
      <c r="O50" s="44" t="s">
        <v>138</v>
      </c>
      <c r="P50" s="43"/>
      <c r="Q50" s="43"/>
      <c r="R50" s="43"/>
    </row>
    <row r="51" spans="1:18" ht="15.75" customHeight="1" x14ac:dyDescent="0.2">
      <c r="A51" s="25"/>
      <c r="B51" s="63"/>
      <c r="C51" s="63"/>
      <c r="D51" s="63"/>
      <c r="E51" s="27" t="s">
        <v>48</v>
      </c>
      <c r="F51" s="28" t="s">
        <v>8</v>
      </c>
      <c r="G51" s="28" t="s">
        <v>9</v>
      </c>
      <c r="H51" s="29" t="s">
        <v>34</v>
      </c>
      <c r="I51" s="30">
        <f t="shared" si="0"/>
        <v>1</v>
      </c>
      <c r="J51" s="30">
        <f t="shared" si="1"/>
        <v>0</v>
      </c>
      <c r="K51" s="30">
        <f t="shared" si="2"/>
        <v>0</v>
      </c>
      <c r="L51" s="30">
        <f t="shared" si="3"/>
        <v>0</v>
      </c>
      <c r="M51" s="30">
        <f t="shared" si="4"/>
        <v>0</v>
      </c>
      <c r="N51" s="31">
        <f t="shared" si="16"/>
        <v>0</v>
      </c>
      <c r="O51" s="44" t="s">
        <v>139</v>
      </c>
      <c r="P51" s="43"/>
      <c r="Q51" s="43"/>
      <c r="R51" s="43"/>
    </row>
    <row r="52" spans="1:18" ht="15.75" customHeight="1" x14ac:dyDescent="0.2">
      <c r="A52" s="25"/>
      <c r="B52" s="63"/>
      <c r="C52" s="63"/>
      <c r="D52" s="63"/>
      <c r="E52" s="27" t="s">
        <v>54</v>
      </c>
      <c r="F52" s="28" t="s">
        <v>8</v>
      </c>
      <c r="G52" s="28" t="s">
        <v>9</v>
      </c>
      <c r="H52" s="29" t="s">
        <v>34</v>
      </c>
      <c r="I52" s="30">
        <f t="shared" si="0"/>
        <v>1</v>
      </c>
      <c r="J52" s="30">
        <f t="shared" si="1"/>
        <v>0</v>
      </c>
      <c r="K52" s="30">
        <f t="shared" si="2"/>
        <v>0</v>
      </c>
      <c r="L52" s="30">
        <f t="shared" si="3"/>
        <v>0</v>
      </c>
      <c r="M52" s="30">
        <f t="shared" si="4"/>
        <v>0</v>
      </c>
      <c r="N52" s="31">
        <f>IF(F52="цифровой",IF(AND(#REF!="цифровой",OR(#REF!=1,#REF!="")),"",1),0)</f>
        <v>0</v>
      </c>
      <c r="O52" s="44" t="s">
        <v>140</v>
      </c>
      <c r="P52" s="43"/>
      <c r="Q52" s="43"/>
      <c r="R52" s="43"/>
    </row>
    <row r="53" spans="1:18" ht="15.75" customHeight="1" x14ac:dyDescent="0.2">
      <c r="A53" s="25"/>
      <c r="B53" s="63"/>
      <c r="C53" s="63"/>
      <c r="D53" s="63"/>
      <c r="E53" s="27" t="s">
        <v>55</v>
      </c>
      <c r="F53" s="28" t="s">
        <v>8</v>
      </c>
      <c r="G53" s="28" t="s">
        <v>26</v>
      </c>
      <c r="H53" s="29" t="s">
        <v>34</v>
      </c>
      <c r="I53" s="30">
        <f t="shared" si="0"/>
        <v>0</v>
      </c>
      <c r="J53" s="30">
        <f t="shared" si="1"/>
        <v>1</v>
      </c>
      <c r="K53" s="30">
        <f t="shared" si="2"/>
        <v>0</v>
      </c>
      <c r="L53" s="30">
        <f t="shared" si="3"/>
        <v>0</v>
      </c>
      <c r="M53" s="30">
        <f t="shared" si="4"/>
        <v>0</v>
      </c>
      <c r="N53" s="31">
        <f>IF(F53="цифровой",IF(AND(#REF!="цифровой",OR(#REF!=1,#REF!="")),"",1),0)</f>
        <v>0</v>
      </c>
      <c r="O53" s="44" t="s">
        <v>141</v>
      </c>
      <c r="P53" s="43"/>
      <c r="Q53" s="43"/>
      <c r="R53" s="43"/>
    </row>
    <row r="54" spans="1:18" ht="15.75" customHeight="1" x14ac:dyDescent="0.2">
      <c r="A54" s="25"/>
      <c r="B54" s="63"/>
      <c r="C54" s="63"/>
      <c r="D54" s="63"/>
      <c r="E54" s="27" t="s">
        <v>56</v>
      </c>
      <c r="F54" s="28" t="s">
        <v>8</v>
      </c>
      <c r="G54" s="28" t="s">
        <v>26</v>
      </c>
      <c r="H54" s="29" t="s">
        <v>34</v>
      </c>
      <c r="I54" s="30">
        <f t="shared" si="0"/>
        <v>0</v>
      </c>
      <c r="J54" s="30">
        <f t="shared" si="1"/>
        <v>1</v>
      </c>
      <c r="K54" s="30">
        <f t="shared" si="2"/>
        <v>0</v>
      </c>
      <c r="L54" s="30">
        <f t="shared" si="3"/>
        <v>0</v>
      </c>
      <c r="M54" s="30">
        <f t="shared" si="4"/>
        <v>0</v>
      </c>
      <c r="N54" s="31">
        <f t="shared" ref="N54:N55" si="17">IF(F54="цифровой",IF(AND(F53="цифровой",OR(N53=1,N53="")),"",1),0)</f>
        <v>0</v>
      </c>
      <c r="O54" s="44" t="s">
        <v>142</v>
      </c>
      <c r="P54" s="43"/>
      <c r="Q54" s="43"/>
      <c r="R54" s="43"/>
    </row>
    <row r="55" spans="1:18" ht="15.75" customHeight="1" thickBot="1" x14ac:dyDescent="0.25">
      <c r="A55" s="25"/>
      <c r="B55" s="63"/>
      <c r="C55" s="63"/>
      <c r="D55" s="64"/>
      <c r="E55" s="34" t="s">
        <v>57</v>
      </c>
      <c r="F55" s="35" t="s">
        <v>8</v>
      </c>
      <c r="G55" s="35" t="s">
        <v>26</v>
      </c>
      <c r="H55" s="36" t="s">
        <v>34</v>
      </c>
      <c r="I55" s="37">
        <f t="shared" si="0"/>
        <v>0</v>
      </c>
      <c r="J55" s="37">
        <f t="shared" si="1"/>
        <v>1</v>
      </c>
      <c r="K55" s="37">
        <f t="shared" si="2"/>
        <v>0</v>
      </c>
      <c r="L55" s="37">
        <f t="shared" si="3"/>
        <v>0</v>
      </c>
      <c r="M55" s="37">
        <f t="shared" si="4"/>
        <v>0</v>
      </c>
      <c r="N55" s="38">
        <f t="shared" si="17"/>
        <v>0</v>
      </c>
      <c r="O55" s="44" t="s">
        <v>143</v>
      </c>
      <c r="P55" s="43"/>
      <c r="Q55" s="43"/>
      <c r="R55" s="43"/>
    </row>
    <row r="56" spans="1:18" ht="15.75" customHeight="1" x14ac:dyDescent="0.2">
      <c r="A56" s="25"/>
      <c r="B56" s="63"/>
      <c r="C56" s="63"/>
      <c r="D56" s="66" t="s">
        <v>144</v>
      </c>
      <c r="E56" s="21" t="s">
        <v>43</v>
      </c>
      <c r="F56" s="20" t="s">
        <v>8</v>
      </c>
      <c r="G56" s="20" t="s">
        <v>9</v>
      </c>
      <c r="H56" s="21" t="s">
        <v>34</v>
      </c>
      <c r="I56" s="22">
        <f t="shared" si="0"/>
        <v>1</v>
      </c>
      <c r="J56" s="22">
        <f t="shared" si="1"/>
        <v>0</v>
      </c>
      <c r="K56" s="22">
        <f t="shared" si="2"/>
        <v>0</v>
      </c>
      <c r="L56" s="22">
        <f t="shared" si="3"/>
        <v>0</v>
      </c>
      <c r="M56" s="22">
        <f t="shared" si="4"/>
        <v>0</v>
      </c>
      <c r="N56" s="23">
        <f>IF(F56="цифровой",IF(AND(#REF!="цифровой",OR(#REF!=1,#REF!="")),"",1),0)</f>
        <v>0</v>
      </c>
      <c r="O56" s="44" t="s">
        <v>145</v>
      </c>
      <c r="P56" s="43"/>
      <c r="Q56" s="44" t="s">
        <v>146</v>
      </c>
      <c r="R56" s="43"/>
    </row>
    <row r="57" spans="1:18" ht="15.75" customHeight="1" x14ac:dyDescent="0.2">
      <c r="A57" s="25"/>
      <c r="B57" s="63"/>
      <c r="C57" s="63"/>
      <c r="D57" s="63"/>
      <c r="E57" s="29" t="s">
        <v>44</v>
      </c>
      <c r="F57" s="28" t="s">
        <v>8</v>
      </c>
      <c r="G57" s="28" t="s">
        <v>9</v>
      </c>
      <c r="H57" s="29" t="s">
        <v>34</v>
      </c>
      <c r="I57" s="30">
        <f t="shared" si="0"/>
        <v>1</v>
      </c>
      <c r="J57" s="30">
        <f t="shared" si="1"/>
        <v>0</v>
      </c>
      <c r="K57" s="30">
        <f t="shared" si="2"/>
        <v>0</v>
      </c>
      <c r="L57" s="30">
        <f t="shared" si="3"/>
        <v>0</v>
      </c>
      <c r="M57" s="30">
        <f t="shared" si="4"/>
        <v>0</v>
      </c>
      <c r="N57" s="31">
        <f>IF(F57="цифровой",IF(AND(F56="цифровой",OR(N56=1,N56="")),"",1),0)</f>
        <v>0</v>
      </c>
      <c r="O57" s="44" t="s">
        <v>147</v>
      </c>
      <c r="P57" s="43"/>
      <c r="Q57" s="43"/>
      <c r="R57" s="43"/>
    </row>
    <row r="58" spans="1:18" ht="15.75" customHeight="1" x14ac:dyDescent="0.2">
      <c r="A58" s="25"/>
      <c r="B58" s="63"/>
      <c r="C58" s="63"/>
      <c r="D58" s="63"/>
      <c r="E58" s="29" t="s">
        <v>53</v>
      </c>
      <c r="F58" s="28" t="s">
        <v>8</v>
      </c>
      <c r="G58" s="28" t="s">
        <v>9</v>
      </c>
      <c r="H58" s="29" t="s">
        <v>34</v>
      </c>
      <c r="I58" s="30">
        <f t="shared" si="0"/>
        <v>1</v>
      </c>
      <c r="J58" s="30">
        <f t="shared" si="1"/>
        <v>0</v>
      </c>
      <c r="K58" s="30">
        <f t="shared" si="2"/>
        <v>0</v>
      </c>
      <c r="L58" s="30">
        <f t="shared" si="3"/>
        <v>0</v>
      </c>
      <c r="M58" s="30">
        <f t="shared" si="4"/>
        <v>0</v>
      </c>
      <c r="N58" s="31">
        <f t="shared" ref="N58:N59" si="18">IF(F58="цифровой",IF(AND(F56="цифровой",OR(N56=1,N56="")),"",1),0)</f>
        <v>0</v>
      </c>
      <c r="O58" s="44" t="s">
        <v>148</v>
      </c>
      <c r="P58" s="43"/>
      <c r="Q58" s="43"/>
      <c r="R58" s="43"/>
    </row>
    <row r="59" spans="1:18" ht="15.75" customHeight="1" x14ac:dyDescent="0.2">
      <c r="A59" s="25"/>
      <c r="B59" s="63"/>
      <c r="C59" s="63"/>
      <c r="D59" s="63"/>
      <c r="E59" s="29" t="s">
        <v>48</v>
      </c>
      <c r="F59" s="28" t="s">
        <v>8</v>
      </c>
      <c r="G59" s="28" t="s">
        <v>9</v>
      </c>
      <c r="H59" s="29" t="s">
        <v>34</v>
      </c>
      <c r="I59" s="30">
        <f t="shared" si="0"/>
        <v>1</v>
      </c>
      <c r="J59" s="30">
        <f t="shared" si="1"/>
        <v>0</v>
      </c>
      <c r="K59" s="30">
        <f t="shared" si="2"/>
        <v>0</v>
      </c>
      <c r="L59" s="30">
        <f t="shared" si="3"/>
        <v>0</v>
      </c>
      <c r="M59" s="30">
        <f t="shared" si="4"/>
        <v>0</v>
      </c>
      <c r="N59" s="31">
        <f t="shared" si="18"/>
        <v>0</v>
      </c>
      <c r="O59" s="44" t="s">
        <v>149</v>
      </c>
      <c r="P59" s="43"/>
      <c r="Q59" s="43"/>
      <c r="R59" s="43"/>
    </row>
    <row r="60" spans="1:18" ht="15.75" customHeight="1" x14ac:dyDescent="0.2">
      <c r="A60" s="25"/>
      <c r="B60" s="63"/>
      <c r="C60" s="63"/>
      <c r="D60" s="63"/>
      <c r="E60" s="29" t="s">
        <v>54</v>
      </c>
      <c r="F60" s="28" t="s">
        <v>8</v>
      </c>
      <c r="G60" s="28" t="s">
        <v>9</v>
      </c>
      <c r="H60" s="29" t="s">
        <v>34</v>
      </c>
      <c r="I60" s="30">
        <f t="shared" si="0"/>
        <v>1</v>
      </c>
      <c r="J60" s="30">
        <f t="shared" si="1"/>
        <v>0</v>
      </c>
      <c r="K60" s="30">
        <f t="shared" si="2"/>
        <v>0</v>
      </c>
      <c r="L60" s="30">
        <f t="shared" si="3"/>
        <v>0</v>
      </c>
      <c r="M60" s="30">
        <f t="shared" si="4"/>
        <v>0</v>
      </c>
      <c r="N60" s="31">
        <f>IF(F60="цифровой",IF(AND(#REF!="цифровой",OR(#REF!=1,#REF!="")),"",1),0)</f>
        <v>0</v>
      </c>
      <c r="O60" s="44" t="s">
        <v>150</v>
      </c>
      <c r="P60" s="43"/>
      <c r="Q60" s="43"/>
      <c r="R60" s="43"/>
    </row>
    <row r="61" spans="1:18" ht="15.75" customHeight="1" x14ac:dyDescent="0.2">
      <c r="A61" s="25"/>
      <c r="B61" s="63"/>
      <c r="C61" s="63"/>
      <c r="D61" s="63"/>
      <c r="E61" s="29" t="s">
        <v>55</v>
      </c>
      <c r="F61" s="28" t="s">
        <v>8</v>
      </c>
      <c r="G61" s="28" t="s">
        <v>26</v>
      </c>
      <c r="H61" s="29" t="s">
        <v>34</v>
      </c>
      <c r="I61" s="30">
        <f t="shared" si="0"/>
        <v>0</v>
      </c>
      <c r="J61" s="30">
        <f t="shared" si="1"/>
        <v>1</v>
      </c>
      <c r="K61" s="30">
        <f t="shared" si="2"/>
        <v>0</v>
      </c>
      <c r="L61" s="30">
        <f t="shared" si="3"/>
        <v>0</v>
      </c>
      <c r="M61" s="30">
        <f t="shared" si="4"/>
        <v>0</v>
      </c>
      <c r="N61" s="31">
        <f>IF(F61="цифровой",IF(AND(#REF!="цифровой",OR(#REF!=1,#REF!="")),"",1),0)</f>
        <v>0</v>
      </c>
      <c r="O61" s="44" t="s">
        <v>151</v>
      </c>
      <c r="P61" s="43"/>
      <c r="Q61" s="43"/>
      <c r="R61" s="43"/>
    </row>
    <row r="62" spans="1:18" ht="15.75" customHeight="1" x14ac:dyDescent="0.2">
      <c r="A62" s="25"/>
      <c r="B62" s="63"/>
      <c r="C62" s="63"/>
      <c r="D62" s="63"/>
      <c r="E62" s="29" t="s">
        <v>56</v>
      </c>
      <c r="F62" s="28" t="s">
        <v>8</v>
      </c>
      <c r="G62" s="28" t="s">
        <v>26</v>
      </c>
      <c r="H62" s="29" t="s">
        <v>34</v>
      </c>
      <c r="I62" s="30">
        <f t="shared" si="0"/>
        <v>0</v>
      </c>
      <c r="J62" s="30">
        <f t="shared" si="1"/>
        <v>1</v>
      </c>
      <c r="K62" s="30">
        <f t="shared" si="2"/>
        <v>0</v>
      </c>
      <c r="L62" s="30">
        <f t="shared" si="3"/>
        <v>0</v>
      </c>
      <c r="M62" s="30">
        <f t="shared" si="4"/>
        <v>0</v>
      </c>
      <c r="N62" s="31">
        <f t="shared" ref="N62:N63" si="19">IF(F62="цифровой",IF(AND(F61="цифровой",OR(N61=1,N61="")),"",1),0)</f>
        <v>0</v>
      </c>
      <c r="O62" s="44" t="s">
        <v>152</v>
      </c>
      <c r="P62" s="43"/>
      <c r="Q62" s="43"/>
      <c r="R62" s="43"/>
    </row>
    <row r="63" spans="1:18" ht="15.75" customHeight="1" thickBot="1" x14ac:dyDescent="0.25">
      <c r="A63" s="25"/>
      <c r="B63" s="63"/>
      <c r="C63" s="63"/>
      <c r="D63" s="64"/>
      <c r="E63" s="36" t="s">
        <v>57</v>
      </c>
      <c r="F63" s="35" t="s">
        <v>8</v>
      </c>
      <c r="G63" s="35" t="s">
        <v>26</v>
      </c>
      <c r="H63" s="36" t="s">
        <v>34</v>
      </c>
      <c r="I63" s="37">
        <f t="shared" si="0"/>
        <v>0</v>
      </c>
      <c r="J63" s="37">
        <f t="shared" si="1"/>
        <v>1</v>
      </c>
      <c r="K63" s="37">
        <f t="shared" si="2"/>
        <v>0</v>
      </c>
      <c r="L63" s="37">
        <f t="shared" si="3"/>
        <v>0</v>
      </c>
      <c r="M63" s="37">
        <f t="shared" si="4"/>
        <v>0</v>
      </c>
      <c r="N63" s="38">
        <f t="shared" si="19"/>
        <v>0</v>
      </c>
      <c r="O63" s="44" t="s">
        <v>153</v>
      </c>
      <c r="P63" s="43"/>
      <c r="R63" s="43"/>
    </row>
    <row r="64" spans="1:18" ht="15.75" customHeight="1" x14ac:dyDescent="0.2">
      <c r="A64" s="25"/>
      <c r="B64" s="63"/>
      <c r="C64" s="63"/>
      <c r="D64" s="66" t="s">
        <v>154</v>
      </c>
      <c r="E64" s="21" t="s">
        <v>43</v>
      </c>
      <c r="F64" s="20" t="s">
        <v>8</v>
      </c>
      <c r="G64" s="20" t="s">
        <v>9</v>
      </c>
      <c r="H64" s="21" t="s">
        <v>34</v>
      </c>
      <c r="I64" s="22">
        <f t="shared" si="0"/>
        <v>1</v>
      </c>
      <c r="J64" s="22">
        <f t="shared" si="1"/>
        <v>0</v>
      </c>
      <c r="K64" s="22">
        <f t="shared" si="2"/>
        <v>0</v>
      </c>
      <c r="L64" s="22">
        <f t="shared" si="3"/>
        <v>0</v>
      </c>
      <c r="M64" s="22">
        <f t="shared" si="4"/>
        <v>0</v>
      </c>
      <c r="N64" s="23">
        <f>IF(F64="цифровой",IF(AND(#REF!="цифровой",OR(#REF!=1,#REF!="")),"",1),0)</f>
        <v>0</v>
      </c>
      <c r="O64" s="44" t="s">
        <v>155</v>
      </c>
      <c r="P64" s="43"/>
      <c r="Q64" s="44" t="s">
        <v>156</v>
      </c>
      <c r="R64" s="43"/>
    </row>
    <row r="65" spans="1:18" ht="15.75" customHeight="1" x14ac:dyDescent="0.2">
      <c r="A65" s="25"/>
      <c r="B65" s="63"/>
      <c r="C65" s="63"/>
      <c r="D65" s="63"/>
      <c r="E65" s="29" t="s">
        <v>44</v>
      </c>
      <c r="F65" s="28" t="s">
        <v>8</v>
      </c>
      <c r="G65" s="28" t="s">
        <v>9</v>
      </c>
      <c r="H65" s="29" t="s">
        <v>34</v>
      </c>
      <c r="I65" s="30">
        <f t="shared" si="0"/>
        <v>1</v>
      </c>
      <c r="J65" s="30">
        <f t="shared" si="1"/>
        <v>0</v>
      </c>
      <c r="K65" s="30">
        <f t="shared" si="2"/>
        <v>0</v>
      </c>
      <c r="L65" s="30">
        <f t="shared" si="3"/>
        <v>0</v>
      </c>
      <c r="M65" s="30">
        <f t="shared" si="4"/>
        <v>0</v>
      </c>
      <c r="N65" s="31">
        <f>IF(F65="цифровой",IF(AND(F64="цифровой",OR(N64=1,N64="")),"",1),0)</f>
        <v>0</v>
      </c>
      <c r="O65" s="44" t="s">
        <v>157</v>
      </c>
      <c r="P65" s="43"/>
      <c r="Q65" s="43"/>
      <c r="R65" s="43"/>
    </row>
    <row r="66" spans="1:18" ht="15.75" customHeight="1" x14ac:dyDescent="0.2">
      <c r="A66" s="25"/>
      <c r="B66" s="63"/>
      <c r="C66" s="63"/>
      <c r="D66" s="63"/>
      <c r="E66" s="29" t="s">
        <v>53</v>
      </c>
      <c r="F66" s="28" t="s">
        <v>8</v>
      </c>
      <c r="G66" s="28" t="s">
        <v>9</v>
      </c>
      <c r="H66" s="29" t="s">
        <v>34</v>
      </c>
      <c r="I66" s="30">
        <f t="shared" si="0"/>
        <v>1</v>
      </c>
      <c r="J66" s="30">
        <f t="shared" si="1"/>
        <v>0</v>
      </c>
      <c r="K66" s="30">
        <f t="shared" si="2"/>
        <v>0</v>
      </c>
      <c r="L66" s="30">
        <f t="shared" si="3"/>
        <v>0</v>
      </c>
      <c r="M66" s="30">
        <f t="shared" si="4"/>
        <v>0</v>
      </c>
      <c r="N66" s="31">
        <f t="shared" ref="N66:N67" si="20">IF(F66="цифровой",IF(AND(F64="цифровой",OR(N64=1,N64="")),"",1),0)</f>
        <v>0</v>
      </c>
      <c r="O66" s="44" t="s">
        <v>158</v>
      </c>
      <c r="P66" s="43"/>
      <c r="Q66" s="43"/>
      <c r="R66" s="43"/>
    </row>
    <row r="67" spans="1:18" ht="15.75" customHeight="1" x14ac:dyDescent="0.2">
      <c r="A67" s="25"/>
      <c r="B67" s="63"/>
      <c r="C67" s="63"/>
      <c r="D67" s="63"/>
      <c r="E67" s="29" t="s">
        <v>48</v>
      </c>
      <c r="F67" s="28" t="s">
        <v>8</v>
      </c>
      <c r="G67" s="28" t="s">
        <v>9</v>
      </c>
      <c r="H67" s="29" t="s">
        <v>34</v>
      </c>
      <c r="I67" s="30">
        <f t="shared" si="0"/>
        <v>1</v>
      </c>
      <c r="J67" s="30">
        <f t="shared" si="1"/>
        <v>0</v>
      </c>
      <c r="K67" s="30">
        <f t="shared" si="2"/>
        <v>0</v>
      </c>
      <c r="L67" s="30">
        <f t="shared" si="3"/>
        <v>0</v>
      </c>
      <c r="M67" s="30">
        <f t="shared" si="4"/>
        <v>0</v>
      </c>
      <c r="N67" s="31">
        <f t="shared" si="20"/>
        <v>0</v>
      </c>
      <c r="O67" s="44" t="s">
        <v>159</v>
      </c>
      <c r="P67" s="43"/>
      <c r="Q67" s="43"/>
      <c r="R67" s="43"/>
    </row>
    <row r="68" spans="1:18" ht="15.75" customHeight="1" x14ac:dyDescent="0.2">
      <c r="A68" s="25"/>
      <c r="B68" s="63"/>
      <c r="C68" s="63"/>
      <c r="D68" s="63"/>
      <c r="E68" s="29" t="s">
        <v>54</v>
      </c>
      <c r="F68" s="28" t="s">
        <v>8</v>
      </c>
      <c r="G68" s="28" t="s">
        <v>9</v>
      </c>
      <c r="H68" s="29" t="s">
        <v>34</v>
      </c>
      <c r="I68" s="30">
        <f t="shared" si="0"/>
        <v>1</v>
      </c>
      <c r="J68" s="30">
        <f t="shared" si="1"/>
        <v>0</v>
      </c>
      <c r="K68" s="30">
        <f t="shared" si="2"/>
        <v>0</v>
      </c>
      <c r="L68" s="30">
        <f t="shared" si="3"/>
        <v>0</v>
      </c>
      <c r="M68" s="30">
        <f t="shared" si="4"/>
        <v>0</v>
      </c>
      <c r="N68" s="31">
        <f>IF(F68="цифровой",IF(AND(#REF!="цифровой",OR(#REF!=1,#REF!="")),"",1),0)</f>
        <v>0</v>
      </c>
      <c r="O68" s="44" t="s">
        <v>160</v>
      </c>
      <c r="P68" s="43"/>
      <c r="Q68" s="43"/>
      <c r="R68" s="43"/>
    </row>
    <row r="69" spans="1:18" ht="15.75" customHeight="1" x14ac:dyDescent="0.2">
      <c r="A69" s="25"/>
      <c r="B69" s="63"/>
      <c r="C69" s="63"/>
      <c r="D69" s="63"/>
      <c r="E69" s="29" t="s">
        <v>55</v>
      </c>
      <c r="F69" s="28" t="s">
        <v>8</v>
      </c>
      <c r="G69" s="28" t="s">
        <v>26</v>
      </c>
      <c r="H69" s="29" t="s">
        <v>34</v>
      </c>
      <c r="I69" s="30">
        <f t="shared" si="0"/>
        <v>0</v>
      </c>
      <c r="J69" s="30">
        <f t="shared" si="1"/>
        <v>1</v>
      </c>
      <c r="K69" s="30">
        <f t="shared" si="2"/>
        <v>0</v>
      </c>
      <c r="L69" s="30">
        <f t="shared" si="3"/>
        <v>0</v>
      </c>
      <c r="M69" s="30">
        <f t="shared" si="4"/>
        <v>0</v>
      </c>
      <c r="N69" s="31">
        <f>IF(F69="цифровой",IF(AND(#REF!="цифровой",OR(#REF!=1,#REF!="")),"",1),0)</f>
        <v>0</v>
      </c>
      <c r="O69" s="44" t="s">
        <v>161</v>
      </c>
      <c r="P69" s="43"/>
      <c r="Q69" s="43"/>
      <c r="R69" s="43"/>
    </row>
    <row r="70" spans="1:18" ht="15.75" customHeight="1" x14ac:dyDescent="0.2">
      <c r="A70" s="25"/>
      <c r="B70" s="63"/>
      <c r="C70" s="63"/>
      <c r="D70" s="63"/>
      <c r="E70" s="29" t="s">
        <v>56</v>
      </c>
      <c r="F70" s="28" t="s">
        <v>8</v>
      </c>
      <c r="G70" s="28" t="s">
        <v>26</v>
      </c>
      <c r="H70" s="29" t="s">
        <v>34</v>
      </c>
      <c r="I70" s="30">
        <f t="shared" si="0"/>
        <v>0</v>
      </c>
      <c r="J70" s="30">
        <f t="shared" si="1"/>
        <v>1</v>
      </c>
      <c r="K70" s="30">
        <f t="shared" si="2"/>
        <v>0</v>
      </c>
      <c r="L70" s="30">
        <f t="shared" si="3"/>
        <v>0</v>
      </c>
      <c r="M70" s="30">
        <f t="shared" si="4"/>
        <v>0</v>
      </c>
      <c r="N70" s="31">
        <f t="shared" ref="N70:N71" si="21">IF(F70="цифровой",IF(AND(F69="цифровой",OR(N69=1,N69="")),"",1),0)</f>
        <v>0</v>
      </c>
      <c r="O70" s="44" t="s">
        <v>162</v>
      </c>
      <c r="P70" s="43"/>
      <c r="Q70" s="43"/>
      <c r="R70" s="43"/>
    </row>
    <row r="71" spans="1:18" ht="15.75" customHeight="1" thickBot="1" x14ac:dyDescent="0.25">
      <c r="A71" s="25"/>
      <c r="B71" s="63"/>
      <c r="C71" s="63"/>
      <c r="D71" s="64"/>
      <c r="E71" s="36" t="s">
        <v>57</v>
      </c>
      <c r="F71" s="35" t="s">
        <v>8</v>
      </c>
      <c r="G71" s="35" t="s">
        <v>26</v>
      </c>
      <c r="H71" s="36" t="s">
        <v>34</v>
      </c>
      <c r="I71" s="37">
        <f t="shared" si="0"/>
        <v>0</v>
      </c>
      <c r="J71" s="37">
        <f t="shared" si="1"/>
        <v>1</v>
      </c>
      <c r="K71" s="37">
        <f t="shared" si="2"/>
        <v>0</v>
      </c>
      <c r="L71" s="37">
        <f t="shared" si="3"/>
        <v>0</v>
      </c>
      <c r="M71" s="37">
        <f t="shared" si="4"/>
        <v>0</v>
      </c>
      <c r="N71" s="38">
        <f t="shared" si="21"/>
        <v>0</v>
      </c>
      <c r="O71" s="44" t="s">
        <v>163</v>
      </c>
      <c r="P71" s="43"/>
      <c r="Q71" s="43"/>
      <c r="R71" s="43"/>
    </row>
    <row r="72" spans="1:18" ht="15.75" customHeight="1" x14ac:dyDescent="0.2">
      <c r="A72" s="25"/>
      <c r="B72" s="63"/>
      <c r="C72" s="63"/>
      <c r="D72" s="66" t="s">
        <v>164</v>
      </c>
      <c r="E72" s="21" t="s">
        <v>43</v>
      </c>
      <c r="F72" s="20" t="s">
        <v>8</v>
      </c>
      <c r="G72" s="20" t="s">
        <v>9</v>
      </c>
      <c r="H72" s="21" t="s">
        <v>34</v>
      </c>
      <c r="I72" s="22">
        <f t="shared" si="0"/>
        <v>1</v>
      </c>
      <c r="J72" s="22">
        <f t="shared" si="1"/>
        <v>0</v>
      </c>
      <c r="K72" s="22">
        <f t="shared" si="2"/>
        <v>0</v>
      </c>
      <c r="L72" s="22">
        <f t="shared" si="3"/>
        <v>0</v>
      </c>
      <c r="M72" s="22">
        <f t="shared" si="4"/>
        <v>0</v>
      </c>
      <c r="N72" s="23">
        <f>IF(F72="цифровой",IF(AND(#REF!="цифровой",OR(#REF!=1,#REF!="")),"",1),0)</f>
        <v>0</v>
      </c>
      <c r="O72" s="44" t="s">
        <v>165</v>
      </c>
      <c r="P72" s="43"/>
      <c r="Q72" s="44" t="s">
        <v>166</v>
      </c>
      <c r="R72" s="43"/>
    </row>
    <row r="73" spans="1:18" ht="15.75" customHeight="1" x14ac:dyDescent="0.2">
      <c r="A73" s="25"/>
      <c r="B73" s="63"/>
      <c r="C73" s="63"/>
      <c r="D73" s="63"/>
      <c r="E73" s="29" t="s">
        <v>44</v>
      </c>
      <c r="F73" s="28" t="s">
        <v>8</v>
      </c>
      <c r="G73" s="28" t="s">
        <v>9</v>
      </c>
      <c r="H73" s="29" t="s">
        <v>34</v>
      </c>
      <c r="I73" s="30">
        <f t="shared" si="0"/>
        <v>1</v>
      </c>
      <c r="J73" s="30">
        <f t="shared" si="1"/>
        <v>0</v>
      </c>
      <c r="K73" s="30">
        <f t="shared" si="2"/>
        <v>0</v>
      </c>
      <c r="L73" s="30">
        <f t="shared" si="3"/>
        <v>0</v>
      </c>
      <c r="M73" s="30">
        <f t="shared" si="4"/>
        <v>0</v>
      </c>
      <c r="N73" s="31">
        <f>IF(F73="цифровой",IF(AND(F72="цифровой",OR(N72=1,N72="")),"",1),0)</f>
        <v>0</v>
      </c>
      <c r="O73" s="44" t="s">
        <v>167</v>
      </c>
      <c r="P73" s="43"/>
      <c r="Q73" s="43"/>
      <c r="R73" s="43"/>
    </row>
    <row r="74" spans="1:18" ht="15.75" customHeight="1" x14ac:dyDescent="0.2">
      <c r="A74" s="25"/>
      <c r="B74" s="63"/>
      <c r="C74" s="63"/>
      <c r="D74" s="63"/>
      <c r="E74" s="29" t="s">
        <v>53</v>
      </c>
      <c r="F74" s="28" t="s">
        <v>8</v>
      </c>
      <c r="G74" s="28" t="s">
        <v>9</v>
      </c>
      <c r="H74" s="29" t="s">
        <v>34</v>
      </c>
      <c r="I74" s="30">
        <f t="shared" si="0"/>
        <v>1</v>
      </c>
      <c r="J74" s="30">
        <f t="shared" si="1"/>
        <v>0</v>
      </c>
      <c r="K74" s="30">
        <f t="shared" si="2"/>
        <v>0</v>
      </c>
      <c r="L74" s="30">
        <f t="shared" si="3"/>
        <v>0</v>
      </c>
      <c r="M74" s="30">
        <f t="shared" si="4"/>
        <v>0</v>
      </c>
      <c r="N74" s="31">
        <f t="shared" ref="N74:N75" si="22">IF(F74="цифровой",IF(AND(F72="цифровой",OR(N72=1,N72="")),"",1),0)</f>
        <v>0</v>
      </c>
      <c r="O74" s="44" t="s">
        <v>168</v>
      </c>
      <c r="P74" s="43"/>
      <c r="Q74" s="43"/>
      <c r="R74" s="43"/>
    </row>
    <row r="75" spans="1:18" ht="15.75" customHeight="1" x14ac:dyDescent="0.2">
      <c r="A75" s="25"/>
      <c r="B75" s="63"/>
      <c r="C75" s="63"/>
      <c r="D75" s="63"/>
      <c r="E75" s="29" t="s">
        <v>48</v>
      </c>
      <c r="F75" s="28" t="s">
        <v>8</v>
      </c>
      <c r="G75" s="28" t="s">
        <v>9</v>
      </c>
      <c r="H75" s="29" t="s">
        <v>34</v>
      </c>
      <c r="I75" s="30">
        <f t="shared" si="0"/>
        <v>1</v>
      </c>
      <c r="J75" s="30">
        <f t="shared" si="1"/>
        <v>0</v>
      </c>
      <c r="K75" s="30">
        <f t="shared" si="2"/>
        <v>0</v>
      </c>
      <c r="L75" s="30">
        <f t="shared" si="3"/>
        <v>0</v>
      </c>
      <c r="M75" s="30">
        <f t="shared" si="4"/>
        <v>0</v>
      </c>
      <c r="N75" s="31">
        <f t="shared" si="22"/>
        <v>0</v>
      </c>
      <c r="O75" s="44" t="s">
        <v>169</v>
      </c>
      <c r="P75" s="43"/>
      <c r="Q75" s="43"/>
      <c r="R75" s="43"/>
    </row>
    <row r="76" spans="1:18" ht="15.75" customHeight="1" x14ac:dyDescent="0.2">
      <c r="A76" s="25"/>
      <c r="B76" s="63"/>
      <c r="C76" s="63"/>
      <c r="D76" s="63"/>
      <c r="E76" s="29" t="s">
        <v>54</v>
      </c>
      <c r="F76" s="28" t="s">
        <v>8</v>
      </c>
      <c r="G76" s="28" t="s">
        <v>9</v>
      </c>
      <c r="H76" s="29" t="s">
        <v>34</v>
      </c>
      <c r="I76" s="30">
        <f t="shared" si="0"/>
        <v>1</v>
      </c>
      <c r="J76" s="30">
        <f t="shared" si="1"/>
        <v>0</v>
      </c>
      <c r="K76" s="30">
        <f t="shared" si="2"/>
        <v>0</v>
      </c>
      <c r="L76" s="30">
        <f t="shared" si="3"/>
        <v>0</v>
      </c>
      <c r="M76" s="30">
        <f t="shared" si="4"/>
        <v>0</v>
      </c>
      <c r="N76" s="31">
        <f>IF(F76="цифровой",IF(AND(#REF!="цифровой",OR(#REF!=1,#REF!="")),"",1),0)</f>
        <v>0</v>
      </c>
      <c r="O76" s="44" t="s">
        <v>170</v>
      </c>
      <c r="P76" s="43"/>
      <c r="Q76" s="43"/>
      <c r="R76" s="43"/>
    </row>
    <row r="77" spans="1:18" ht="15.75" customHeight="1" x14ac:dyDescent="0.2">
      <c r="A77" s="25"/>
      <c r="B77" s="63"/>
      <c r="C77" s="63"/>
      <c r="D77" s="63"/>
      <c r="E77" s="29" t="s">
        <v>55</v>
      </c>
      <c r="F77" s="28" t="s">
        <v>8</v>
      </c>
      <c r="G77" s="28" t="s">
        <v>26</v>
      </c>
      <c r="H77" s="29" t="s">
        <v>34</v>
      </c>
      <c r="I77" s="30">
        <f t="shared" si="0"/>
        <v>0</v>
      </c>
      <c r="J77" s="30">
        <f t="shared" si="1"/>
        <v>1</v>
      </c>
      <c r="K77" s="30">
        <f t="shared" si="2"/>
        <v>0</v>
      </c>
      <c r="L77" s="30">
        <f t="shared" si="3"/>
        <v>0</v>
      </c>
      <c r="M77" s="30">
        <f t="shared" si="4"/>
        <v>0</v>
      </c>
      <c r="N77" s="31">
        <f>IF(F77="цифровой",IF(AND(#REF!="цифровой",OR(#REF!=1,#REF!="")),"",1),0)</f>
        <v>0</v>
      </c>
      <c r="O77" s="44" t="s">
        <v>171</v>
      </c>
      <c r="P77" s="43"/>
      <c r="Q77" s="43"/>
      <c r="R77" s="43"/>
    </row>
    <row r="78" spans="1:18" ht="15.75" customHeight="1" x14ac:dyDescent="0.2">
      <c r="A78" s="25"/>
      <c r="B78" s="63"/>
      <c r="C78" s="63"/>
      <c r="D78" s="63"/>
      <c r="E78" s="29" t="s">
        <v>56</v>
      </c>
      <c r="F78" s="28" t="s">
        <v>8</v>
      </c>
      <c r="G78" s="28" t="s">
        <v>26</v>
      </c>
      <c r="H78" s="29" t="s">
        <v>34</v>
      </c>
      <c r="I78" s="30">
        <f t="shared" si="0"/>
        <v>0</v>
      </c>
      <c r="J78" s="30">
        <f t="shared" si="1"/>
        <v>1</v>
      </c>
      <c r="K78" s="30">
        <f t="shared" si="2"/>
        <v>0</v>
      </c>
      <c r="L78" s="30">
        <f t="shared" si="3"/>
        <v>0</v>
      </c>
      <c r="M78" s="30">
        <f t="shared" si="4"/>
        <v>0</v>
      </c>
      <c r="N78" s="31">
        <f t="shared" ref="N78:N79" si="23">IF(F78="цифровой",IF(AND(F77="цифровой",OR(N77=1,N77="")),"",1),0)</f>
        <v>0</v>
      </c>
      <c r="O78" s="44" t="s">
        <v>172</v>
      </c>
      <c r="P78" s="43"/>
      <c r="Q78" s="43"/>
      <c r="R78" s="43"/>
    </row>
    <row r="79" spans="1:18" ht="15.75" customHeight="1" thickBot="1" x14ac:dyDescent="0.25">
      <c r="A79" s="25"/>
      <c r="B79" s="63"/>
      <c r="C79" s="63"/>
      <c r="D79" s="64"/>
      <c r="E79" s="36" t="s">
        <v>57</v>
      </c>
      <c r="F79" s="35" t="s">
        <v>8</v>
      </c>
      <c r="G79" s="35" t="s">
        <v>26</v>
      </c>
      <c r="H79" s="36" t="s">
        <v>34</v>
      </c>
      <c r="I79" s="37">
        <f t="shared" si="0"/>
        <v>0</v>
      </c>
      <c r="J79" s="37">
        <f t="shared" si="1"/>
        <v>1</v>
      </c>
      <c r="K79" s="37">
        <f t="shared" si="2"/>
        <v>0</v>
      </c>
      <c r="L79" s="37">
        <f t="shared" si="3"/>
        <v>0</v>
      </c>
      <c r="M79" s="37">
        <f t="shared" si="4"/>
        <v>0</v>
      </c>
      <c r="N79" s="38">
        <f t="shared" si="23"/>
        <v>0</v>
      </c>
      <c r="O79" s="44" t="s">
        <v>173</v>
      </c>
      <c r="P79" s="43"/>
      <c r="Q79" s="43"/>
      <c r="R79" s="43"/>
    </row>
    <row r="80" spans="1:18" ht="15.75" customHeight="1" x14ac:dyDescent="0.2">
      <c r="A80" s="25"/>
      <c r="B80" s="63"/>
      <c r="C80" s="63"/>
      <c r="D80" s="66" t="s">
        <v>174</v>
      </c>
      <c r="E80" s="21" t="s">
        <v>43</v>
      </c>
      <c r="F80" s="20" t="s">
        <v>8</v>
      </c>
      <c r="G80" s="20" t="s">
        <v>9</v>
      </c>
      <c r="H80" s="21" t="s">
        <v>34</v>
      </c>
      <c r="I80" s="22">
        <f t="shared" si="0"/>
        <v>1</v>
      </c>
      <c r="J80" s="22">
        <f t="shared" si="1"/>
        <v>0</v>
      </c>
      <c r="K80" s="22">
        <f t="shared" si="2"/>
        <v>0</v>
      </c>
      <c r="L80" s="22">
        <f t="shared" si="3"/>
        <v>0</v>
      </c>
      <c r="M80" s="22">
        <f t="shared" si="4"/>
        <v>0</v>
      </c>
      <c r="N80" s="23">
        <f>IF(F80="цифровой",IF(AND(#REF!="цифровой",OR(#REF!=1,#REF!="")),"",1),0)</f>
        <v>0</v>
      </c>
      <c r="O80" s="44" t="s">
        <v>175</v>
      </c>
      <c r="P80" s="43"/>
      <c r="Q80" s="44" t="s">
        <v>176</v>
      </c>
      <c r="R80" s="43"/>
    </row>
    <row r="81" spans="1:18" ht="15.75" customHeight="1" x14ac:dyDescent="0.2">
      <c r="A81" s="25"/>
      <c r="B81" s="63"/>
      <c r="C81" s="63"/>
      <c r="D81" s="63"/>
      <c r="E81" s="29" t="s">
        <v>44</v>
      </c>
      <c r="F81" s="28" t="s">
        <v>8</v>
      </c>
      <c r="G81" s="28" t="s">
        <v>9</v>
      </c>
      <c r="H81" s="29" t="s">
        <v>34</v>
      </c>
      <c r="I81" s="30">
        <f t="shared" si="0"/>
        <v>1</v>
      </c>
      <c r="J81" s="30">
        <f t="shared" si="1"/>
        <v>0</v>
      </c>
      <c r="K81" s="30">
        <f t="shared" si="2"/>
        <v>0</v>
      </c>
      <c r="L81" s="30">
        <f t="shared" si="3"/>
        <v>0</v>
      </c>
      <c r="M81" s="30">
        <f t="shared" si="4"/>
        <v>0</v>
      </c>
      <c r="N81" s="31">
        <f>IF(F81="цифровой",IF(AND(F80="цифровой",OR(N80=1,N80="")),"",1),0)</f>
        <v>0</v>
      </c>
      <c r="O81" s="44" t="s">
        <v>177</v>
      </c>
      <c r="P81" s="43"/>
      <c r="Q81" s="43"/>
      <c r="R81" s="43"/>
    </row>
    <row r="82" spans="1:18" ht="15.75" customHeight="1" x14ac:dyDescent="0.2">
      <c r="A82" s="25"/>
      <c r="B82" s="63"/>
      <c r="C82" s="63"/>
      <c r="D82" s="63"/>
      <c r="E82" s="29" t="s">
        <v>53</v>
      </c>
      <c r="F82" s="28" t="s">
        <v>8</v>
      </c>
      <c r="G82" s="28" t="s">
        <v>9</v>
      </c>
      <c r="H82" s="29" t="s">
        <v>34</v>
      </c>
      <c r="I82" s="30">
        <f t="shared" si="0"/>
        <v>1</v>
      </c>
      <c r="J82" s="30">
        <f t="shared" si="1"/>
        <v>0</v>
      </c>
      <c r="K82" s="30">
        <f t="shared" si="2"/>
        <v>0</v>
      </c>
      <c r="L82" s="30">
        <f t="shared" si="3"/>
        <v>0</v>
      </c>
      <c r="M82" s="30">
        <f t="shared" si="4"/>
        <v>0</v>
      </c>
      <c r="N82" s="31">
        <f t="shared" ref="N82:N83" si="24">IF(F82="цифровой",IF(AND(F80="цифровой",OR(N80=1,N80="")),"",1),0)</f>
        <v>0</v>
      </c>
      <c r="O82" s="44" t="s">
        <v>178</v>
      </c>
      <c r="P82" s="43"/>
      <c r="Q82" s="43"/>
      <c r="R82" s="43"/>
    </row>
    <row r="83" spans="1:18" ht="15.75" customHeight="1" x14ac:dyDescent="0.2">
      <c r="A83" s="25"/>
      <c r="B83" s="63"/>
      <c r="C83" s="63"/>
      <c r="D83" s="63"/>
      <c r="E83" s="29" t="s">
        <v>48</v>
      </c>
      <c r="F83" s="28" t="s">
        <v>8</v>
      </c>
      <c r="G83" s="28" t="s">
        <v>9</v>
      </c>
      <c r="H83" s="29" t="s">
        <v>34</v>
      </c>
      <c r="I83" s="30">
        <f t="shared" si="0"/>
        <v>1</v>
      </c>
      <c r="J83" s="30">
        <f t="shared" si="1"/>
        <v>0</v>
      </c>
      <c r="K83" s="30">
        <f t="shared" si="2"/>
        <v>0</v>
      </c>
      <c r="L83" s="30">
        <f t="shared" si="3"/>
        <v>0</v>
      </c>
      <c r="M83" s="30">
        <f t="shared" si="4"/>
        <v>0</v>
      </c>
      <c r="N83" s="31">
        <f t="shared" si="24"/>
        <v>0</v>
      </c>
      <c r="O83" s="44" t="s">
        <v>179</v>
      </c>
      <c r="P83" s="43"/>
      <c r="Q83" s="43"/>
      <c r="R83" s="43"/>
    </row>
    <row r="84" spans="1:18" ht="15.75" customHeight="1" x14ac:dyDescent="0.2">
      <c r="A84" s="25"/>
      <c r="B84" s="63"/>
      <c r="C84" s="63"/>
      <c r="D84" s="63"/>
      <c r="E84" s="29" t="s">
        <v>54</v>
      </c>
      <c r="F84" s="28" t="s">
        <v>8</v>
      </c>
      <c r="G84" s="28" t="s">
        <v>9</v>
      </c>
      <c r="H84" s="29" t="s">
        <v>34</v>
      </c>
      <c r="I84" s="30">
        <f t="shared" si="0"/>
        <v>1</v>
      </c>
      <c r="J84" s="30">
        <f t="shared" si="1"/>
        <v>0</v>
      </c>
      <c r="K84" s="30">
        <f t="shared" si="2"/>
        <v>0</v>
      </c>
      <c r="L84" s="30">
        <f t="shared" si="3"/>
        <v>0</v>
      </c>
      <c r="M84" s="30">
        <f t="shared" si="4"/>
        <v>0</v>
      </c>
      <c r="N84" s="31">
        <f>IF(F84="цифровой",IF(AND(#REF!="цифровой",OR(#REF!=1,#REF!="")),"",1),0)</f>
        <v>0</v>
      </c>
      <c r="O84" s="44" t="s">
        <v>180</v>
      </c>
      <c r="P84" s="43"/>
      <c r="Q84" s="43"/>
      <c r="R84" s="43"/>
    </row>
    <row r="85" spans="1:18" ht="15.75" customHeight="1" x14ac:dyDescent="0.2">
      <c r="A85" s="25"/>
      <c r="B85" s="63"/>
      <c r="C85" s="63"/>
      <c r="D85" s="63"/>
      <c r="E85" s="29" t="s">
        <v>55</v>
      </c>
      <c r="F85" s="28" t="s">
        <v>8</v>
      </c>
      <c r="G85" s="28" t="s">
        <v>26</v>
      </c>
      <c r="H85" s="29" t="s">
        <v>34</v>
      </c>
      <c r="I85" s="30">
        <f t="shared" si="0"/>
        <v>0</v>
      </c>
      <c r="J85" s="30">
        <f t="shared" si="1"/>
        <v>1</v>
      </c>
      <c r="K85" s="30">
        <f t="shared" si="2"/>
        <v>0</v>
      </c>
      <c r="L85" s="30">
        <f t="shared" si="3"/>
        <v>0</v>
      </c>
      <c r="M85" s="30">
        <f t="shared" si="4"/>
        <v>0</v>
      </c>
      <c r="N85" s="31">
        <f>IF(F85="цифровой",IF(AND(#REF!="цифровой",OR(#REF!=1,#REF!="")),"",1),0)</f>
        <v>0</v>
      </c>
      <c r="O85" s="44" t="s">
        <v>181</v>
      </c>
      <c r="P85" s="43"/>
      <c r="Q85" s="43"/>
      <c r="R85" s="43"/>
    </row>
    <row r="86" spans="1:18" ht="15.75" customHeight="1" x14ac:dyDescent="0.2">
      <c r="A86" s="25"/>
      <c r="B86" s="63"/>
      <c r="C86" s="63"/>
      <c r="D86" s="63"/>
      <c r="E86" s="29" t="s">
        <v>56</v>
      </c>
      <c r="F86" s="28" t="s">
        <v>8</v>
      </c>
      <c r="G86" s="28" t="s">
        <v>26</v>
      </c>
      <c r="H86" s="29" t="s">
        <v>34</v>
      </c>
      <c r="I86" s="30">
        <f t="shared" si="0"/>
        <v>0</v>
      </c>
      <c r="J86" s="30">
        <f t="shared" si="1"/>
        <v>1</v>
      </c>
      <c r="K86" s="30">
        <f t="shared" si="2"/>
        <v>0</v>
      </c>
      <c r="L86" s="30">
        <f t="shared" si="3"/>
        <v>0</v>
      </c>
      <c r="M86" s="30">
        <f t="shared" si="4"/>
        <v>0</v>
      </c>
      <c r="N86" s="31">
        <f t="shared" ref="N86:N87" si="25">IF(F86="цифровой",IF(AND(F85="цифровой",OR(N85=1,N85="")),"",1),0)</f>
        <v>0</v>
      </c>
      <c r="O86" s="44" t="s">
        <v>182</v>
      </c>
      <c r="P86" s="43"/>
      <c r="Q86" s="43"/>
      <c r="R86" s="43"/>
    </row>
    <row r="87" spans="1:18" ht="15.75" customHeight="1" thickBot="1" x14ac:dyDescent="0.25">
      <c r="A87" s="25"/>
      <c r="B87" s="63"/>
      <c r="C87" s="63"/>
      <c r="D87" s="64"/>
      <c r="E87" s="36" t="s">
        <v>57</v>
      </c>
      <c r="F87" s="35" t="s">
        <v>8</v>
      </c>
      <c r="G87" s="35" t="s">
        <v>26</v>
      </c>
      <c r="H87" s="36" t="s">
        <v>34</v>
      </c>
      <c r="I87" s="37">
        <f t="shared" si="0"/>
        <v>0</v>
      </c>
      <c r="J87" s="37">
        <f t="shared" si="1"/>
        <v>1</v>
      </c>
      <c r="K87" s="37">
        <f t="shared" si="2"/>
        <v>0</v>
      </c>
      <c r="L87" s="37">
        <f t="shared" si="3"/>
        <v>0</v>
      </c>
      <c r="M87" s="37">
        <f t="shared" si="4"/>
        <v>0</v>
      </c>
      <c r="N87" s="38">
        <f t="shared" si="25"/>
        <v>0</v>
      </c>
      <c r="O87" s="44" t="s">
        <v>183</v>
      </c>
      <c r="P87" s="43"/>
      <c r="Q87" s="43"/>
      <c r="R87" s="43"/>
    </row>
    <row r="88" spans="1:18" ht="15.75" customHeight="1" x14ac:dyDescent="0.2">
      <c r="A88" s="25"/>
      <c r="B88" s="63"/>
      <c r="C88" s="63"/>
      <c r="D88" s="62" t="s">
        <v>184</v>
      </c>
      <c r="E88" s="19" t="s">
        <v>51</v>
      </c>
      <c r="F88" s="20" t="s">
        <v>8</v>
      </c>
      <c r="G88" s="20" t="s">
        <v>9</v>
      </c>
      <c r="H88" s="21" t="s">
        <v>34</v>
      </c>
      <c r="I88" s="22">
        <f t="shared" si="0"/>
        <v>1</v>
      </c>
      <c r="J88" s="22">
        <f t="shared" si="1"/>
        <v>0</v>
      </c>
      <c r="K88" s="22">
        <f t="shared" si="2"/>
        <v>0</v>
      </c>
      <c r="L88" s="22">
        <f t="shared" si="3"/>
        <v>0</v>
      </c>
      <c r="M88" s="22">
        <f t="shared" si="4"/>
        <v>0</v>
      </c>
      <c r="N88" s="23">
        <f>IF(F88="цифровой",IF(AND(#REF!="цифровой",OR(#REF!=1,#REF!="")),"",1),0)</f>
        <v>0</v>
      </c>
      <c r="O88" s="44" t="s">
        <v>185</v>
      </c>
      <c r="P88" s="43"/>
      <c r="Q88" s="44" t="s">
        <v>186</v>
      </c>
      <c r="R88" s="43"/>
    </row>
    <row r="89" spans="1:18" ht="15.75" customHeight="1" x14ac:dyDescent="0.2">
      <c r="A89" s="25"/>
      <c r="B89" s="63"/>
      <c r="C89" s="63"/>
      <c r="D89" s="63"/>
      <c r="E89" s="27" t="s">
        <v>52</v>
      </c>
      <c r="F89" s="28" t="s">
        <v>8</v>
      </c>
      <c r="G89" s="28" t="s">
        <v>9</v>
      </c>
      <c r="H89" s="29" t="s">
        <v>34</v>
      </c>
      <c r="I89" s="30">
        <f t="shared" si="0"/>
        <v>1</v>
      </c>
      <c r="J89" s="30">
        <f t="shared" si="1"/>
        <v>0</v>
      </c>
      <c r="K89" s="30">
        <f t="shared" si="2"/>
        <v>0</v>
      </c>
      <c r="L89" s="30">
        <f t="shared" si="3"/>
        <v>0</v>
      </c>
      <c r="M89" s="30">
        <f t="shared" si="4"/>
        <v>0</v>
      </c>
      <c r="N89" s="31">
        <f t="shared" ref="N89:N91" si="26">IF(F89="цифровой",IF(AND(F88="цифровой",OR(N88=1,N88="")),"",1),0)</f>
        <v>0</v>
      </c>
      <c r="O89" s="44" t="s">
        <v>187</v>
      </c>
      <c r="P89" s="43"/>
      <c r="Q89" s="43"/>
      <c r="R89" s="43"/>
    </row>
    <row r="90" spans="1:18" ht="15.75" customHeight="1" x14ac:dyDescent="0.2">
      <c r="A90" s="25"/>
      <c r="B90" s="63"/>
      <c r="C90" s="63"/>
      <c r="D90" s="63"/>
      <c r="E90" s="27" t="s">
        <v>45</v>
      </c>
      <c r="F90" s="28" t="s">
        <v>8</v>
      </c>
      <c r="G90" s="28" t="s">
        <v>9</v>
      </c>
      <c r="H90" s="29" t="s">
        <v>34</v>
      </c>
      <c r="I90" s="30">
        <f t="shared" si="0"/>
        <v>1</v>
      </c>
      <c r="J90" s="30">
        <f t="shared" si="1"/>
        <v>0</v>
      </c>
      <c r="K90" s="30">
        <f t="shared" si="2"/>
        <v>0</v>
      </c>
      <c r="L90" s="30">
        <f t="shared" si="3"/>
        <v>0</v>
      </c>
      <c r="M90" s="30">
        <f t="shared" si="4"/>
        <v>0</v>
      </c>
      <c r="N90" s="31">
        <f t="shared" si="26"/>
        <v>0</v>
      </c>
      <c r="O90" s="44" t="s">
        <v>188</v>
      </c>
      <c r="P90" s="43"/>
      <c r="Q90" s="43"/>
      <c r="R90" s="43"/>
    </row>
    <row r="91" spans="1:18" ht="15.75" customHeight="1" x14ac:dyDescent="0.2">
      <c r="A91" s="25"/>
      <c r="B91" s="63"/>
      <c r="C91" s="63"/>
      <c r="D91" s="63"/>
      <c r="E91" s="27" t="s">
        <v>47</v>
      </c>
      <c r="F91" s="28" t="s">
        <v>8</v>
      </c>
      <c r="G91" s="28" t="s">
        <v>9</v>
      </c>
      <c r="H91" s="29" t="s">
        <v>34</v>
      </c>
      <c r="I91" s="30">
        <f t="shared" si="0"/>
        <v>1</v>
      </c>
      <c r="J91" s="30">
        <f t="shared" si="1"/>
        <v>0</v>
      </c>
      <c r="K91" s="30">
        <f t="shared" si="2"/>
        <v>0</v>
      </c>
      <c r="L91" s="30">
        <f t="shared" si="3"/>
        <v>0</v>
      </c>
      <c r="M91" s="30">
        <f t="shared" si="4"/>
        <v>0</v>
      </c>
      <c r="N91" s="31">
        <f t="shared" si="26"/>
        <v>0</v>
      </c>
      <c r="O91" s="44" t="s">
        <v>189</v>
      </c>
      <c r="P91" s="43"/>
      <c r="Q91" s="43"/>
      <c r="R91" s="43"/>
    </row>
    <row r="92" spans="1:18" ht="15.75" customHeight="1" x14ac:dyDescent="0.2">
      <c r="A92" s="25"/>
      <c r="B92" s="63"/>
      <c r="C92" s="63"/>
      <c r="D92" s="63"/>
      <c r="E92" s="27" t="s">
        <v>48</v>
      </c>
      <c r="F92" s="28" t="s">
        <v>8</v>
      </c>
      <c r="G92" s="28" t="s">
        <v>9</v>
      </c>
      <c r="H92" s="29" t="s">
        <v>34</v>
      </c>
      <c r="I92" s="30">
        <f t="shared" si="0"/>
        <v>1</v>
      </c>
      <c r="J92" s="30">
        <f t="shared" si="1"/>
        <v>0</v>
      </c>
      <c r="K92" s="30">
        <f t="shared" si="2"/>
        <v>0</v>
      </c>
      <c r="L92" s="30">
        <f t="shared" si="3"/>
        <v>0</v>
      </c>
      <c r="M92" s="30">
        <f t="shared" si="4"/>
        <v>0</v>
      </c>
      <c r="N92" s="31">
        <f>IF(F92="цифровой",IF(AND(F90="цифровой",OR(N90=1,N90="")),"",1),0)</f>
        <v>0</v>
      </c>
      <c r="O92" s="44" t="s">
        <v>190</v>
      </c>
      <c r="P92" s="43"/>
      <c r="Q92" s="43"/>
      <c r="R92" s="43"/>
    </row>
    <row r="93" spans="1:18" ht="15.75" customHeight="1" x14ac:dyDescent="0.2">
      <c r="A93" s="25"/>
      <c r="B93" s="63"/>
      <c r="C93" s="63"/>
      <c r="D93" s="63"/>
      <c r="E93" s="27" t="s">
        <v>54</v>
      </c>
      <c r="F93" s="28" t="s">
        <v>8</v>
      </c>
      <c r="G93" s="28" t="s">
        <v>9</v>
      </c>
      <c r="H93" s="29" t="s">
        <v>34</v>
      </c>
      <c r="I93" s="30">
        <f t="shared" si="0"/>
        <v>1</v>
      </c>
      <c r="J93" s="30">
        <f t="shared" si="1"/>
        <v>0</v>
      </c>
      <c r="K93" s="30">
        <f t="shared" si="2"/>
        <v>0</v>
      </c>
      <c r="L93" s="30">
        <f t="shared" si="3"/>
        <v>0</v>
      </c>
      <c r="M93" s="30">
        <f t="shared" si="4"/>
        <v>0</v>
      </c>
      <c r="N93" s="31">
        <f>IF(F93="цифровой",IF(AND(#REF!="цифровой",OR(#REF!=1,#REF!="")),"",1),0)</f>
        <v>0</v>
      </c>
      <c r="O93" s="44" t="s">
        <v>191</v>
      </c>
      <c r="P93" s="43"/>
      <c r="Q93" s="43"/>
      <c r="R93" s="43"/>
    </row>
    <row r="94" spans="1:18" ht="15.75" customHeight="1" x14ac:dyDescent="0.2">
      <c r="A94" s="25"/>
      <c r="B94" s="63"/>
      <c r="C94" s="63"/>
      <c r="D94" s="63"/>
      <c r="E94" s="27" t="s">
        <v>55</v>
      </c>
      <c r="F94" s="28" t="s">
        <v>8</v>
      </c>
      <c r="G94" s="28" t="s">
        <v>26</v>
      </c>
      <c r="H94" s="29" t="s">
        <v>34</v>
      </c>
      <c r="I94" s="30">
        <f t="shared" si="0"/>
        <v>0</v>
      </c>
      <c r="J94" s="30">
        <f t="shared" si="1"/>
        <v>1</v>
      </c>
      <c r="K94" s="30">
        <f t="shared" si="2"/>
        <v>0</v>
      </c>
      <c r="L94" s="30">
        <f t="shared" si="3"/>
        <v>0</v>
      </c>
      <c r="M94" s="30">
        <f t="shared" si="4"/>
        <v>0</v>
      </c>
      <c r="N94" s="31">
        <f>IF(F94="цифровой",IF(AND(#REF!="цифровой",OR(#REF!=1,#REF!="")),"",1),0)</f>
        <v>0</v>
      </c>
      <c r="O94" s="44" t="s">
        <v>192</v>
      </c>
      <c r="P94" s="43"/>
      <c r="Q94" s="43"/>
      <c r="R94" s="43"/>
    </row>
    <row r="95" spans="1:18" ht="15.75" customHeight="1" x14ac:dyDescent="0.2">
      <c r="A95" s="25"/>
      <c r="B95" s="63"/>
      <c r="C95" s="63"/>
      <c r="D95" s="63"/>
      <c r="E95" s="27" t="s">
        <v>56</v>
      </c>
      <c r="F95" s="28" t="s">
        <v>8</v>
      </c>
      <c r="G95" s="28" t="s">
        <v>26</v>
      </c>
      <c r="H95" s="29" t="s">
        <v>34</v>
      </c>
      <c r="I95" s="30">
        <f t="shared" si="0"/>
        <v>0</v>
      </c>
      <c r="J95" s="30">
        <f t="shared" si="1"/>
        <v>1</v>
      </c>
      <c r="K95" s="30">
        <f t="shared" si="2"/>
        <v>0</v>
      </c>
      <c r="L95" s="30">
        <f t="shared" si="3"/>
        <v>0</v>
      </c>
      <c r="M95" s="30">
        <f t="shared" si="4"/>
        <v>0</v>
      </c>
      <c r="N95" s="31">
        <f t="shared" ref="N95:N96" si="27">IF(F95="цифровой",IF(AND(F94="цифровой",OR(N94=1,N94="")),"",1),0)</f>
        <v>0</v>
      </c>
      <c r="O95" s="44" t="s">
        <v>193</v>
      </c>
      <c r="P95" s="43"/>
      <c r="Q95" s="43"/>
      <c r="R95" s="43"/>
    </row>
    <row r="96" spans="1:18" ht="15.75" customHeight="1" thickBot="1" x14ac:dyDescent="0.25">
      <c r="A96" s="25"/>
      <c r="B96" s="63"/>
      <c r="C96" s="63"/>
      <c r="D96" s="64"/>
      <c r="E96" s="34" t="s">
        <v>57</v>
      </c>
      <c r="F96" s="35" t="s">
        <v>8</v>
      </c>
      <c r="G96" s="35" t="s">
        <v>26</v>
      </c>
      <c r="H96" s="36" t="s">
        <v>34</v>
      </c>
      <c r="I96" s="37">
        <f t="shared" si="0"/>
        <v>0</v>
      </c>
      <c r="J96" s="37">
        <f t="shared" si="1"/>
        <v>1</v>
      </c>
      <c r="K96" s="37">
        <f t="shared" si="2"/>
        <v>0</v>
      </c>
      <c r="L96" s="37">
        <f t="shared" si="3"/>
        <v>0</v>
      </c>
      <c r="M96" s="37">
        <f t="shared" si="4"/>
        <v>0</v>
      </c>
      <c r="N96" s="38">
        <f t="shared" si="27"/>
        <v>0</v>
      </c>
      <c r="O96" s="44" t="s">
        <v>194</v>
      </c>
      <c r="P96" s="43"/>
      <c r="Q96" s="43"/>
      <c r="R96" s="43"/>
    </row>
    <row r="97" spans="1:18" ht="15.75" customHeight="1" x14ac:dyDescent="0.2">
      <c r="A97" s="25"/>
      <c r="B97" s="63"/>
      <c r="C97" s="63"/>
      <c r="D97" s="62" t="s">
        <v>68</v>
      </c>
      <c r="E97" s="19" t="s">
        <v>69</v>
      </c>
      <c r="F97" s="20" t="s">
        <v>8</v>
      </c>
      <c r="G97" s="20" t="s">
        <v>9</v>
      </c>
      <c r="H97" s="21" t="s">
        <v>34</v>
      </c>
      <c r="I97" s="22">
        <f t="shared" si="0"/>
        <v>1</v>
      </c>
      <c r="J97" s="22">
        <f t="shared" si="1"/>
        <v>0</v>
      </c>
      <c r="K97" s="22">
        <f t="shared" si="2"/>
        <v>0</v>
      </c>
      <c r="L97" s="22">
        <f t="shared" si="3"/>
        <v>0</v>
      </c>
      <c r="M97" s="22">
        <f t="shared" si="4"/>
        <v>0</v>
      </c>
      <c r="N97" s="23">
        <f>IF(F97="цифровой",IF(AND(#REF!="цифровой",OR(#REF!=1,#REF!="")),"",1),0)</f>
        <v>0</v>
      </c>
      <c r="O97" s="44" t="s">
        <v>195</v>
      </c>
      <c r="P97" s="43"/>
      <c r="Q97" s="44" t="s">
        <v>196</v>
      </c>
      <c r="R97" s="43"/>
    </row>
    <row r="98" spans="1:18" ht="15.75" customHeight="1" thickBot="1" x14ac:dyDescent="0.25">
      <c r="A98" s="25"/>
      <c r="B98" s="63"/>
      <c r="C98" s="63"/>
      <c r="D98" s="64"/>
      <c r="E98" s="34" t="s">
        <v>70</v>
      </c>
      <c r="F98" s="35" t="s">
        <v>8</v>
      </c>
      <c r="G98" s="35" t="s">
        <v>9</v>
      </c>
      <c r="H98" s="36" t="s">
        <v>34</v>
      </c>
      <c r="I98" s="37">
        <f t="shared" si="0"/>
        <v>1</v>
      </c>
      <c r="J98" s="37">
        <f t="shared" si="1"/>
        <v>0</v>
      </c>
      <c r="K98" s="37">
        <f t="shared" si="2"/>
        <v>0</v>
      </c>
      <c r="L98" s="37">
        <f t="shared" si="3"/>
        <v>0</v>
      </c>
      <c r="M98" s="37">
        <f t="shared" si="4"/>
        <v>0</v>
      </c>
      <c r="N98" s="38">
        <f>IF(F98="цифровой",IF(AND(F89="цифровой",OR(N89=1,N89="")),"",1),0)</f>
        <v>0</v>
      </c>
      <c r="O98" s="44" t="s">
        <v>197</v>
      </c>
      <c r="P98" s="43"/>
      <c r="Q98" s="44" t="s">
        <v>198</v>
      </c>
      <c r="R98" s="43"/>
    </row>
    <row r="99" spans="1:18" ht="15.75" customHeight="1" thickBot="1" x14ac:dyDescent="0.25">
      <c r="A99" s="32"/>
      <c r="B99" s="64"/>
      <c r="C99" s="64"/>
      <c r="D99" s="46"/>
      <c r="E99" s="56" t="s">
        <v>71</v>
      </c>
      <c r="F99" s="57" t="s">
        <v>8</v>
      </c>
      <c r="G99" s="57" t="s">
        <v>9</v>
      </c>
      <c r="H99" s="56" t="s">
        <v>32</v>
      </c>
      <c r="I99" s="58">
        <f t="shared" si="0"/>
        <v>1</v>
      </c>
      <c r="J99" s="58">
        <f t="shared" si="1"/>
        <v>0</v>
      </c>
      <c r="K99" s="58">
        <f t="shared" si="2"/>
        <v>0</v>
      </c>
      <c r="L99" s="58">
        <f t="shared" si="3"/>
        <v>0</v>
      </c>
      <c r="M99" s="58">
        <f t="shared" si="4"/>
        <v>0</v>
      </c>
      <c r="N99" s="59">
        <f>IF(F99="цифровой",IF(AND(F92="цифровой",OR(N92=1,N92="")),"",1),0)</f>
        <v>0</v>
      </c>
      <c r="O99" s="44" t="s">
        <v>199</v>
      </c>
      <c r="P99" s="43"/>
      <c r="Q99" s="44" t="s">
        <v>200</v>
      </c>
      <c r="R99" s="43"/>
    </row>
    <row r="100" spans="1:18" ht="15.75" customHeight="1" thickBot="1" x14ac:dyDescent="0.25">
      <c r="A100" s="47"/>
      <c r="B100" s="60" t="s">
        <v>28</v>
      </c>
      <c r="C100" s="48" t="s">
        <v>201</v>
      </c>
      <c r="D100" s="49"/>
      <c r="E100" s="54" t="s">
        <v>72</v>
      </c>
      <c r="F100" s="51" t="s">
        <v>8</v>
      </c>
      <c r="G100" s="51" t="s">
        <v>9</v>
      </c>
      <c r="H100" s="50" t="s">
        <v>34</v>
      </c>
      <c r="I100" s="52">
        <f t="shared" si="0"/>
        <v>1</v>
      </c>
      <c r="J100" s="52">
        <f t="shared" si="1"/>
        <v>0</v>
      </c>
      <c r="K100" s="52">
        <f t="shared" si="2"/>
        <v>0</v>
      </c>
      <c r="L100" s="52">
        <f t="shared" si="3"/>
        <v>0</v>
      </c>
      <c r="M100" s="52">
        <f t="shared" si="4"/>
        <v>0</v>
      </c>
      <c r="N100" s="53">
        <f t="shared" ref="N100:N101" si="28">IF(F100="цифровой",IF(AND(F99="цифровой",OR(N99=1,N99="")),"",1),0)</f>
        <v>0</v>
      </c>
      <c r="O100" s="44" t="s">
        <v>202</v>
      </c>
      <c r="P100" s="43"/>
      <c r="Q100" s="44" t="s">
        <v>203</v>
      </c>
      <c r="R100" s="43"/>
    </row>
    <row r="101" spans="1:18" ht="15.75" customHeight="1" x14ac:dyDescent="0.2">
      <c r="A101" s="17"/>
      <c r="B101" s="68" t="s">
        <v>28</v>
      </c>
      <c r="C101" s="65" t="s">
        <v>58</v>
      </c>
      <c r="D101" s="18"/>
      <c r="E101" s="19" t="s">
        <v>59</v>
      </c>
      <c r="F101" s="20" t="s">
        <v>8</v>
      </c>
      <c r="G101" s="20" t="s">
        <v>9</v>
      </c>
      <c r="H101" s="21" t="s">
        <v>32</v>
      </c>
      <c r="I101" s="22">
        <f t="shared" si="0"/>
        <v>1</v>
      </c>
      <c r="J101" s="22">
        <f t="shared" si="1"/>
        <v>0</v>
      </c>
      <c r="K101" s="22">
        <f t="shared" si="2"/>
        <v>0</v>
      </c>
      <c r="L101" s="22">
        <f t="shared" si="3"/>
        <v>0</v>
      </c>
      <c r="M101" s="22">
        <f t="shared" si="4"/>
        <v>0</v>
      </c>
      <c r="N101" s="23">
        <f t="shared" si="28"/>
        <v>0</v>
      </c>
      <c r="O101" s="43"/>
      <c r="P101" s="43"/>
      <c r="Q101" s="43"/>
      <c r="R101" s="43"/>
    </row>
    <row r="102" spans="1:18" ht="15.75" customHeight="1" x14ac:dyDescent="0.2">
      <c r="A102" s="25"/>
      <c r="B102" s="63"/>
      <c r="C102" s="63"/>
      <c r="D102" s="26"/>
      <c r="E102" s="27" t="s">
        <v>60</v>
      </c>
      <c r="F102" s="28" t="s">
        <v>8</v>
      </c>
      <c r="G102" s="28" t="s">
        <v>9</v>
      </c>
      <c r="H102" s="29" t="s">
        <v>32</v>
      </c>
      <c r="I102" s="30">
        <f t="shared" si="0"/>
        <v>1</v>
      </c>
      <c r="J102" s="30">
        <f t="shared" si="1"/>
        <v>0</v>
      </c>
      <c r="K102" s="30">
        <f t="shared" si="2"/>
        <v>0</v>
      </c>
      <c r="L102" s="30">
        <f t="shared" si="3"/>
        <v>0</v>
      </c>
      <c r="M102" s="30">
        <f t="shared" si="4"/>
        <v>0</v>
      </c>
      <c r="N102" s="31">
        <f t="shared" ref="N102:N106" si="29">IF(F102="цифровой",IF(AND(#REF!="цифровой",OR(#REF!=1,#REF!="")),"",1),0)</f>
        <v>0</v>
      </c>
      <c r="O102" s="43"/>
      <c r="P102" s="43"/>
      <c r="Q102" s="43"/>
      <c r="R102" s="43"/>
    </row>
    <row r="103" spans="1:18" ht="15.75" customHeight="1" x14ac:dyDescent="0.2">
      <c r="A103" s="25"/>
      <c r="B103" s="63"/>
      <c r="C103" s="63"/>
      <c r="D103" s="26"/>
      <c r="E103" s="27" t="s">
        <v>61</v>
      </c>
      <c r="F103" s="28" t="s">
        <v>8</v>
      </c>
      <c r="G103" s="28" t="s">
        <v>9</v>
      </c>
      <c r="H103" s="29" t="s">
        <v>32</v>
      </c>
      <c r="I103" s="30">
        <f t="shared" si="0"/>
        <v>1</v>
      </c>
      <c r="J103" s="30">
        <f t="shared" si="1"/>
        <v>0</v>
      </c>
      <c r="K103" s="30">
        <f t="shared" si="2"/>
        <v>0</v>
      </c>
      <c r="L103" s="30">
        <f t="shared" si="3"/>
        <v>0</v>
      </c>
      <c r="M103" s="30">
        <f t="shared" si="4"/>
        <v>0</v>
      </c>
      <c r="N103" s="31">
        <f t="shared" si="29"/>
        <v>0</v>
      </c>
      <c r="O103" s="43"/>
      <c r="P103" s="43"/>
      <c r="Q103" s="43"/>
      <c r="R103" s="43"/>
    </row>
    <row r="104" spans="1:18" ht="15.75" customHeight="1" x14ac:dyDescent="0.2">
      <c r="A104" s="25"/>
      <c r="B104" s="63"/>
      <c r="C104" s="63"/>
      <c r="D104" s="26"/>
      <c r="E104" s="27" t="s">
        <v>62</v>
      </c>
      <c r="F104" s="28" t="s">
        <v>8</v>
      </c>
      <c r="G104" s="28" t="s">
        <v>9</v>
      </c>
      <c r="H104" s="29" t="s">
        <v>32</v>
      </c>
      <c r="I104" s="30">
        <f t="shared" si="0"/>
        <v>1</v>
      </c>
      <c r="J104" s="30">
        <f t="shared" si="1"/>
        <v>0</v>
      </c>
      <c r="K104" s="30">
        <f t="shared" si="2"/>
        <v>0</v>
      </c>
      <c r="L104" s="30">
        <f t="shared" si="3"/>
        <v>0</v>
      </c>
      <c r="M104" s="30">
        <f t="shared" si="4"/>
        <v>0</v>
      </c>
      <c r="N104" s="31">
        <f t="shared" si="29"/>
        <v>0</v>
      </c>
      <c r="O104" s="43"/>
      <c r="P104" s="43"/>
      <c r="Q104" s="43"/>
      <c r="R104" s="43"/>
    </row>
    <row r="105" spans="1:18" ht="15.75" customHeight="1" x14ac:dyDescent="0.2">
      <c r="A105" s="25"/>
      <c r="B105" s="63"/>
      <c r="C105" s="63"/>
      <c r="D105" s="26"/>
      <c r="E105" s="27" t="s">
        <v>63</v>
      </c>
      <c r="F105" s="28" t="s">
        <v>8</v>
      </c>
      <c r="G105" s="28" t="s">
        <v>9</v>
      </c>
      <c r="H105" s="29" t="s">
        <v>32</v>
      </c>
      <c r="I105" s="30">
        <f t="shared" si="0"/>
        <v>1</v>
      </c>
      <c r="J105" s="30">
        <f t="shared" si="1"/>
        <v>0</v>
      </c>
      <c r="K105" s="30">
        <f t="shared" si="2"/>
        <v>0</v>
      </c>
      <c r="L105" s="30">
        <f t="shared" si="3"/>
        <v>0</v>
      </c>
      <c r="M105" s="30">
        <f t="shared" si="4"/>
        <v>0</v>
      </c>
      <c r="N105" s="31">
        <f t="shared" si="29"/>
        <v>0</v>
      </c>
      <c r="O105" s="43"/>
      <c r="P105" s="43"/>
      <c r="Q105" s="43"/>
      <c r="R105" s="43"/>
    </row>
    <row r="106" spans="1:18" ht="15.75" customHeight="1" x14ac:dyDescent="0.2">
      <c r="A106" s="25"/>
      <c r="B106" s="63"/>
      <c r="C106" s="63"/>
      <c r="D106" s="26"/>
      <c r="E106" s="27" t="s">
        <v>64</v>
      </c>
      <c r="F106" s="28" t="s">
        <v>8</v>
      </c>
      <c r="G106" s="28" t="s">
        <v>9</v>
      </c>
      <c r="H106" s="29" t="s">
        <v>32</v>
      </c>
      <c r="I106" s="30">
        <f t="shared" si="0"/>
        <v>1</v>
      </c>
      <c r="J106" s="30">
        <f t="shared" si="1"/>
        <v>0</v>
      </c>
      <c r="K106" s="30">
        <f t="shared" si="2"/>
        <v>0</v>
      </c>
      <c r="L106" s="30">
        <f t="shared" si="3"/>
        <v>0</v>
      </c>
      <c r="M106" s="30">
        <f t="shared" si="4"/>
        <v>0</v>
      </c>
      <c r="N106" s="31">
        <f t="shared" si="29"/>
        <v>0</v>
      </c>
      <c r="O106" s="43"/>
      <c r="P106" s="43"/>
      <c r="Q106" s="43"/>
      <c r="R106" s="43"/>
    </row>
    <row r="107" spans="1:18" ht="15.75" customHeight="1" x14ac:dyDescent="0.2">
      <c r="A107" s="25"/>
      <c r="B107" s="63"/>
      <c r="C107" s="63"/>
      <c r="D107" s="26"/>
      <c r="E107" s="27" t="s">
        <v>65</v>
      </c>
      <c r="F107" s="28" t="s">
        <v>8</v>
      </c>
      <c r="G107" s="28" t="s">
        <v>9</v>
      </c>
      <c r="H107" s="29" t="s">
        <v>32</v>
      </c>
      <c r="I107" s="30">
        <f t="shared" si="0"/>
        <v>1</v>
      </c>
      <c r="J107" s="30">
        <f t="shared" si="1"/>
        <v>0</v>
      </c>
      <c r="K107" s="30">
        <f t="shared" si="2"/>
        <v>0</v>
      </c>
      <c r="L107" s="30">
        <f t="shared" si="3"/>
        <v>0</v>
      </c>
      <c r="M107" s="30">
        <f t="shared" si="4"/>
        <v>0</v>
      </c>
      <c r="N107" s="31">
        <f>IF(F107="цифровой",IF(AND(F105="цифровой",OR(N105=1,N105="")),"",1),0)</f>
        <v>0</v>
      </c>
      <c r="O107" s="43"/>
      <c r="P107" s="43"/>
      <c r="Q107" s="43"/>
      <c r="R107" s="43"/>
    </row>
    <row r="108" spans="1:18" ht="15.75" customHeight="1" x14ac:dyDescent="0.2">
      <c r="A108" s="25"/>
      <c r="B108" s="63"/>
      <c r="C108" s="63"/>
      <c r="D108" s="26"/>
      <c r="E108" s="27" t="s">
        <v>66</v>
      </c>
      <c r="F108" s="28" t="s">
        <v>8</v>
      </c>
      <c r="G108" s="28" t="s">
        <v>9</v>
      </c>
      <c r="H108" s="29" t="s">
        <v>32</v>
      </c>
      <c r="I108" s="30">
        <f t="shared" si="0"/>
        <v>1</v>
      </c>
      <c r="J108" s="30">
        <f t="shared" si="1"/>
        <v>0</v>
      </c>
      <c r="K108" s="30">
        <f t="shared" si="2"/>
        <v>0</v>
      </c>
      <c r="L108" s="30">
        <f t="shared" si="3"/>
        <v>0</v>
      </c>
      <c r="M108" s="30">
        <f t="shared" si="4"/>
        <v>0</v>
      </c>
      <c r="N108" s="31">
        <f>IF(F108="цифровой",IF(AND(#REF!="цифровой",OR(#REF!=1,#REF!="")),"",1),0)</f>
        <v>0</v>
      </c>
      <c r="O108" s="43"/>
      <c r="P108" s="43"/>
      <c r="Q108" s="43"/>
      <c r="R108" s="43"/>
    </row>
    <row r="109" spans="1:18" ht="15.75" customHeight="1" thickBot="1" x14ac:dyDescent="0.25">
      <c r="A109" s="32"/>
      <c r="B109" s="64"/>
      <c r="C109" s="64"/>
      <c r="D109" s="33"/>
      <c r="E109" s="34" t="s">
        <v>67</v>
      </c>
      <c r="F109" s="35" t="s">
        <v>8</v>
      </c>
      <c r="G109" s="35" t="s">
        <v>9</v>
      </c>
      <c r="H109" s="36" t="s">
        <v>32</v>
      </c>
      <c r="I109" s="37">
        <f t="shared" si="0"/>
        <v>1</v>
      </c>
      <c r="J109" s="37">
        <f t="shared" si="1"/>
        <v>0</v>
      </c>
      <c r="K109" s="37">
        <f t="shared" si="2"/>
        <v>0</v>
      </c>
      <c r="L109" s="37">
        <f t="shared" si="3"/>
        <v>0</v>
      </c>
      <c r="M109" s="37">
        <f t="shared" si="4"/>
        <v>0</v>
      </c>
      <c r="N109" s="38">
        <f>IF(F109="цифровой",IF(AND(F105="цифровой",OR(N105=1,N105="")),"",1),0)</f>
        <v>0</v>
      </c>
      <c r="O109" s="43"/>
      <c r="P109" s="43"/>
      <c r="Q109" s="43"/>
      <c r="R109" s="43"/>
    </row>
    <row r="110" spans="1:18" ht="15.75" customHeight="1" x14ac:dyDescent="0.2">
      <c r="A110" s="17"/>
      <c r="B110" s="68" t="s">
        <v>28</v>
      </c>
      <c r="C110" s="65" t="s">
        <v>204</v>
      </c>
      <c r="D110" s="18"/>
      <c r="E110" s="19" t="s">
        <v>205</v>
      </c>
      <c r="F110" s="20" t="s">
        <v>25</v>
      </c>
      <c r="G110" s="20" t="s">
        <v>9</v>
      </c>
      <c r="H110" s="21" t="s">
        <v>6</v>
      </c>
      <c r="I110" s="22">
        <f t="shared" si="0"/>
        <v>0</v>
      </c>
      <c r="J110" s="22">
        <f t="shared" si="1"/>
        <v>0</v>
      </c>
      <c r="K110" s="22">
        <f t="shared" si="2"/>
        <v>1</v>
      </c>
      <c r="L110" s="22">
        <f t="shared" si="3"/>
        <v>0</v>
      </c>
      <c r="M110" s="22">
        <f t="shared" si="4"/>
        <v>0</v>
      </c>
      <c r="N110" s="23">
        <f>IF(F110="цифровой",IF(AND(F11="цифровой",OR(N11=1,N11="")),"",1),0)</f>
        <v>0</v>
      </c>
      <c r="O110" s="44" t="s">
        <v>206</v>
      </c>
      <c r="P110" s="43"/>
      <c r="Q110" s="43"/>
      <c r="R110" s="43"/>
    </row>
    <row r="111" spans="1:18" ht="15.75" customHeight="1" x14ac:dyDescent="0.2">
      <c r="A111" s="25"/>
      <c r="B111" s="63"/>
      <c r="C111" s="63"/>
      <c r="D111" s="26"/>
      <c r="E111" s="27" t="s">
        <v>207</v>
      </c>
      <c r="F111" s="28" t="s">
        <v>25</v>
      </c>
      <c r="G111" s="28" t="s">
        <v>9</v>
      </c>
      <c r="H111" s="29" t="s">
        <v>6</v>
      </c>
      <c r="I111" s="30">
        <f t="shared" si="0"/>
        <v>0</v>
      </c>
      <c r="J111" s="30">
        <f t="shared" si="1"/>
        <v>0</v>
      </c>
      <c r="K111" s="30">
        <f t="shared" si="2"/>
        <v>1</v>
      </c>
      <c r="L111" s="30">
        <f t="shared" si="3"/>
        <v>0</v>
      </c>
      <c r="M111" s="30">
        <f t="shared" si="4"/>
        <v>0</v>
      </c>
      <c r="N111" s="31">
        <f>IF(F111="цифровой",IF(AND(F11="цифровой",OR(N11=1,N11="")),"",1),0)</f>
        <v>0</v>
      </c>
      <c r="O111" s="44" t="s">
        <v>208</v>
      </c>
      <c r="P111" s="43"/>
      <c r="Q111" s="43"/>
      <c r="R111" s="43"/>
    </row>
    <row r="112" spans="1:18" ht="15.75" customHeight="1" x14ac:dyDescent="0.2">
      <c r="A112" s="25"/>
      <c r="B112" s="63"/>
      <c r="C112" s="63"/>
      <c r="D112" s="26"/>
      <c r="E112" s="45" t="s">
        <v>209</v>
      </c>
      <c r="F112" s="28" t="s">
        <v>25</v>
      </c>
      <c r="G112" s="28" t="s">
        <v>9</v>
      </c>
      <c r="H112" s="29" t="s">
        <v>6</v>
      </c>
      <c r="I112" s="30">
        <f t="shared" si="0"/>
        <v>0</v>
      </c>
      <c r="J112" s="30">
        <f t="shared" si="1"/>
        <v>0</v>
      </c>
      <c r="K112" s="30">
        <f t="shared" si="2"/>
        <v>1</v>
      </c>
      <c r="L112" s="30">
        <f t="shared" si="3"/>
        <v>0</v>
      </c>
      <c r="M112" s="30">
        <f t="shared" si="4"/>
        <v>0</v>
      </c>
      <c r="N112" s="31">
        <f t="shared" ref="N112:N114" si="30">IF(F112="цифровой",IF(AND(F110="цифровой",OR(N110=1,N110="")),"",1),0)</f>
        <v>0</v>
      </c>
      <c r="O112" s="44" t="s">
        <v>210</v>
      </c>
      <c r="P112" s="43"/>
      <c r="Q112" s="43"/>
      <c r="R112" s="43"/>
    </row>
    <row r="113" spans="1:18" ht="15.75" customHeight="1" x14ac:dyDescent="0.2">
      <c r="A113" s="25"/>
      <c r="B113" s="63"/>
      <c r="C113" s="63"/>
      <c r="D113" s="26"/>
      <c r="E113" s="27" t="s">
        <v>211</v>
      </c>
      <c r="F113" s="28" t="s">
        <v>25</v>
      </c>
      <c r="G113" s="28" t="s">
        <v>9</v>
      </c>
      <c r="H113" s="29" t="s">
        <v>6</v>
      </c>
      <c r="I113" s="30">
        <f t="shared" si="0"/>
        <v>0</v>
      </c>
      <c r="J113" s="30">
        <f t="shared" si="1"/>
        <v>0</v>
      </c>
      <c r="K113" s="30">
        <f t="shared" si="2"/>
        <v>1</v>
      </c>
      <c r="L113" s="30">
        <f t="shared" si="3"/>
        <v>0</v>
      </c>
      <c r="M113" s="30">
        <f t="shared" si="4"/>
        <v>0</v>
      </c>
      <c r="N113" s="31">
        <f t="shared" si="30"/>
        <v>0</v>
      </c>
      <c r="O113" s="44" t="s">
        <v>212</v>
      </c>
      <c r="P113" s="43"/>
      <c r="Q113" s="43"/>
      <c r="R113" s="43"/>
    </row>
    <row r="114" spans="1:18" ht="15.75" customHeight="1" thickBot="1" x14ac:dyDescent="0.25">
      <c r="A114" s="25"/>
      <c r="B114" s="63"/>
      <c r="C114" s="63"/>
      <c r="D114" s="33"/>
      <c r="E114" s="34" t="s">
        <v>211</v>
      </c>
      <c r="F114" s="35" t="s">
        <v>29</v>
      </c>
      <c r="G114" s="35" t="s">
        <v>9</v>
      </c>
      <c r="H114" s="36" t="s">
        <v>23</v>
      </c>
      <c r="I114" s="37">
        <f t="shared" si="0"/>
        <v>0</v>
      </c>
      <c r="J114" s="37">
        <f t="shared" si="1"/>
        <v>0</v>
      </c>
      <c r="K114" s="37">
        <f t="shared" si="2"/>
        <v>0</v>
      </c>
      <c r="L114" s="37">
        <f t="shared" si="3"/>
        <v>0</v>
      </c>
      <c r="M114" s="37">
        <f t="shared" si="4"/>
        <v>1</v>
      </c>
      <c r="N114" s="38">
        <f t="shared" si="30"/>
        <v>1</v>
      </c>
      <c r="O114" s="44" t="s">
        <v>213</v>
      </c>
      <c r="P114" s="43"/>
      <c r="Q114" s="43"/>
      <c r="R114" s="43"/>
    </row>
    <row r="115" spans="1:18" ht="15.75" customHeight="1" x14ac:dyDescent="0.2">
      <c r="A115" s="25"/>
      <c r="B115" s="63"/>
      <c r="C115" s="63"/>
      <c r="D115" s="67" t="s">
        <v>214</v>
      </c>
      <c r="E115" s="21" t="s">
        <v>43</v>
      </c>
      <c r="F115" s="20" t="s">
        <v>8</v>
      </c>
      <c r="G115" s="20" t="s">
        <v>9</v>
      </c>
      <c r="H115" s="21" t="s">
        <v>32</v>
      </c>
      <c r="I115" s="22">
        <f t="shared" si="0"/>
        <v>1</v>
      </c>
      <c r="J115" s="22">
        <f t="shared" si="1"/>
        <v>0</v>
      </c>
      <c r="K115" s="22">
        <f t="shared" si="2"/>
        <v>0</v>
      </c>
      <c r="L115" s="22">
        <f t="shared" si="3"/>
        <v>0</v>
      </c>
      <c r="M115" s="22">
        <f t="shared" si="4"/>
        <v>0</v>
      </c>
      <c r="N115" s="23">
        <f t="shared" ref="N115:N117" si="31">IF(F115="цифровой",IF(AND(F114="цифровой",OR(N114=1,N114="")),"",1),0)</f>
        <v>0</v>
      </c>
      <c r="O115" s="44" t="s">
        <v>215</v>
      </c>
      <c r="P115" s="43"/>
      <c r="Q115" s="44" t="s">
        <v>216</v>
      </c>
      <c r="R115" s="43"/>
    </row>
    <row r="116" spans="1:18" ht="15.75" customHeight="1" x14ac:dyDescent="0.2">
      <c r="A116" s="25"/>
      <c r="B116" s="63"/>
      <c r="C116" s="63"/>
      <c r="D116" s="63"/>
      <c r="E116" s="29" t="s">
        <v>44</v>
      </c>
      <c r="F116" s="28" t="s">
        <v>8</v>
      </c>
      <c r="G116" s="28" t="s">
        <v>9</v>
      </c>
      <c r="H116" s="29" t="s">
        <v>32</v>
      </c>
      <c r="I116" s="30">
        <f t="shared" si="0"/>
        <v>1</v>
      </c>
      <c r="J116" s="30">
        <f t="shared" si="1"/>
        <v>0</v>
      </c>
      <c r="K116" s="30">
        <f t="shared" si="2"/>
        <v>0</v>
      </c>
      <c r="L116" s="30">
        <f t="shared" si="3"/>
        <v>0</v>
      </c>
      <c r="M116" s="30">
        <f t="shared" si="4"/>
        <v>0</v>
      </c>
      <c r="N116" s="31">
        <f t="shared" si="31"/>
        <v>0</v>
      </c>
      <c r="O116" s="44" t="s">
        <v>217</v>
      </c>
      <c r="P116" s="43"/>
      <c r="Q116" s="43"/>
      <c r="R116" s="43"/>
    </row>
    <row r="117" spans="1:18" ht="15.75" customHeight="1" x14ac:dyDescent="0.2">
      <c r="A117" s="25"/>
      <c r="B117" s="63"/>
      <c r="C117" s="63"/>
      <c r="D117" s="63"/>
      <c r="E117" s="29" t="s">
        <v>48</v>
      </c>
      <c r="F117" s="28" t="s">
        <v>8</v>
      </c>
      <c r="G117" s="28" t="s">
        <v>9</v>
      </c>
      <c r="H117" s="29" t="s">
        <v>32</v>
      </c>
      <c r="I117" s="30">
        <f t="shared" si="0"/>
        <v>1</v>
      </c>
      <c r="J117" s="30">
        <f t="shared" si="1"/>
        <v>0</v>
      </c>
      <c r="K117" s="30">
        <f t="shared" si="2"/>
        <v>0</v>
      </c>
      <c r="L117" s="30">
        <f t="shared" si="3"/>
        <v>0</v>
      </c>
      <c r="M117" s="30">
        <f t="shared" si="4"/>
        <v>0</v>
      </c>
      <c r="N117" s="31">
        <f t="shared" si="31"/>
        <v>0</v>
      </c>
      <c r="O117" s="44" t="s">
        <v>218</v>
      </c>
      <c r="P117" s="43"/>
      <c r="Q117" s="43"/>
      <c r="R117" s="43"/>
    </row>
    <row r="118" spans="1:18" ht="15.75" customHeight="1" x14ac:dyDescent="0.2">
      <c r="A118" s="25"/>
      <c r="B118" s="63"/>
      <c r="C118" s="63"/>
      <c r="D118" s="63"/>
      <c r="E118" s="29" t="s">
        <v>54</v>
      </c>
      <c r="F118" s="28" t="s">
        <v>8</v>
      </c>
      <c r="G118" s="28" t="s">
        <v>9</v>
      </c>
      <c r="H118" s="29" t="s">
        <v>34</v>
      </c>
      <c r="I118" s="30">
        <f t="shared" si="0"/>
        <v>1</v>
      </c>
      <c r="J118" s="30">
        <f t="shared" si="1"/>
        <v>0</v>
      </c>
      <c r="K118" s="30">
        <f t="shared" si="2"/>
        <v>0</v>
      </c>
      <c r="L118" s="30">
        <f t="shared" si="3"/>
        <v>0</v>
      </c>
      <c r="M118" s="30">
        <f t="shared" si="4"/>
        <v>0</v>
      </c>
      <c r="N118" s="31">
        <f>IF(F118="цифровой",IF(AND(#REF!="цифровой",OR(#REF!=1,#REF!="")),"",1),0)</f>
        <v>0</v>
      </c>
      <c r="O118" s="44" t="s">
        <v>219</v>
      </c>
      <c r="P118" s="43"/>
      <c r="Q118" s="43"/>
      <c r="R118" s="43"/>
    </row>
    <row r="119" spans="1:18" ht="15.75" customHeight="1" x14ac:dyDescent="0.2">
      <c r="A119" s="25"/>
      <c r="B119" s="63"/>
      <c r="C119" s="63"/>
      <c r="D119" s="63"/>
      <c r="E119" s="29" t="s">
        <v>55</v>
      </c>
      <c r="F119" s="28" t="s">
        <v>8</v>
      </c>
      <c r="G119" s="28" t="s">
        <v>26</v>
      </c>
      <c r="H119" s="29" t="s">
        <v>34</v>
      </c>
      <c r="I119" s="30">
        <f t="shared" si="0"/>
        <v>0</v>
      </c>
      <c r="J119" s="30">
        <f t="shared" si="1"/>
        <v>1</v>
      </c>
      <c r="K119" s="30">
        <f t="shared" si="2"/>
        <v>0</v>
      </c>
      <c r="L119" s="30">
        <f t="shared" si="3"/>
        <v>0</v>
      </c>
      <c r="M119" s="30">
        <f t="shared" si="4"/>
        <v>0</v>
      </c>
      <c r="N119" s="31">
        <f>IF(F119="цифровой",IF(AND(#REF!="цифровой",OR(#REF!=1,#REF!="")),"",1),0)</f>
        <v>0</v>
      </c>
      <c r="O119" s="44" t="s">
        <v>220</v>
      </c>
      <c r="P119" s="43"/>
      <c r="Q119" s="43"/>
      <c r="R119" s="43"/>
    </row>
    <row r="120" spans="1:18" ht="15.75" customHeight="1" x14ac:dyDescent="0.2">
      <c r="A120" s="25"/>
      <c r="B120" s="63"/>
      <c r="C120" s="63"/>
      <c r="D120" s="63"/>
      <c r="E120" s="29" t="s">
        <v>56</v>
      </c>
      <c r="F120" s="28" t="s">
        <v>8</v>
      </c>
      <c r="G120" s="28" t="s">
        <v>26</v>
      </c>
      <c r="H120" s="29" t="s">
        <v>34</v>
      </c>
      <c r="I120" s="30">
        <f t="shared" si="0"/>
        <v>0</v>
      </c>
      <c r="J120" s="30">
        <f t="shared" si="1"/>
        <v>1</v>
      </c>
      <c r="K120" s="30">
        <f t="shared" si="2"/>
        <v>0</v>
      </c>
      <c r="L120" s="30">
        <f t="shared" si="3"/>
        <v>0</v>
      </c>
      <c r="M120" s="30">
        <f t="shared" si="4"/>
        <v>0</v>
      </c>
      <c r="N120" s="31">
        <f t="shared" ref="N120:N121" si="32">IF(F120="цифровой",IF(AND(F119="цифровой",OR(N119=1,N119="")),"",1),0)</f>
        <v>0</v>
      </c>
      <c r="O120" s="44" t="s">
        <v>221</v>
      </c>
      <c r="P120" s="43"/>
      <c r="Q120" s="43"/>
      <c r="R120" s="43"/>
    </row>
    <row r="121" spans="1:18" ht="15.75" customHeight="1" thickBot="1" x14ac:dyDescent="0.25">
      <c r="A121" s="25"/>
      <c r="B121" s="63"/>
      <c r="C121" s="63"/>
      <c r="D121" s="64"/>
      <c r="E121" s="36" t="s">
        <v>57</v>
      </c>
      <c r="F121" s="35" t="s">
        <v>8</v>
      </c>
      <c r="G121" s="35" t="s">
        <v>26</v>
      </c>
      <c r="H121" s="36" t="s">
        <v>34</v>
      </c>
      <c r="I121" s="37">
        <f t="shared" si="0"/>
        <v>0</v>
      </c>
      <c r="J121" s="37">
        <f t="shared" si="1"/>
        <v>1</v>
      </c>
      <c r="K121" s="37">
        <f t="shared" si="2"/>
        <v>0</v>
      </c>
      <c r="L121" s="37">
        <f t="shared" si="3"/>
        <v>0</v>
      </c>
      <c r="M121" s="37">
        <f t="shared" si="4"/>
        <v>0</v>
      </c>
      <c r="N121" s="38">
        <f t="shared" si="32"/>
        <v>0</v>
      </c>
      <c r="O121" s="44" t="s">
        <v>222</v>
      </c>
      <c r="P121" s="43"/>
      <c r="Q121" s="43"/>
      <c r="R121" s="43"/>
    </row>
    <row r="122" spans="1:18" ht="15.75" customHeight="1" x14ac:dyDescent="0.2">
      <c r="A122" s="25"/>
      <c r="B122" s="63"/>
      <c r="C122" s="63"/>
      <c r="D122" s="67" t="s">
        <v>223</v>
      </c>
      <c r="E122" s="21" t="s">
        <v>43</v>
      </c>
      <c r="F122" s="20" t="s">
        <v>8</v>
      </c>
      <c r="G122" s="20" t="s">
        <v>9</v>
      </c>
      <c r="H122" s="21" t="s">
        <v>32</v>
      </c>
      <c r="I122" s="22">
        <f t="shared" si="0"/>
        <v>1</v>
      </c>
      <c r="J122" s="22">
        <f t="shared" si="1"/>
        <v>0</v>
      </c>
      <c r="K122" s="22">
        <f t="shared" si="2"/>
        <v>0</v>
      </c>
      <c r="L122" s="22">
        <f t="shared" si="3"/>
        <v>0</v>
      </c>
      <c r="M122" s="22">
        <f t="shared" si="4"/>
        <v>0</v>
      </c>
      <c r="N122" s="23">
        <f>IF(F122="цифровой",IF(AND(#REF!="цифровой",OR(#REF!=1,#REF!="")),"",1),0)</f>
        <v>0</v>
      </c>
      <c r="O122" s="44" t="s">
        <v>224</v>
      </c>
      <c r="P122" s="43"/>
      <c r="Q122" s="44" t="s">
        <v>225</v>
      </c>
      <c r="R122" s="43"/>
    </row>
    <row r="123" spans="1:18" ht="15.75" customHeight="1" x14ac:dyDescent="0.2">
      <c r="A123" s="25"/>
      <c r="B123" s="63"/>
      <c r="C123" s="63"/>
      <c r="D123" s="63"/>
      <c r="E123" s="29" t="s">
        <v>44</v>
      </c>
      <c r="F123" s="28" t="s">
        <v>8</v>
      </c>
      <c r="G123" s="28" t="s">
        <v>9</v>
      </c>
      <c r="H123" s="29" t="s">
        <v>32</v>
      </c>
      <c r="I123" s="30">
        <f t="shared" si="0"/>
        <v>1</v>
      </c>
      <c r="J123" s="30">
        <f t="shared" si="1"/>
        <v>0</v>
      </c>
      <c r="K123" s="30">
        <f t="shared" si="2"/>
        <v>0</v>
      </c>
      <c r="L123" s="30">
        <f t="shared" si="3"/>
        <v>0</v>
      </c>
      <c r="M123" s="30">
        <f t="shared" si="4"/>
        <v>0</v>
      </c>
      <c r="N123" s="31">
        <f t="shared" ref="N123:N124" si="33">IF(F123="цифровой",IF(AND(F122="цифровой",OR(N122=1,N122="")),"",1),0)</f>
        <v>0</v>
      </c>
      <c r="O123" s="44" t="s">
        <v>226</v>
      </c>
      <c r="P123" s="43"/>
      <c r="Q123" s="43"/>
      <c r="R123" s="43"/>
    </row>
    <row r="124" spans="1:18" ht="15.75" customHeight="1" x14ac:dyDescent="0.2">
      <c r="A124" s="25"/>
      <c r="B124" s="63"/>
      <c r="C124" s="63"/>
      <c r="D124" s="63"/>
      <c r="E124" s="29" t="s">
        <v>48</v>
      </c>
      <c r="F124" s="28" t="s">
        <v>8</v>
      </c>
      <c r="G124" s="28" t="s">
        <v>9</v>
      </c>
      <c r="H124" s="29" t="s">
        <v>32</v>
      </c>
      <c r="I124" s="30">
        <f t="shared" si="0"/>
        <v>1</v>
      </c>
      <c r="J124" s="30">
        <f t="shared" si="1"/>
        <v>0</v>
      </c>
      <c r="K124" s="30">
        <f t="shared" si="2"/>
        <v>0</v>
      </c>
      <c r="L124" s="30">
        <f t="shared" si="3"/>
        <v>0</v>
      </c>
      <c r="M124" s="30">
        <f t="shared" si="4"/>
        <v>0</v>
      </c>
      <c r="N124" s="31">
        <f t="shared" si="33"/>
        <v>0</v>
      </c>
      <c r="O124" s="44" t="s">
        <v>227</v>
      </c>
      <c r="P124" s="43"/>
      <c r="Q124" s="43"/>
      <c r="R124" s="43"/>
    </row>
    <row r="125" spans="1:18" ht="15.75" customHeight="1" x14ac:dyDescent="0.2">
      <c r="A125" s="25"/>
      <c r="B125" s="63"/>
      <c r="C125" s="63"/>
      <c r="D125" s="63"/>
      <c r="E125" s="29" t="s">
        <v>54</v>
      </c>
      <c r="F125" s="28" t="s">
        <v>8</v>
      </c>
      <c r="G125" s="28" t="s">
        <v>9</v>
      </c>
      <c r="H125" s="29" t="s">
        <v>34</v>
      </c>
      <c r="I125" s="30">
        <f t="shared" si="0"/>
        <v>1</v>
      </c>
      <c r="J125" s="30">
        <f t="shared" si="1"/>
        <v>0</v>
      </c>
      <c r="K125" s="30">
        <f t="shared" si="2"/>
        <v>0</v>
      </c>
      <c r="L125" s="30">
        <f t="shared" si="3"/>
        <v>0</v>
      </c>
      <c r="M125" s="30">
        <f t="shared" si="4"/>
        <v>0</v>
      </c>
      <c r="N125" s="31">
        <f>IF(F125="цифровой",IF(AND(#REF!="цифровой",OR(#REF!=1,#REF!="")),"",1),0)</f>
        <v>0</v>
      </c>
      <c r="O125" s="44" t="s">
        <v>228</v>
      </c>
      <c r="P125" s="43"/>
      <c r="Q125" s="43"/>
      <c r="R125" s="43"/>
    </row>
    <row r="126" spans="1:18" ht="15.75" customHeight="1" x14ac:dyDescent="0.2">
      <c r="A126" s="25"/>
      <c r="B126" s="63"/>
      <c r="C126" s="63"/>
      <c r="D126" s="63"/>
      <c r="E126" s="29" t="s">
        <v>55</v>
      </c>
      <c r="F126" s="28" t="s">
        <v>8</v>
      </c>
      <c r="G126" s="28" t="s">
        <v>26</v>
      </c>
      <c r="H126" s="29" t="s">
        <v>34</v>
      </c>
      <c r="I126" s="30">
        <f t="shared" si="0"/>
        <v>0</v>
      </c>
      <c r="J126" s="30">
        <f t="shared" si="1"/>
        <v>1</v>
      </c>
      <c r="K126" s="30">
        <f t="shared" si="2"/>
        <v>0</v>
      </c>
      <c r="L126" s="30">
        <f t="shared" si="3"/>
        <v>0</v>
      </c>
      <c r="M126" s="30">
        <f t="shared" si="4"/>
        <v>0</v>
      </c>
      <c r="N126" s="31">
        <f>IF(F126="цифровой",IF(AND(#REF!="цифровой",OR(#REF!=1,#REF!="")),"",1),0)</f>
        <v>0</v>
      </c>
      <c r="O126" s="44" t="s">
        <v>229</v>
      </c>
      <c r="P126" s="43"/>
      <c r="Q126" s="43"/>
      <c r="R126" s="43"/>
    </row>
    <row r="127" spans="1:18" ht="15.75" customHeight="1" x14ac:dyDescent="0.2">
      <c r="A127" s="25"/>
      <c r="B127" s="63"/>
      <c r="C127" s="63"/>
      <c r="D127" s="63"/>
      <c r="E127" s="29" t="s">
        <v>56</v>
      </c>
      <c r="F127" s="28" t="s">
        <v>8</v>
      </c>
      <c r="G127" s="28" t="s">
        <v>26</v>
      </c>
      <c r="H127" s="29" t="s">
        <v>34</v>
      </c>
      <c r="I127" s="30">
        <f t="shared" si="0"/>
        <v>0</v>
      </c>
      <c r="J127" s="30">
        <f t="shared" si="1"/>
        <v>1</v>
      </c>
      <c r="K127" s="30">
        <f t="shared" si="2"/>
        <v>0</v>
      </c>
      <c r="L127" s="30">
        <f t="shared" si="3"/>
        <v>0</v>
      </c>
      <c r="M127" s="30">
        <f t="shared" si="4"/>
        <v>0</v>
      </c>
      <c r="N127" s="31">
        <f t="shared" ref="N127:N128" si="34">IF(F127="цифровой",IF(AND(F126="цифровой",OR(N126=1,N126="")),"",1),0)</f>
        <v>0</v>
      </c>
      <c r="O127" s="44" t="s">
        <v>230</v>
      </c>
      <c r="P127" s="43"/>
      <c r="Q127" s="43"/>
      <c r="R127" s="43"/>
    </row>
    <row r="128" spans="1:18" ht="15.75" customHeight="1" thickBot="1" x14ac:dyDescent="0.25">
      <c r="A128" s="25"/>
      <c r="B128" s="63"/>
      <c r="C128" s="63"/>
      <c r="D128" s="64"/>
      <c r="E128" s="36" t="s">
        <v>57</v>
      </c>
      <c r="F128" s="35" t="s">
        <v>8</v>
      </c>
      <c r="G128" s="35" t="s">
        <v>26</v>
      </c>
      <c r="H128" s="36" t="s">
        <v>34</v>
      </c>
      <c r="I128" s="37">
        <f t="shared" si="0"/>
        <v>0</v>
      </c>
      <c r="J128" s="37">
        <f t="shared" si="1"/>
        <v>1</v>
      </c>
      <c r="K128" s="37">
        <f t="shared" si="2"/>
        <v>0</v>
      </c>
      <c r="L128" s="37">
        <f t="shared" si="3"/>
        <v>0</v>
      </c>
      <c r="M128" s="37">
        <f t="shared" si="4"/>
        <v>0</v>
      </c>
      <c r="N128" s="38">
        <f t="shared" si="34"/>
        <v>0</v>
      </c>
      <c r="O128" s="44" t="s">
        <v>231</v>
      </c>
      <c r="P128" s="43"/>
      <c r="Q128" s="43"/>
      <c r="R128" s="43"/>
    </row>
    <row r="129" spans="1:18" ht="15.75" customHeight="1" x14ac:dyDescent="0.2">
      <c r="A129" s="25"/>
      <c r="B129" s="63"/>
      <c r="C129" s="63"/>
      <c r="D129" s="69" t="s">
        <v>232</v>
      </c>
      <c r="E129" s="40" t="s">
        <v>52</v>
      </c>
      <c r="F129" s="39" t="s">
        <v>8</v>
      </c>
      <c r="G129" s="39" t="s">
        <v>9</v>
      </c>
      <c r="H129" s="40" t="s">
        <v>32</v>
      </c>
      <c r="I129" s="41">
        <f t="shared" si="0"/>
        <v>1</v>
      </c>
      <c r="J129" s="41">
        <f t="shared" si="1"/>
        <v>0</v>
      </c>
      <c r="K129" s="41">
        <f t="shared" si="2"/>
        <v>0</v>
      </c>
      <c r="L129" s="41">
        <f t="shared" si="3"/>
        <v>0</v>
      </c>
      <c r="M129" s="41">
        <f t="shared" si="4"/>
        <v>0</v>
      </c>
      <c r="N129" s="42">
        <f>IF(F129="цифровой",IF(AND(#REF!="цифровой",OR(#REF!=1,#REF!="")),"",1),0)</f>
        <v>0</v>
      </c>
      <c r="O129" s="44" t="s">
        <v>233</v>
      </c>
      <c r="P129" s="43"/>
      <c r="Q129" s="44" t="s">
        <v>234</v>
      </c>
      <c r="R129" s="43"/>
    </row>
    <row r="130" spans="1:18" ht="15.75" customHeight="1" x14ac:dyDescent="0.2">
      <c r="A130" s="25"/>
      <c r="B130" s="63"/>
      <c r="C130" s="63"/>
      <c r="D130" s="63"/>
      <c r="E130" s="29" t="s">
        <v>51</v>
      </c>
      <c r="F130" s="28" t="s">
        <v>8</v>
      </c>
      <c r="G130" s="28" t="s">
        <v>9</v>
      </c>
      <c r="H130" s="29" t="s">
        <v>32</v>
      </c>
      <c r="I130" s="30">
        <f t="shared" si="0"/>
        <v>1</v>
      </c>
      <c r="J130" s="30">
        <f t="shared" si="1"/>
        <v>0</v>
      </c>
      <c r="K130" s="30">
        <f t="shared" si="2"/>
        <v>0</v>
      </c>
      <c r="L130" s="30">
        <f t="shared" si="3"/>
        <v>0</v>
      </c>
      <c r="M130" s="30">
        <f t="shared" si="4"/>
        <v>0</v>
      </c>
      <c r="N130" s="31">
        <f t="shared" ref="N130:N131" si="35">IF(F130="цифровой",IF(AND(#REF!="цифровой",OR(#REF!=1,#REF!="")),"",1),0)</f>
        <v>0</v>
      </c>
      <c r="O130" s="44" t="s">
        <v>235</v>
      </c>
      <c r="P130" s="43"/>
      <c r="Q130" s="43"/>
      <c r="R130" s="43"/>
    </row>
    <row r="131" spans="1:18" ht="15.75" customHeight="1" x14ac:dyDescent="0.2">
      <c r="A131" s="25"/>
      <c r="B131" s="63"/>
      <c r="C131" s="63"/>
      <c r="D131" s="63"/>
      <c r="E131" s="29" t="s">
        <v>48</v>
      </c>
      <c r="F131" s="28" t="s">
        <v>8</v>
      </c>
      <c r="G131" s="28" t="s">
        <v>9</v>
      </c>
      <c r="H131" s="29" t="s">
        <v>32</v>
      </c>
      <c r="I131" s="30">
        <f t="shared" si="0"/>
        <v>1</v>
      </c>
      <c r="J131" s="30">
        <f t="shared" si="1"/>
        <v>0</v>
      </c>
      <c r="K131" s="30">
        <f t="shared" si="2"/>
        <v>0</v>
      </c>
      <c r="L131" s="30">
        <f t="shared" si="3"/>
        <v>0</v>
      </c>
      <c r="M131" s="30">
        <f t="shared" si="4"/>
        <v>0</v>
      </c>
      <c r="N131" s="31">
        <f t="shared" si="35"/>
        <v>0</v>
      </c>
      <c r="O131" s="44" t="s">
        <v>236</v>
      </c>
      <c r="P131" s="43"/>
      <c r="Q131" s="43"/>
      <c r="R131" s="43"/>
    </row>
    <row r="132" spans="1:18" ht="15.75" customHeight="1" x14ac:dyDescent="0.2">
      <c r="A132" s="25"/>
      <c r="B132" s="63"/>
      <c r="C132" s="63"/>
      <c r="D132" s="63"/>
      <c r="E132" s="29" t="s">
        <v>49</v>
      </c>
      <c r="F132" s="28" t="s">
        <v>8</v>
      </c>
      <c r="G132" s="28" t="s">
        <v>26</v>
      </c>
      <c r="H132" s="29" t="s">
        <v>32</v>
      </c>
      <c r="I132" s="30">
        <f t="shared" si="0"/>
        <v>0</v>
      </c>
      <c r="J132" s="30">
        <f t="shared" si="1"/>
        <v>1</v>
      </c>
      <c r="K132" s="30">
        <f t="shared" si="2"/>
        <v>0</v>
      </c>
      <c r="L132" s="30">
        <f t="shared" si="3"/>
        <v>0</v>
      </c>
      <c r="M132" s="30">
        <f t="shared" si="4"/>
        <v>0</v>
      </c>
      <c r="N132" s="31">
        <f t="shared" ref="N132:N133" si="36">IF(F132="цифровой",IF(AND(F131="цифровой",OR(N131=1,N131="")),"",1),0)</f>
        <v>0</v>
      </c>
      <c r="O132" s="44" t="s">
        <v>237</v>
      </c>
      <c r="P132" s="43"/>
      <c r="Q132" s="43"/>
      <c r="R132" s="43"/>
    </row>
    <row r="133" spans="1:18" ht="15.75" customHeight="1" thickBot="1" x14ac:dyDescent="0.25">
      <c r="A133" s="32"/>
      <c r="B133" s="64"/>
      <c r="C133" s="64"/>
      <c r="D133" s="64"/>
      <c r="E133" s="36" t="s">
        <v>50</v>
      </c>
      <c r="F133" s="35" t="s">
        <v>8</v>
      </c>
      <c r="G133" s="35" t="s">
        <v>26</v>
      </c>
      <c r="H133" s="36" t="s">
        <v>32</v>
      </c>
      <c r="I133" s="37">
        <f t="shared" si="0"/>
        <v>0</v>
      </c>
      <c r="J133" s="37">
        <f t="shared" si="1"/>
        <v>1</v>
      </c>
      <c r="K133" s="37">
        <f t="shared" si="2"/>
        <v>0</v>
      </c>
      <c r="L133" s="37">
        <f t="shared" si="3"/>
        <v>0</v>
      </c>
      <c r="M133" s="37">
        <f t="shared" si="4"/>
        <v>0</v>
      </c>
      <c r="N133" s="38">
        <f t="shared" si="36"/>
        <v>0</v>
      </c>
      <c r="O133" s="44" t="s">
        <v>238</v>
      </c>
      <c r="P133" s="43"/>
      <c r="Q133" s="43"/>
      <c r="R133" s="43"/>
    </row>
    <row r="134" spans="1:18" ht="15.75" customHeight="1" x14ac:dyDescent="0.2"/>
    <row r="135" spans="1:18" ht="15.75" customHeight="1" x14ac:dyDescent="0.2"/>
    <row r="136" spans="1:18" ht="15.75" customHeight="1" x14ac:dyDescent="0.2"/>
    <row r="137" spans="1:18" ht="15.75" customHeight="1" x14ac:dyDescent="0.2"/>
    <row r="138" spans="1:18" ht="15.75" customHeight="1" x14ac:dyDescent="0.2"/>
    <row r="139" spans="1:18" ht="15.75" customHeight="1" x14ac:dyDescent="0.2"/>
    <row r="140" spans="1:18" ht="15.75" customHeight="1" x14ac:dyDescent="0.2"/>
    <row r="141" spans="1:18" ht="15.75" customHeight="1" x14ac:dyDescent="0.2"/>
    <row r="142" spans="1:18" ht="15.75" customHeight="1" x14ac:dyDescent="0.2"/>
    <row r="143" spans="1:18" ht="15.75" customHeight="1" x14ac:dyDescent="0.2"/>
    <row r="144" spans="1:18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spans="22:22" ht="15.75" customHeight="1" x14ac:dyDescent="0.2"/>
    <row r="978" spans="22:22" ht="15.75" customHeight="1" x14ac:dyDescent="0.2"/>
    <row r="979" spans="22:22" ht="15.75" customHeight="1" x14ac:dyDescent="0.2"/>
    <row r="980" spans="22:22" ht="15.75" customHeight="1" x14ac:dyDescent="0.2"/>
    <row r="981" spans="22:22" ht="15.75" customHeight="1" x14ac:dyDescent="0.2"/>
    <row r="982" spans="22:22" ht="15.75" customHeight="1" x14ac:dyDescent="0.2"/>
    <row r="983" spans="22:22" ht="15.75" customHeight="1" x14ac:dyDescent="0.2"/>
    <row r="984" spans="22:22" ht="15.75" customHeight="1" x14ac:dyDescent="0.2"/>
    <row r="985" spans="22:22" ht="15.75" customHeight="1" x14ac:dyDescent="0.2"/>
    <row r="986" spans="22:22" ht="15.75" customHeight="1" x14ac:dyDescent="0.2"/>
    <row r="987" spans="22:22" ht="15.75" customHeight="1" x14ac:dyDescent="0.2"/>
    <row r="988" spans="22:22" ht="15.75" customHeight="1" x14ac:dyDescent="0.2"/>
    <row r="989" spans="22:22" ht="15.75" customHeight="1" x14ac:dyDescent="0.2"/>
    <row r="990" spans="22:22" ht="15.75" customHeight="1" x14ac:dyDescent="0.2">
      <c r="V990" s="44">
        <v>1</v>
      </c>
    </row>
    <row r="991" spans="22:22" ht="15.75" customHeight="1" x14ac:dyDescent="0.2"/>
    <row r="992" spans="22:2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3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4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3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5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7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79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1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7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3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39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8" ht="15.75" customHeight="1" x14ac:dyDescent="0.2"/>
    <row r="1539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5" ht="15.75" customHeight="1" x14ac:dyDescent="0.2"/>
    <row r="1666" ht="15.75" customHeight="1" x14ac:dyDescent="0.2"/>
    <row r="1667" ht="15.75" customHeight="1" x14ac:dyDescent="0.2"/>
    <row r="1668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6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5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4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5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5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4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5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2" ht="15.75" customHeight="1" x14ac:dyDescent="0.2"/>
    <row r="1763" ht="15.75" customHeight="1" x14ac:dyDescent="0.2"/>
    <row r="1764" ht="15.75" customHeight="1" x14ac:dyDescent="0.2"/>
    <row r="1765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4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5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5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  <row r="1813" ht="15.75" customHeight="1" x14ac:dyDescent="0.2"/>
    <row r="1814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3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5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4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5" ht="15.75" customHeight="1" x14ac:dyDescent="0.2"/>
    <row r="1866" ht="15.75" customHeight="1" x14ac:dyDescent="0.2"/>
    <row r="1867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3" ht="15.75" customHeight="1" x14ac:dyDescent="0.2"/>
    <row r="1894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1" ht="15.75" customHeight="1" x14ac:dyDescent="0.2"/>
    <row r="1902" ht="15.75" customHeight="1" x14ac:dyDescent="0.2"/>
    <row r="1903" ht="15.75" customHeight="1" x14ac:dyDescent="0.2"/>
    <row r="1905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2" ht="15.75" customHeight="1" x14ac:dyDescent="0.2"/>
    <row r="1913" ht="15.75" customHeight="1" x14ac:dyDescent="0.2"/>
    <row r="1914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1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0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0" ht="15.75" customHeight="1" x14ac:dyDescent="0.2"/>
    <row r="1941" ht="15.75" customHeight="1" x14ac:dyDescent="0.2"/>
    <row r="1942" ht="15.75" customHeight="1" x14ac:dyDescent="0.2"/>
    <row r="1943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49" ht="15.75" customHeight="1" x14ac:dyDescent="0.2"/>
    <row r="1950" ht="15.75" customHeight="1" x14ac:dyDescent="0.2"/>
    <row r="1951" ht="15.75" customHeight="1" x14ac:dyDescent="0.2"/>
    <row r="1952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8" ht="15.75" customHeight="1" x14ac:dyDescent="0.2"/>
    <row r="1959" ht="15.75" customHeight="1" x14ac:dyDescent="0.2"/>
    <row r="1960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69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6" ht="15.75" customHeight="1" x14ac:dyDescent="0.2"/>
    <row r="1977" ht="15.75" customHeight="1" x14ac:dyDescent="0.2"/>
    <row r="1978" ht="15.75" customHeight="1" x14ac:dyDescent="0.2"/>
    <row r="1979" ht="15.75" customHeight="1" x14ac:dyDescent="0.2"/>
    <row r="1980" ht="15.75" customHeight="1" x14ac:dyDescent="0.2"/>
    <row r="1981" ht="15.75" customHeight="1" x14ac:dyDescent="0.2"/>
    <row r="1982" ht="15.75" customHeight="1" x14ac:dyDescent="0.2"/>
    <row r="1983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89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8" ht="15.75" customHeight="1" x14ac:dyDescent="0.2"/>
    <row r="1999" ht="15.75" customHeight="1" x14ac:dyDescent="0.2"/>
    <row r="2000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  <row r="2006" ht="15.75" customHeight="1" x14ac:dyDescent="0.2"/>
    <row r="2007" ht="15.75" customHeight="1" x14ac:dyDescent="0.2"/>
    <row r="2008" ht="15.75" customHeight="1" x14ac:dyDescent="0.2"/>
    <row r="2009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5.75" customHeight="1" x14ac:dyDescent="0.2"/>
    <row r="2016" ht="15.75" customHeight="1" x14ac:dyDescent="0.2"/>
    <row r="2017" ht="15.75" customHeight="1" x14ac:dyDescent="0.2"/>
    <row r="2018" ht="15.75" customHeight="1" x14ac:dyDescent="0.2"/>
    <row r="2019" ht="15.75" customHeight="1" x14ac:dyDescent="0.2"/>
    <row r="2020" ht="15.75" customHeight="1" x14ac:dyDescent="0.2"/>
    <row r="2021" ht="15.75" customHeight="1" x14ac:dyDescent="0.2"/>
    <row r="2023" ht="15.75" customHeight="1" x14ac:dyDescent="0.2"/>
    <row r="2024" ht="15.75" customHeight="1" x14ac:dyDescent="0.2"/>
    <row r="2025" ht="15.75" customHeight="1" x14ac:dyDescent="0.2"/>
    <row r="2026" ht="15.75" customHeight="1" x14ac:dyDescent="0.2"/>
    <row r="2027" ht="15.75" customHeight="1" x14ac:dyDescent="0.2"/>
    <row r="2028" ht="15.75" customHeight="1" x14ac:dyDescent="0.2"/>
    <row r="2029" ht="15.75" customHeight="1" x14ac:dyDescent="0.2"/>
    <row r="2030" ht="15.75" customHeight="1" x14ac:dyDescent="0.2"/>
    <row r="2032" ht="15.75" customHeight="1" x14ac:dyDescent="0.2"/>
    <row r="2034" ht="15.75" customHeight="1" x14ac:dyDescent="0.2"/>
    <row r="2035" ht="15.75" customHeight="1" x14ac:dyDescent="0.2"/>
    <row r="2036" ht="15.75" customHeight="1" x14ac:dyDescent="0.2"/>
    <row r="2037" ht="15.75" customHeight="1" x14ac:dyDescent="0.2"/>
    <row r="2038" ht="15.75" customHeight="1" x14ac:dyDescent="0.2"/>
    <row r="2039" ht="15.75" customHeight="1" x14ac:dyDescent="0.2"/>
    <row r="2040" ht="15.75" customHeight="1" x14ac:dyDescent="0.2"/>
    <row r="2041" ht="15.75" customHeight="1" x14ac:dyDescent="0.2"/>
    <row r="2043" ht="15.75" customHeight="1" x14ac:dyDescent="0.2"/>
    <row r="2044" ht="15.75" customHeight="1" x14ac:dyDescent="0.2"/>
    <row r="2045" ht="15.75" customHeight="1" x14ac:dyDescent="0.2"/>
    <row r="2046" ht="15.75" customHeight="1" x14ac:dyDescent="0.2"/>
    <row r="2047" ht="15.75" customHeight="1" x14ac:dyDescent="0.2"/>
    <row r="2048" ht="15.75" customHeight="1" x14ac:dyDescent="0.2"/>
    <row r="2049" ht="15.75" customHeight="1" x14ac:dyDescent="0.2"/>
    <row r="2050" ht="15.75" customHeight="1" x14ac:dyDescent="0.2"/>
    <row r="2052" ht="15.75" customHeight="1" x14ac:dyDescent="0.2"/>
    <row r="2053" ht="15.75" customHeight="1" x14ac:dyDescent="0.2"/>
    <row r="2054" ht="15.75" customHeight="1" x14ac:dyDescent="0.2"/>
    <row r="2055" ht="15.75" customHeight="1" x14ac:dyDescent="0.2"/>
    <row r="2056" ht="15.75" customHeight="1" x14ac:dyDescent="0.2"/>
    <row r="2057" ht="15.75" customHeight="1" x14ac:dyDescent="0.2"/>
    <row r="2058" ht="15.75" customHeight="1" x14ac:dyDescent="0.2"/>
    <row r="2059" ht="15.75" customHeight="1" x14ac:dyDescent="0.2"/>
    <row r="2061" ht="15.75" customHeight="1" x14ac:dyDescent="0.2"/>
    <row r="2062" ht="15.75" customHeight="1" x14ac:dyDescent="0.2"/>
    <row r="2063" ht="15.75" customHeight="1" x14ac:dyDescent="0.2"/>
    <row r="2064" ht="15.75" customHeight="1" x14ac:dyDescent="0.2"/>
    <row r="2065" ht="15.75" customHeight="1" x14ac:dyDescent="0.2"/>
    <row r="2066" ht="15.75" customHeight="1" x14ac:dyDescent="0.2"/>
    <row r="2067" ht="15.75" customHeight="1" x14ac:dyDescent="0.2"/>
    <row r="2068" ht="15.75" customHeight="1" x14ac:dyDescent="0.2"/>
    <row r="2069" ht="15.75" customHeight="1" x14ac:dyDescent="0.2"/>
    <row r="2071" ht="15.75" customHeight="1" x14ac:dyDescent="0.2"/>
    <row r="2072" ht="15.75" customHeight="1" x14ac:dyDescent="0.2"/>
    <row r="2073" ht="15.75" customHeight="1" x14ac:dyDescent="0.2"/>
    <row r="2074" ht="15.75" customHeight="1" x14ac:dyDescent="0.2"/>
    <row r="2075" ht="15.75" customHeight="1" x14ac:dyDescent="0.2"/>
    <row r="2076" ht="15.75" customHeight="1" x14ac:dyDescent="0.2"/>
    <row r="2077" ht="15.75" customHeight="1" x14ac:dyDescent="0.2"/>
    <row r="2078" ht="15.75" customHeight="1" x14ac:dyDescent="0.2"/>
    <row r="2080" ht="15.75" customHeight="1" x14ac:dyDescent="0.2"/>
    <row r="2081" ht="15.75" customHeight="1" x14ac:dyDescent="0.2"/>
    <row r="2082" ht="15.75" customHeight="1" x14ac:dyDescent="0.2"/>
    <row r="2083" ht="15.75" customHeight="1" x14ac:dyDescent="0.2"/>
    <row r="2084" ht="15.75" customHeight="1" x14ac:dyDescent="0.2"/>
    <row r="2085" ht="15.75" customHeight="1" x14ac:dyDescent="0.2"/>
    <row r="2086" ht="15.75" customHeight="1" x14ac:dyDescent="0.2"/>
    <row r="2087" ht="15.75" customHeight="1" x14ac:dyDescent="0.2"/>
    <row r="2089" ht="15.75" customHeight="1" x14ac:dyDescent="0.2"/>
    <row r="2091" ht="15.75" customHeight="1" x14ac:dyDescent="0.2"/>
    <row r="2092" ht="15.75" customHeight="1" x14ac:dyDescent="0.2"/>
    <row r="2093" ht="15.75" customHeight="1" x14ac:dyDescent="0.2"/>
    <row r="2094" ht="15.75" customHeight="1" x14ac:dyDescent="0.2"/>
    <row r="2095" ht="15.75" customHeight="1" x14ac:dyDescent="0.2"/>
    <row r="2096" ht="15.75" customHeight="1" x14ac:dyDescent="0.2"/>
    <row r="2097" ht="15.75" customHeight="1" x14ac:dyDescent="0.2"/>
    <row r="2098" ht="15.75" customHeight="1" x14ac:dyDescent="0.2"/>
    <row r="2100" ht="15.75" customHeight="1" x14ac:dyDescent="0.2"/>
    <row r="2101" ht="15.75" customHeight="1" x14ac:dyDescent="0.2"/>
    <row r="2102" ht="15.75" customHeight="1" x14ac:dyDescent="0.2"/>
    <row r="2103" ht="15.75" customHeight="1" x14ac:dyDescent="0.2"/>
    <row r="2104" ht="15.75" customHeight="1" x14ac:dyDescent="0.2"/>
    <row r="2105" ht="15.75" customHeight="1" x14ac:dyDescent="0.2"/>
    <row r="2106" ht="15.75" customHeight="1" x14ac:dyDescent="0.2"/>
    <row r="2107" ht="15.75" customHeight="1" x14ac:dyDescent="0.2"/>
    <row r="2109" ht="15.75" customHeight="1" x14ac:dyDescent="0.2"/>
    <row r="2111" ht="15.75" customHeight="1" x14ac:dyDescent="0.2"/>
    <row r="2112" ht="15.75" customHeight="1" x14ac:dyDescent="0.2"/>
    <row r="2113" ht="15.75" customHeight="1" x14ac:dyDescent="0.2"/>
    <row r="2114" ht="15.75" customHeight="1" x14ac:dyDescent="0.2"/>
    <row r="2115" ht="15.75" customHeight="1" x14ac:dyDescent="0.2"/>
    <row r="2116" ht="15.75" customHeight="1" x14ac:dyDescent="0.2"/>
    <row r="2117" ht="15.75" customHeight="1" x14ac:dyDescent="0.2"/>
    <row r="2118" ht="15.75" customHeight="1" x14ac:dyDescent="0.2"/>
    <row r="2120" ht="15.75" customHeight="1" x14ac:dyDescent="0.2"/>
    <row r="2121" ht="15.75" customHeight="1" x14ac:dyDescent="0.2"/>
    <row r="2122" ht="15.75" customHeight="1" x14ac:dyDescent="0.2"/>
    <row r="2123" ht="15.75" customHeight="1" x14ac:dyDescent="0.2"/>
    <row r="2124" ht="15.75" customHeight="1" x14ac:dyDescent="0.2"/>
    <row r="2125" ht="15.75" customHeight="1" x14ac:dyDescent="0.2"/>
    <row r="2126" ht="15.75" customHeight="1" x14ac:dyDescent="0.2"/>
    <row r="2127" ht="15.75" customHeight="1" x14ac:dyDescent="0.2"/>
    <row r="2129" ht="15.75" customHeight="1" x14ac:dyDescent="0.2"/>
    <row r="2131" ht="15.75" customHeight="1" x14ac:dyDescent="0.2"/>
    <row r="2132" ht="15.75" customHeight="1" x14ac:dyDescent="0.2"/>
    <row r="2133" ht="15.75" customHeight="1" x14ac:dyDescent="0.2"/>
    <row r="2134" ht="15.75" customHeight="1" x14ac:dyDescent="0.2"/>
    <row r="2135" ht="15.75" customHeight="1" x14ac:dyDescent="0.2"/>
    <row r="2136" ht="15.75" customHeight="1" x14ac:dyDescent="0.2"/>
    <row r="2137" ht="15.75" customHeight="1" x14ac:dyDescent="0.2"/>
    <row r="2138" ht="15.75" customHeight="1" x14ac:dyDescent="0.2"/>
    <row r="2140" ht="15.75" customHeight="1" x14ac:dyDescent="0.2"/>
    <row r="2141" ht="15.75" customHeight="1" x14ac:dyDescent="0.2"/>
    <row r="2142" ht="15.75" customHeight="1" x14ac:dyDescent="0.2"/>
    <row r="2143" ht="15.75" customHeight="1" x14ac:dyDescent="0.2"/>
    <row r="2144" ht="15.75" customHeight="1" x14ac:dyDescent="0.2"/>
    <row r="2145" ht="15.75" customHeight="1" x14ac:dyDescent="0.2"/>
    <row r="2146" ht="15.75" customHeight="1" x14ac:dyDescent="0.2"/>
    <row r="2147" ht="15.75" customHeight="1" x14ac:dyDescent="0.2"/>
    <row r="2149" ht="15.75" customHeight="1" x14ac:dyDescent="0.2"/>
    <row r="2151" ht="15.75" customHeight="1" x14ac:dyDescent="0.2"/>
    <row r="2152" ht="15.75" customHeight="1" x14ac:dyDescent="0.2"/>
    <row r="2153" ht="15.75" customHeight="1" x14ac:dyDescent="0.2"/>
    <row r="2154" ht="15.75" customHeight="1" x14ac:dyDescent="0.2"/>
    <row r="2155" ht="15.75" customHeight="1" x14ac:dyDescent="0.2"/>
    <row r="2156" ht="15.75" customHeight="1" x14ac:dyDescent="0.2"/>
    <row r="2157" ht="15.75" customHeight="1" x14ac:dyDescent="0.2"/>
    <row r="2158" ht="15.75" customHeight="1" x14ac:dyDescent="0.2"/>
    <row r="2160" ht="15.75" customHeight="1" x14ac:dyDescent="0.2"/>
    <row r="2161" ht="15.75" customHeight="1" x14ac:dyDescent="0.2"/>
    <row r="2162" ht="15.75" customHeight="1" x14ac:dyDescent="0.2"/>
    <row r="2163" ht="15.75" customHeight="1" x14ac:dyDescent="0.2"/>
    <row r="2164" ht="15.75" customHeight="1" x14ac:dyDescent="0.2"/>
    <row r="2165" ht="15.75" customHeight="1" x14ac:dyDescent="0.2"/>
    <row r="2166" ht="15.75" customHeight="1" x14ac:dyDescent="0.2"/>
    <row r="2167" ht="15.75" customHeight="1" x14ac:dyDescent="0.2"/>
    <row r="2169" ht="15.75" customHeight="1" x14ac:dyDescent="0.2"/>
    <row r="2171" ht="15.75" customHeight="1" x14ac:dyDescent="0.2"/>
    <row r="2172" ht="15.75" customHeight="1" x14ac:dyDescent="0.2"/>
    <row r="2173" ht="15.75" customHeight="1" x14ac:dyDescent="0.2"/>
    <row r="2174" ht="15.75" customHeight="1" x14ac:dyDescent="0.2"/>
    <row r="2175" ht="15.75" customHeight="1" x14ac:dyDescent="0.2"/>
    <row r="2176" ht="15.75" customHeight="1" x14ac:dyDescent="0.2"/>
    <row r="2177" ht="15.75" customHeight="1" x14ac:dyDescent="0.2"/>
    <row r="2178" ht="15.75" customHeight="1" x14ac:dyDescent="0.2"/>
    <row r="2180" ht="15.75" customHeight="1" x14ac:dyDescent="0.2"/>
    <row r="2181" ht="15.75" customHeight="1" x14ac:dyDescent="0.2"/>
    <row r="2182" ht="15.75" customHeight="1" x14ac:dyDescent="0.2"/>
    <row r="2183" ht="15.75" customHeight="1" x14ac:dyDescent="0.2"/>
    <row r="2184" ht="15.75" customHeight="1" x14ac:dyDescent="0.2"/>
    <row r="2185" ht="15.75" customHeight="1" x14ac:dyDescent="0.2"/>
    <row r="2186" ht="15.75" customHeight="1" x14ac:dyDescent="0.2"/>
    <row r="2187" ht="15.75" customHeight="1" x14ac:dyDescent="0.2"/>
    <row r="2189" ht="15.75" customHeight="1" x14ac:dyDescent="0.2"/>
    <row r="2191" ht="15.75" customHeight="1" x14ac:dyDescent="0.2"/>
    <row r="2192" ht="15.75" customHeight="1" x14ac:dyDescent="0.2"/>
    <row r="2193" ht="15.75" customHeight="1" x14ac:dyDescent="0.2"/>
    <row r="2194" ht="15.75" customHeight="1" x14ac:dyDescent="0.2"/>
    <row r="2195" ht="15.75" customHeight="1" x14ac:dyDescent="0.2"/>
    <row r="2196" ht="15.75" customHeight="1" x14ac:dyDescent="0.2"/>
    <row r="2197" ht="15.75" customHeight="1" x14ac:dyDescent="0.2"/>
    <row r="2198" ht="15.75" customHeight="1" x14ac:dyDescent="0.2"/>
    <row r="2200" ht="15.75" customHeight="1" x14ac:dyDescent="0.2"/>
    <row r="2201" ht="15.75" customHeight="1" x14ac:dyDescent="0.2"/>
    <row r="2202" ht="15.75" customHeight="1" x14ac:dyDescent="0.2"/>
    <row r="2203" ht="15.75" customHeight="1" x14ac:dyDescent="0.2"/>
    <row r="2204" ht="15.75" customHeight="1" x14ac:dyDescent="0.2"/>
    <row r="2205" ht="15.75" customHeight="1" x14ac:dyDescent="0.2"/>
    <row r="2206" ht="15.75" customHeight="1" x14ac:dyDescent="0.2"/>
    <row r="2207" ht="15.75" customHeight="1" x14ac:dyDescent="0.2"/>
    <row r="2209" ht="15.75" customHeight="1" x14ac:dyDescent="0.2"/>
    <row r="2211" ht="15.75" customHeight="1" x14ac:dyDescent="0.2"/>
    <row r="2212" ht="15.75" customHeight="1" x14ac:dyDescent="0.2"/>
    <row r="2213" ht="15.75" customHeight="1" x14ac:dyDescent="0.2"/>
    <row r="2214" ht="15.75" customHeight="1" x14ac:dyDescent="0.2"/>
    <row r="2215" ht="15.75" customHeight="1" x14ac:dyDescent="0.2"/>
    <row r="2216" ht="15.75" customHeight="1" x14ac:dyDescent="0.2"/>
    <row r="2217" ht="15.75" customHeight="1" x14ac:dyDescent="0.2"/>
    <row r="2218" ht="15.75" customHeight="1" x14ac:dyDescent="0.2"/>
    <row r="2220" ht="15.75" customHeight="1" x14ac:dyDescent="0.2"/>
    <row r="2221" ht="15.75" customHeight="1" x14ac:dyDescent="0.2"/>
    <row r="2222" ht="15.75" customHeight="1" x14ac:dyDescent="0.2"/>
    <row r="2223" ht="15.75" customHeight="1" x14ac:dyDescent="0.2"/>
    <row r="2224" ht="15.75" customHeight="1" x14ac:dyDescent="0.2"/>
    <row r="2225" ht="15.75" customHeight="1" x14ac:dyDescent="0.2"/>
    <row r="2226" ht="15.75" customHeight="1" x14ac:dyDescent="0.2"/>
    <row r="2227" ht="15.75" customHeight="1" x14ac:dyDescent="0.2"/>
    <row r="2228" ht="15.75" customHeight="1" x14ac:dyDescent="0.2"/>
    <row r="2229" ht="15.75" customHeight="1" x14ac:dyDescent="0.2"/>
    <row r="2230" ht="15.75" customHeight="1" x14ac:dyDescent="0.2"/>
    <row r="2231" ht="15.75" customHeight="1" x14ac:dyDescent="0.2"/>
    <row r="2232" ht="15.75" customHeight="1" x14ac:dyDescent="0.2"/>
    <row r="2233" ht="15.75" customHeight="1" x14ac:dyDescent="0.2"/>
    <row r="2234" ht="15.75" customHeight="1" x14ac:dyDescent="0.2"/>
    <row r="2235" ht="15.75" customHeight="1" x14ac:dyDescent="0.2"/>
    <row r="2236" ht="15.75" customHeight="1" x14ac:dyDescent="0.2"/>
    <row r="2237" ht="15.75" customHeight="1" x14ac:dyDescent="0.2"/>
    <row r="2238" ht="15.75" customHeight="1" x14ac:dyDescent="0.2"/>
    <row r="2239" ht="15.75" customHeight="1" x14ac:dyDescent="0.2"/>
    <row r="2241" ht="15.75" customHeight="1" x14ac:dyDescent="0.2"/>
    <row r="2243" ht="15.75" customHeight="1" x14ac:dyDescent="0.2"/>
    <row r="2244" ht="15.75" customHeight="1" x14ac:dyDescent="0.2"/>
    <row r="2245" ht="15.75" customHeight="1" x14ac:dyDescent="0.2"/>
    <row r="2246" ht="15.75" customHeight="1" x14ac:dyDescent="0.2"/>
    <row r="2247" ht="15.75" customHeight="1" x14ac:dyDescent="0.2"/>
    <row r="2248" ht="15.75" customHeight="1" x14ac:dyDescent="0.2"/>
    <row r="2249" ht="15.75" customHeight="1" x14ac:dyDescent="0.2"/>
    <row r="2250" ht="15.75" customHeight="1" x14ac:dyDescent="0.2"/>
    <row r="2251" ht="15.75" customHeight="1" x14ac:dyDescent="0.2"/>
    <row r="2253" ht="15.75" customHeight="1" x14ac:dyDescent="0.2"/>
    <row r="2254" ht="15.75" customHeight="1" x14ac:dyDescent="0.2"/>
    <row r="2255" ht="15.75" customHeight="1" x14ac:dyDescent="0.2"/>
    <row r="2256" ht="15.75" customHeight="1" x14ac:dyDescent="0.2"/>
    <row r="2257" ht="15.75" customHeight="1" x14ac:dyDescent="0.2"/>
    <row r="2258" ht="15.75" customHeight="1" x14ac:dyDescent="0.2"/>
    <row r="2259" ht="15.75" customHeight="1" x14ac:dyDescent="0.2"/>
    <row r="2261" ht="15.75" customHeight="1" x14ac:dyDescent="0.2"/>
    <row r="2263" ht="15.75" customHeight="1" x14ac:dyDescent="0.2"/>
    <row r="2264" ht="15.75" customHeight="1" x14ac:dyDescent="0.2"/>
    <row r="2265" ht="15.75" customHeight="1" x14ac:dyDescent="0.2"/>
    <row r="2266" ht="15.75" customHeight="1" x14ac:dyDescent="0.2"/>
    <row r="2267" ht="15.75" customHeight="1" x14ac:dyDescent="0.2"/>
    <row r="2268" ht="15.75" customHeight="1" x14ac:dyDescent="0.2"/>
    <row r="2270" ht="15.75" customHeight="1" x14ac:dyDescent="0.2"/>
    <row r="2272" ht="15.75" customHeight="1" x14ac:dyDescent="0.2"/>
    <row r="2273" ht="15.75" customHeight="1" x14ac:dyDescent="0.2"/>
    <row r="2274" ht="15.75" customHeight="1" x14ac:dyDescent="0.2"/>
    <row r="2275" ht="15.75" customHeight="1" x14ac:dyDescent="0.2"/>
    <row r="2276" ht="15.75" customHeight="1" x14ac:dyDescent="0.2"/>
    <row r="2277" ht="15.75" customHeight="1" x14ac:dyDescent="0.2"/>
    <row r="2278" ht="15.75" customHeight="1" x14ac:dyDescent="0.2"/>
    <row r="2279" ht="15.75" customHeight="1" x14ac:dyDescent="0.2"/>
    <row r="2280" ht="15.75" customHeight="1" x14ac:dyDescent="0.2"/>
    <row r="2281" ht="15.75" customHeight="1" x14ac:dyDescent="0.2"/>
    <row r="2282" ht="15.75" customHeight="1" x14ac:dyDescent="0.2"/>
    <row r="2283" ht="15.75" customHeight="1" x14ac:dyDescent="0.2"/>
    <row r="2284" ht="15.75" customHeight="1" x14ac:dyDescent="0.2"/>
    <row r="2285" ht="15.75" customHeight="1" x14ac:dyDescent="0.2"/>
    <row r="2286" ht="15.75" customHeight="1" x14ac:dyDescent="0.2"/>
    <row r="2287" ht="15.75" customHeight="1" x14ac:dyDescent="0.2"/>
    <row r="2289" ht="15.75" customHeight="1" x14ac:dyDescent="0.2"/>
    <row r="2291" ht="15.75" customHeight="1" x14ac:dyDescent="0.2"/>
    <row r="2292" ht="15.75" customHeight="1" x14ac:dyDescent="0.2"/>
    <row r="2293" ht="15.75" customHeight="1" x14ac:dyDescent="0.2"/>
    <row r="2294" ht="15.75" customHeight="1" x14ac:dyDescent="0.2"/>
    <row r="2295" ht="15.75" customHeight="1" x14ac:dyDescent="0.2"/>
    <row r="2296" ht="15.75" customHeight="1" x14ac:dyDescent="0.2"/>
    <row r="2298" ht="15.75" customHeight="1" x14ac:dyDescent="0.2"/>
    <row r="2300" ht="15.75" customHeight="1" x14ac:dyDescent="0.2"/>
    <row r="2301" ht="15.75" customHeight="1" x14ac:dyDescent="0.2"/>
    <row r="2302" ht="15.75" customHeight="1" x14ac:dyDescent="0.2"/>
    <row r="2303" ht="15.75" customHeight="1" x14ac:dyDescent="0.2"/>
    <row r="2304" ht="15.75" customHeight="1" x14ac:dyDescent="0.2"/>
    <row r="2305" ht="15.75" customHeight="1" x14ac:dyDescent="0.2"/>
    <row r="2306" ht="15.75" customHeight="1" x14ac:dyDescent="0.2"/>
    <row r="2308" ht="15.75" customHeight="1" x14ac:dyDescent="0.2"/>
    <row r="2310" ht="15.75" customHeight="1" x14ac:dyDescent="0.2"/>
    <row r="2311" ht="15.75" customHeight="1" x14ac:dyDescent="0.2"/>
    <row r="2312" ht="15.75" customHeight="1" x14ac:dyDescent="0.2"/>
    <row r="2313" ht="15.75" customHeight="1" x14ac:dyDescent="0.2"/>
    <row r="2314" ht="15.75" customHeight="1" x14ac:dyDescent="0.2"/>
    <row r="2315" ht="15.75" customHeight="1" x14ac:dyDescent="0.2"/>
    <row r="2317" ht="15.75" customHeight="1" x14ac:dyDescent="0.2"/>
    <row r="2320" ht="15.75" customHeight="1" x14ac:dyDescent="0.2"/>
    <row r="2349" ht="15.75" customHeight="1" x14ac:dyDescent="0.2"/>
    <row r="2377" ht="15.75" customHeight="1" x14ac:dyDescent="0.2"/>
    <row r="2378" ht="15.75" customHeight="1" x14ac:dyDescent="0.2"/>
    <row r="2379" ht="15.75" customHeight="1" x14ac:dyDescent="0.2"/>
    <row r="2380" ht="15.75" customHeight="1" x14ac:dyDescent="0.2"/>
    <row r="2381" ht="15.75" customHeight="1" x14ac:dyDescent="0.2"/>
    <row r="2384" ht="15.75" customHeight="1" x14ac:dyDescent="0.2"/>
    <row r="2413" ht="15.75" customHeight="1" x14ac:dyDescent="0.2"/>
    <row r="2441" ht="15.75" customHeight="1" x14ac:dyDescent="0.2"/>
    <row r="2442" ht="15.75" customHeight="1" x14ac:dyDescent="0.2"/>
    <row r="2443" ht="15.75" customHeight="1" x14ac:dyDescent="0.2"/>
    <row r="2444" ht="15.75" customHeight="1" x14ac:dyDescent="0.2"/>
    <row r="2445" ht="15.75" customHeight="1" x14ac:dyDescent="0.2"/>
    <row r="2447" ht="15.75" customHeight="1" x14ac:dyDescent="0.2"/>
    <row r="2449" ht="15.75" customHeight="1" x14ac:dyDescent="0.2"/>
    <row r="2450" ht="15.75" customHeight="1" x14ac:dyDescent="0.2"/>
    <row r="2451" ht="15.75" customHeight="1" x14ac:dyDescent="0.2"/>
    <row r="2452" ht="15.75" customHeight="1" x14ac:dyDescent="0.2"/>
    <row r="2453" ht="15.75" customHeight="1" x14ac:dyDescent="0.2"/>
    <row r="2454" ht="15.75" customHeight="1" x14ac:dyDescent="0.2"/>
    <row r="2455" ht="15.75" customHeight="1" x14ac:dyDescent="0.2"/>
    <row r="2456" ht="15.75" customHeight="1" x14ac:dyDescent="0.2"/>
    <row r="2457" ht="15.75" customHeight="1" x14ac:dyDescent="0.2"/>
    <row r="2458" ht="15.75" customHeight="1" x14ac:dyDescent="0.2"/>
    <row r="2459" ht="15.75" customHeight="1" x14ac:dyDescent="0.2"/>
    <row r="2460" ht="15.75" customHeight="1" x14ac:dyDescent="0.2"/>
    <row r="2461" ht="15.75" customHeight="1" x14ac:dyDescent="0.2"/>
    <row r="2462" ht="15.75" customHeight="1" x14ac:dyDescent="0.2"/>
    <row r="2463" ht="15.75" customHeight="1" x14ac:dyDescent="0.2"/>
    <row r="2464" ht="15.75" customHeight="1" x14ac:dyDescent="0.2"/>
    <row r="2465" ht="15.75" customHeight="1" x14ac:dyDescent="0.2"/>
    <row r="2466" ht="15.75" customHeight="1" x14ac:dyDescent="0.2"/>
    <row r="2467" ht="15.75" customHeight="1" x14ac:dyDescent="0.2"/>
    <row r="2468" ht="15.75" customHeight="1" x14ac:dyDescent="0.2"/>
    <row r="2471" ht="15.75" customHeight="1" x14ac:dyDescent="0.2"/>
    <row r="2472" ht="15.75" customHeight="1" x14ac:dyDescent="0.2"/>
    <row r="2473" ht="15.75" customHeight="1" x14ac:dyDescent="0.2"/>
    <row r="2476" ht="15.75" customHeight="1" x14ac:dyDescent="0.2"/>
    <row r="2477" ht="15.75" customHeight="1" x14ac:dyDescent="0.2"/>
    <row r="2478" ht="15.75" customHeight="1" x14ac:dyDescent="0.2"/>
    <row r="2479" ht="15.75" customHeight="1" x14ac:dyDescent="0.2"/>
    <row r="2483" ht="15.75" customHeight="1" x14ac:dyDescent="0.2"/>
    <row r="2484" ht="15.75" customHeight="1" x14ac:dyDescent="0.2"/>
    <row r="2485" ht="15.75" customHeight="1" x14ac:dyDescent="0.2"/>
    <row r="2486" ht="15.75" customHeight="1" x14ac:dyDescent="0.2"/>
    <row r="2490" ht="15.75" customHeight="1" x14ac:dyDescent="0.2"/>
    <row r="2491" ht="15.75" customHeight="1" x14ac:dyDescent="0.2"/>
    <row r="2492" ht="15.75" customHeight="1" x14ac:dyDescent="0.2"/>
    <row r="2493" ht="15.75" customHeight="1" x14ac:dyDescent="0.2"/>
    <row r="2494" ht="15.75" customHeight="1" x14ac:dyDescent="0.2"/>
    <row r="2498" ht="15.75" customHeight="1" x14ac:dyDescent="0.2"/>
    <row r="2499" ht="15.75" customHeight="1" x14ac:dyDescent="0.2"/>
    <row r="2500" ht="15.75" customHeight="1" x14ac:dyDescent="0.2"/>
    <row r="2501" ht="15.75" customHeight="1" x14ac:dyDescent="0.2"/>
    <row r="2502" ht="15.75" customHeight="1" x14ac:dyDescent="0.2"/>
    <row r="2503" ht="15.75" customHeight="1" x14ac:dyDescent="0.2"/>
    <row r="2504" ht="15.75" customHeight="1" x14ac:dyDescent="0.2"/>
    <row r="2505" ht="15.75" customHeight="1" x14ac:dyDescent="0.2"/>
    <row r="2506" ht="15.75" customHeight="1" x14ac:dyDescent="0.2"/>
    <row r="2507" ht="15.75" customHeight="1" x14ac:dyDescent="0.2"/>
    <row r="2508" ht="15.75" customHeight="1" x14ac:dyDescent="0.2"/>
    <row r="2509" ht="15.75" customHeight="1" x14ac:dyDescent="0.2"/>
    <row r="2510" ht="15.75" customHeight="1" x14ac:dyDescent="0.2"/>
    <row r="2511" ht="15.75" customHeight="1" x14ac:dyDescent="0.2"/>
    <row r="2512" ht="15.75" customHeight="1" x14ac:dyDescent="0.2"/>
    <row r="2513" ht="15.75" customHeight="1" x14ac:dyDescent="0.2"/>
    <row r="2514" ht="15.75" customHeight="1" x14ac:dyDescent="0.2"/>
    <row r="2515" ht="15.75" customHeight="1" x14ac:dyDescent="0.2"/>
    <row r="2516" ht="15.75" customHeight="1" x14ac:dyDescent="0.2"/>
    <row r="2517" ht="15.75" customHeight="1" x14ac:dyDescent="0.2"/>
    <row r="2518" ht="15.75" customHeight="1" x14ac:dyDescent="0.2"/>
    <row r="2519" ht="15.75" customHeight="1" x14ac:dyDescent="0.2"/>
    <row r="2520" ht="15.75" customHeight="1" x14ac:dyDescent="0.2"/>
    <row r="2521" ht="15.75" customHeight="1" x14ac:dyDescent="0.2"/>
    <row r="2522" ht="15.75" customHeight="1" x14ac:dyDescent="0.2"/>
    <row r="2523" ht="15.75" customHeight="1" x14ac:dyDescent="0.2"/>
    <row r="2524" ht="15.75" customHeight="1" x14ac:dyDescent="0.2"/>
    <row r="2525" ht="15.75" customHeight="1" x14ac:dyDescent="0.2"/>
    <row r="2526" ht="15.75" customHeight="1" x14ac:dyDescent="0.2"/>
    <row r="2529" ht="15.75" customHeight="1" x14ac:dyDescent="0.2"/>
    <row r="2530" ht="15.75" customHeight="1" x14ac:dyDescent="0.2"/>
    <row r="2531" ht="15.75" customHeight="1" x14ac:dyDescent="0.2"/>
    <row r="2532" ht="15.75" customHeight="1" x14ac:dyDescent="0.2"/>
    <row r="2533" ht="15.75" customHeight="1" x14ac:dyDescent="0.2"/>
    <row r="2534" ht="15.75" customHeight="1" x14ac:dyDescent="0.2"/>
    <row r="2537" ht="15.75" customHeight="1" x14ac:dyDescent="0.2"/>
    <row r="2538" ht="15.75" customHeight="1" x14ac:dyDescent="0.2"/>
    <row r="2539" ht="15.75" customHeight="1" x14ac:dyDescent="0.2"/>
    <row r="2540" ht="15.75" customHeight="1" x14ac:dyDescent="0.2"/>
    <row r="2544" ht="15.75" customHeight="1" x14ac:dyDescent="0.2"/>
    <row r="2545" ht="15.75" customHeight="1" x14ac:dyDescent="0.2"/>
    <row r="2546" ht="15.75" customHeight="1" x14ac:dyDescent="0.2"/>
    <row r="2547" ht="15.75" customHeight="1" x14ac:dyDescent="0.2"/>
    <row r="2551" ht="15.75" customHeight="1" x14ac:dyDescent="0.2"/>
    <row r="2552" ht="15.75" customHeight="1" x14ac:dyDescent="0.2"/>
    <row r="2553" ht="15.75" customHeight="1" x14ac:dyDescent="0.2"/>
    <row r="2554" ht="15.75" customHeight="1" x14ac:dyDescent="0.2"/>
    <row r="2558" ht="15.75" customHeight="1" x14ac:dyDescent="0.2"/>
    <row r="2559" ht="15.75" customHeight="1" x14ac:dyDescent="0.2"/>
    <row r="2560" ht="15.75" customHeight="1" x14ac:dyDescent="0.2"/>
    <row r="2561" ht="15.75" customHeight="1" x14ac:dyDescent="0.2"/>
    <row r="2565" ht="15.75" customHeight="1" x14ac:dyDescent="0.2"/>
    <row r="2566" ht="15.75" customHeight="1" x14ac:dyDescent="0.2"/>
    <row r="2567" ht="15.75" customHeight="1" x14ac:dyDescent="0.2"/>
    <row r="2568" ht="15.75" customHeight="1" x14ac:dyDescent="0.2"/>
    <row r="2569" ht="15.75" customHeight="1" x14ac:dyDescent="0.2"/>
    <row r="2573" ht="15.75" customHeight="1" x14ac:dyDescent="0.2"/>
    <row r="2574" ht="15.75" customHeight="1" x14ac:dyDescent="0.2"/>
    <row r="2575" ht="15.75" customHeight="1" x14ac:dyDescent="0.2"/>
    <row r="2576" ht="15.75" customHeight="1" x14ac:dyDescent="0.2"/>
    <row r="2577" ht="15.75" customHeight="1" x14ac:dyDescent="0.2"/>
    <row r="2582" ht="15.75" customHeight="1" x14ac:dyDescent="0.2"/>
    <row r="2583" ht="15.75" customHeight="1" x14ac:dyDescent="0.2"/>
    <row r="2584" ht="15.75" customHeight="1" x14ac:dyDescent="0.2"/>
    <row r="2585" ht="15.75" customHeight="1" x14ac:dyDescent="0.2"/>
    <row r="2589" ht="15.75" customHeight="1" x14ac:dyDescent="0.2"/>
    <row r="2590" ht="15.75" customHeight="1" x14ac:dyDescent="0.2"/>
    <row r="2591" ht="15.75" customHeight="1" x14ac:dyDescent="0.2"/>
    <row r="2592" ht="15.75" customHeight="1" x14ac:dyDescent="0.2"/>
    <row r="2593" ht="15.75" customHeight="1" x14ac:dyDescent="0.2"/>
    <row r="2597" ht="15.75" customHeight="1" x14ac:dyDescent="0.2"/>
    <row r="2598" ht="15.75" customHeight="1" x14ac:dyDescent="0.2"/>
    <row r="2599" ht="15.75" customHeight="1" x14ac:dyDescent="0.2"/>
    <row r="2600" ht="15.75" customHeight="1" x14ac:dyDescent="0.2"/>
    <row r="2601" ht="15.75" customHeight="1" x14ac:dyDescent="0.2"/>
    <row r="2602" ht="15.75" customHeight="1" x14ac:dyDescent="0.2"/>
    <row r="2606" ht="15.75" customHeight="1" x14ac:dyDescent="0.2"/>
    <row r="2607" ht="15.75" customHeight="1" x14ac:dyDescent="0.2"/>
    <row r="2608" ht="15.75" customHeight="1" x14ac:dyDescent="0.2"/>
    <row r="2609" ht="15.75" customHeight="1" x14ac:dyDescent="0.2"/>
    <row r="2610" ht="15.75" customHeight="1" x14ac:dyDescent="0.2"/>
    <row r="2611" ht="15.75" customHeight="1" x14ac:dyDescent="0.2"/>
    <row r="2612" ht="15.75" customHeight="1" x14ac:dyDescent="0.2"/>
    <row r="2613" ht="15.75" customHeight="1" x14ac:dyDescent="0.2"/>
    <row r="2614" ht="15.75" customHeight="1" x14ac:dyDescent="0.2"/>
    <row r="2615" ht="15.75" customHeight="1" x14ac:dyDescent="0.2"/>
    <row r="2616" ht="15.75" customHeight="1" x14ac:dyDescent="0.2"/>
    <row r="2617" ht="15.75" customHeight="1" x14ac:dyDescent="0.2"/>
    <row r="2618" ht="15.75" customHeight="1" x14ac:dyDescent="0.2"/>
    <row r="2620" ht="15.75" customHeight="1" x14ac:dyDescent="0.2"/>
    <row r="2621" ht="15.75" customHeight="1" x14ac:dyDescent="0.2"/>
    <row r="2622" ht="15.75" customHeight="1" x14ac:dyDescent="0.2"/>
    <row r="2623" ht="15.75" customHeight="1" x14ac:dyDescent="0.2"/>
    <row r="2624" ht="15.75" customHeight="1" x14ac:dyDescent="0.2"/>
    <row r="2625" ht="15.75" customHeight="1" x14ac:dyDescent="0.2"/>
    <row r="2626" ht="15.75" customHeight="1" x14ac:dyDescent="0.2"/>
    <row r="2627" ht="15.75" customHeight="1" x14ac:dyDescent="0.2"/>
    <row r="2631" ht="15.75" customHeight="1" x14ac:dyDescent="0.2"/>
    <row r="2632" ht="15.75" customHeight="1" x14ac:dyDescent="0.2"/>
    <row r="2633" ht="15.75" customHeight="1" x14ac:dyDescent="0.2"/>
    <row r="2634" ht="15.75" customHeight="1" x14ac:dyDescent="0.2"/>
    <row r="2638" ht="15.75" customHeight="1" x14ac:dyDescent="0.2"/>
    <row r="2639" ht="15.75" customHeight="1" x14ac:dyDescent="0.2"/>
    <row r="2640" ht="15.75" customHeight="1" x14ac:dyDescent="0.2"/>
    <row r="2643" ht="15.75" customHeight="1" x14ac:dyDescent="0.2"/>
    <row r="2644" ht="15.75" customHeight="1" x14ac:dyDescent="0.2"/>
    <row r="2645" ht="15.75" customHeight="1" x14ac:dyDescent="0.2"/>
    <row r="2646" ht="15.75" customHeight="1" x14ac:dyDescent="0.2"/>
    <row r="2647" ht="15.75" customHeight="1" x14ac:dyDescent="0.2"/>
    <row r="2648" ht="15.75" customHeight="1" x14ac:dyDescent="0.2"/>
    <row r="2649" ht="15.75" customHeight="1" x14ac:dyDescent="0.2"/>
    <row r="2650" ht="15.75" customHeight="1" x14ac:dyDescent="0.2"/>
    <row r="2651" ht="15.75" customHeight="1" x14ac:dyDescent="0.2"/>
    <row r="2652" ht="15.75" customHeight="1" x14ac:dyDescent="0.2"/>
    <row r="2653" ht="15.75" customHeight="1" x14ac:dyDescent="0.2"/>
    <row r="2654" ht="15.75" customHeight="1" x14ac:dyDescent="0.2"/>
    <row r="2655" ht="15.75" customHeight="1" x14ac:dyDescent="0.2"/>
    <row r="2656" ht="15.75" customHeight="1" x14ac:dyDescent="0.2"/>
    <row r="2657" ht="15.75" customHeight="1" x14ac:dyDescent="0.2"/>
    <row r="2658" ht="15.75" customHeight="1" x14ac:dyDescent="0.2"/>
    <row r="2659" ht="15.75" customHeight="1" x14ac:dyDescent="0.2"/>
    <row r="2660" ht="15.75" customHeight="1" x14ac:dyDescent="0.2"/>
    <row r="2661" ht="15.75" customHeight="1" x14ac:dyDescent="0.2"/>
    <row r="2662" ht="15.75" customHeight="1" x14ac:dyDescent="0.2"/>
    <row r="2663" ht="15.75" customHeight="1" x14ac:dyDescent="0.2"/>
    <row r="2664" ht="15.75" customHeight="1" x14ac:dyDescent="0.2"/>
    <row r="2665" ht="15.75" customHeight="1" x14ac:dyDescent="0.2"/>
    <row r="2666" ht="15.75" customHeight="1" x14ac:dyDescent="0.2"/>
    <row r="2667" ht="15.75" customHeight="1" x14ac:dyDescent="0.2"/>
    <row r="2668" ht="15.75" customHeight="1" x14ac:dyDescent="0.2"/>
    <row r="2669" ht="15.75" customHeight="1" x14ac:dyDescent="0.2"/>
    <row r="2670" ht="15.75" customHeight="1" x14ac:dyDescent="0.2"/>
    <row r="2671" ht="15.75" customHeight="1" x14ac:dyDescent="0.2"/>
    <row r="2672" ht="15.75" customHeight="1" x14ac:dyDescent="0.2"/>
    <row r="2673" ht="15.75" customHeight="1" x14ac:dyDescent="0.2"/>
    <row r="2674" ht="15.75" customHeight="1" x14ac:dyDescent="0.2"/>
    <row r="2675" ht="15.75" customHeight="1" x14ac:dyDescent="0.2"/>
    <row r="2676" ht="15.75" customHeight="1" x14ac:dyDescent="0.2"/>
    <row r="2677" ht="15.75" customHeight="1" x14ac:dyDescent="0.2"/>
    <row r="2678" ht="15.75" customHeight="1" x14ac:dyDescent="0.2"/>
    <row r="2679" ht="15.75" customHeight="1" x14ac:dyDescent="0.2"/>
    <row r="2680" ht="15.75" customHeight="1" x14ac:dyDescent="0.2"/>
    <row r="2681" ht="15.75" customHeight="1" x14ac:dyDescent="0.2"/>
    <row r="2682" ht="15.75" customHeight="1" x14ac:dyDescent="0.2"/>
    <row r="2684" ht="15.75" customHeight="1" x14ac:dyDescent="0.2"/>
    <row r="2685" ht="15.75" customHeight="1" x14ac:dyDescent="0.2"/>
    <row r="2686" ht="15.75" customHeight="1" x14ac:dyDescent="0.2"/>
    <row r="2687" ht="15.75" customHeight="1" x14ac:dyDescent="0.2"/>
    <row r="2688" ht="15.75" customHeight="1" x14ac:dyDescent="0.2"/>
    <row r="2690" ht="15.75" customHeight="1" x14ac:dyDescent="0.2"/>
    <row r="2691" ht="15.75" customHeight="1" x14ac:dyDescent="0.2"/>
    <row r="2692" ht="15.75" customHeight="1" x14ac:dyDescent="0.2"/>
    <row r="2693" ht="15.75" customHeight="1" x14ac:dyDescent="0.2"/>
    <row r="2694" ht="15.75" customHeight="1" x14ac:dyDescent="0.2"/>
    <row r="2696" ht="15.75" customHeight="1" x14ac:dyDescent="0.2"/>
    <row r="2697" ht="15.75" customHeight="1" x14ac:dyDescent="0.2"/>
    <row r="2698" ht="15.75" customHeight="1" x14ac:dyDescent="0.2"/>
    <row r="2699" ht="15.75" customHeight="1" x14ac:dyDescent="0.2"/>
    <row r="2700" ht="15.75" customHeight="1" x14ac:dyDescent="0.2"/>
    <row r="2702" ht="15.75" customHeight="1" x14ac:dyDescent="0.2"/>
    <row r="2703" ht="15.75" customHeight="1" x14ac:dyDescent="0.2"/>
    <row r="2704" ht="15.75" customHeight="1" x14ac:dyDescent="0.2"/>
    <row r="2705" ht="15.75" customHeight="1" x14ac:dyDescent="0.2"/>
    <row r="2706" ht="15.75" customHeight="1" x14ac:dyDescent="0.2"/>
    <row r="2708" ht="15.75" customHeight="1" x14ac:dyDescent="0.2"/>
    <row r="2709" ht="15.75" customHeight="1" x14ac:dyDescent="0.2"/>
    <row r="2710" ht="15.75" customHeight="1" x14ac:dyDescent="0.2"/>
    <row r="2711" ht="15.75" customHeight="1" x14ac:dyDescent="0.2"/>
    <row r="2712" ht="15.75" customHeight="1" x14ac:dyDescent="0.2"/>
    <row r="2714" ht="15.75" customHeight="1" x14ac:dyDescent="0.2"/>
    <row r="2715" ht="15.75" customHeight="1" x14ac:dyDescent="0.2"/>
    <row r="2716" ht="15.75" customHeight="1" x14ac:dyDescent="0.2"/>
    <row r="2717" ht="15.75" customHeight="1" x14ac:dyDescent="0.2"/>
    <row r="2718" ht="15.75" customHeight="1" x14ac:dyDescent="0.2"/>
    <row r="2720" ht="15.75" customHeight="1" x14ac:dyDescent="0.2"/>
    <row r="2721" ht="15.75" customHeight="1" x14ac:dyDescent="0.2"/>
    <row r="2722" ht="15.75" customHeight="1" x14ac:dyDescent="0.2"/>
    <row r="2723" ht="15.75" customHeight="1" x14ac:dyDescent="0.2"/>
    <row r="2724" ht="15.75" customHeight="1" x14ac:dyDescent="0.2"/>
    <row r="2726" ht="15.75" customHeight="1" x14ac:dyDescent="0.2"/>
    <row r="2727" ht="15.75" customHeight="1" x14ac:dyDescent="0.2"/>
    <row r="2728" ht="15.75" customHeight="1" x14ac:dyDescent="0.2"/>
    <row r="2729" ht="15.75" customHeight="1" x14ac:dyDescent="0.2"/>
    <row r="2730" ht="15.75" customHeight="1" x14ac:dyDescent="0.2"/>
    <row r="2732" ht="15.75" customHeight="1" x14ac:dyDescent="0.2"/>
    <row r="2733" ht="15.75" customHeight="1" x14ac:dyDescent="0.2"/>
    <row r="2734" ht="15.75" customHeight="1" x14ac:dyDescent="0.2"/>
    <row r="2735" ht="15.75" customHeight="1" x14ac:dyDescent="0.2"/>
    <row r="2736" ht="15.75" customHeight="1" x14ac:dyDescent="0.2"/>
    <row r="2738" ht="15.75" customHeight="1" x14ac:dyDescent="0.2"/>
    <row r="2739" ht="15.75" customHeight="1" x14ac:dyDescent="0.2"/>
    <row r="2740" ht="15.75" customHeight="1" x14ac:dyDescent="0.2"/>
    <row r="2741" ht="15.75" customHeight="1" x14ac:dyDescent="0.2"/>
    <row r="2742" ht="15.75" customHeight="1" x14ac:dyDescent="0.2"/>
    <row r="2743" ht="15.75" customHeight="1" x14ac:dyDescent="0.2"/>
    <row r="2744" ht="15.75" customHeight="1" x14ac:dyDescent="0.2"/>
    <row r="2745" ht="15.75" customHeight="1" x14ac:dyDescent="0.2"/>
    <row r="2746" ht="15.75" customHeight="1" x14ac:dyDescent="0.2"/>
    <row r="2747" ht="15.75" customHeight="1" x14ac:dyDescent="0.2"/>
    <row r="2748" ht="15.75" customHeight="1" x14ac:dyDescent="0.2"/>
    <row r="2749" ht="15.75" customHeight="1" x14ac:dyDescent="0.2"/>
    <row r="2750" ht="15.75" customHeight="1" x14ac:dyDescent="0.2"/>
    <row r="2751" ht="15.75" customHeight="1" x14ac:dyDescent="0.2"/>
    <row r="2752" ht="15.75" customHeight="1" x14ac:dyDescent="0.2"/>
    <row r="2753" ht="15.75" customHeight="1" x14ac:dyDescent="0.2"/>
    <row r="2754" ht="15.75" customHeight="1" x14ac:dyDescent="0.2"/>
    <row r="2755" ht="15.75" customHeight="1" x14ac:dyDescent="0.2"/>
    <row r="2756" ht="15.75" customHeight="1" x14ac:dyDescent="0.2"/>
    <row r="2757" ht="15.75" customHeight="1" x14ac:dyDescent="0.2"/>
    <row r="2758" ht="15.75" customHeight="1" x14ac:dyDescent="0.2"/>
    <row r="2759" ht="15.75" customHeight="1" x14ac:dyDescent="0.2"/>
    <row r="2760" ht="15.75" customHeight="1" x14ac:dyDescent="0.2"/>
    <row r="2761" ht="15.75" customHeight="1" x14ac:dyDescent="0.2"/>
    <row r="2762" ht="15.75" customHeight="1" x14ac:dyDescent="0.2"/>
    <row r="2763" ht="15.75" customHeight="1" x14ac:dyDescent="0.2"/>
    <row r="2764" ht="15.75" customHeight="1" x14ac:dyDescent="0.2"/>
    <row r="2765" ht="15.75" customHeight="1" x14ac:dyDescent="0.2"/>
    <row r="2766" ht="15.75" customHeight="1" x14ac:dyDescent="0.2"/>
    <row r="2767" ht="15.75" customHeight="1" x14ac:dyDescent="0.2"/>
    <row r="2768" ht="15.75" customHeight="1" x14ac:dyDescent="0.2"/>
    <row r="2769" ht="15.75" customHeight="1" x14ac:dyDescent="0.2"/>
    <row r="2770" ht="15.75" customHeight="1" x14ac:dyDescent="0.2"/>
    <row r="2772" ht="15.75" customHeight="1" x14ac:dyDescent="0.2"/>
    <row r="2773" ht="15.75" customHeight="1" x14ac:dyDescent="0.2"/>
    <row r="2774" ht="15.75" customHeight="1" x14ac:dyDescent="0.2"/>
    <row r="2775" ht="15.75" customHeight="1" x14ac:dyDescent="0.2"/>
    <row r="2776" ht="15.75" customHeight="1" x14ac:dyDescent="0.2"/>
    <row r="2778" ht="15.75" customHeight="1" x14ac:dyDescent="0.2"/>
    <row r="2779" ht="15.75" customHeight="1" x14ac:dyDescent="0.2"/>
    <row r="2780" ht="15.75" customHeight="1" x14ac:dyDescent="0.2"/>
    <row r="2781" ht="15.75" customHeight="1" x14ac:dyDescent="0.2"/>
    <row r="2782" ht="15.75" customHeight="1" x14ac:dyDescent="0.2"/>
    <row r="2784" ht="15.75" customHeight="1" x14ac:dyDescent="0.2"/>
    <row r="2785" ht="15.75" customHeight="1" x14ac:dyDescent="0.2"/>
    <row r="2786" ht="15.75" customHeight="1" x14ac:dyDescent="0.2"/>
    <row r="2787" ht="15.75" customHeight="1" x14ac:dyDescent="0.2"/>
    <row r="2788" ht="15.75" customHeight="1" x14ac:dyDescent="0.2"/>
    <row r="2790" ht="15.75" customHeight="1" x14ac:dyDescent="0.2"/>
    <row r="2791" ht="15.75" customHeight="1" x14ac:dyDescent="0.2"/>
    <row r="2792" ht="15.75" customHeight="1" x14ac:dyDescent="0.2"/>
    <row r="2793" ht="15.75" customHeight="1" x14ac:dyDescent="0.2"/>
    <row r="2794" ht="15.75" customHeight="1" x14ac:dyDescent="0.2"/>
    <row r="2796" ht="15.75" customHeight="1" x14ac:dyDescent="0.2"/>
    <row r="2797" ht="15.75" customHeight="1" x14ac:dyDescent="0.2"/>
    <row r="2798" ht="15.75" customHeight="1" x14ac:dyDescent="0.2"/>
    <row r="2799" ht="15.75" customHeight="1" x14ac:dyDescent="0.2"/>
    <row r="2800" ht="15.75" customHeight="1" x14ac:dyDescent="0.2"/>
    <row r="2802" ht="15.75" customHeight="1" x14ac:dyDescent="0.2"/>
    <row r="2803" ht="15.75" customHeight="1" x14ac:dyDescent="0.2"/>
    <row r="2804" ht="15.75" customHeight="1" x14ac:dyDescent="0.2"/>
    <row r="2805" ht="15.75" customHeight="1" x14ac:dyDescent="0.2"/>
    <row r="2806" ht="15.75" customHeight="1" x14ac:dyDescent="0.2"/>
    <row r="2808" ht="15.75" customHeight="1" x14ac:dyDescent="0.2"/>
    <row r="2809" ht="15.75" customHeight="1" x14ac:dyDescent="0.2"/>
    <row r="2810" ht="15.75" customHeight="1" x14ac:dyDescent="0.2"/>
    <row r="2811" ht="15.75" customHeight="1" x14ac:dyDescent="0.2"/>
    <row r="2812" ht="15.75" customHeight="1" x14ac:dyDescent="0.2"/>
    <row r="2814" ht="15.75" customHeight="1" x14ac:dyDescent="0.2"/>
    <row r="2815" ht="15.75" customHeight="1" x14ac:dyDescent="0.2"/>
    <row r="2816" ht="15.75" customHeight="1" x14ac:dyDescent="0.2"/>
    <row r="2817" ht="15.75" customHeight="1" x14ac:dyDescent="0.2"/>
    <row r="2818" ht="15.75" customHeight="1" x14ac:dyDescent="0.2"/>
    <row r="2820" ht="15.75" customHeight="1" x14ac:dyDescent="0.2"/>
    <row r="2821" ht="15.75" customHeight="1" x14ac:dyDescent="0.2"/>
    <row r="2822" ht="15.75" customHeight="1" x14ac:dyDescent="0.2"/>
    <row r="2823" ht="15.75" customHeight="1" x14ac:dyDescent="0.2"/>
    <row r="2824" ht="15.75" customHeight="1" x14ac:dyDescent="0.2"/>
    <row r="2826" ht="15.75" customHeight="1" x14ac:dyDescent="0.2"/>
    <row r="2827" ht="15.75" customHeight="1" x14ac:dyDescent="0.2"/>
    <row r="2828" ht="15.75" customHeight="1" x14ac:dyDescent="0.2"/>
    <row r="2829" ht="15.75" customHeight="1" x14ac:dyDescent="0.2"/>
    <row r="2830" ht="15.75" customHeight="1" x14ac:dyDescent="0.2"/>
    <row r="2832" ht="15.75" customHeight="1" x14ac:dyDescent="0.2"/>
    <row r="2833" ht="15.75" customHeight="1" x14ac:dyDescent="0.2"/>
    <row r="2834" ht="15.75" customHeight="1" x14ac:dyDescent="0.2"/>
    <row r="2835" ht="15.75" customHeight="1" x14ac:dyDescent="0.2"/>
    <row r="2836" ht="15.75" customHeight="1" x14ac:dyDescent="0.2"/>
    <row r="2838" ht="15.75" customHeight="1" x14ac:dyDescent="0.2"/>
    <row r="2839" ht="15.75" customHeight="1" x14ac:dyDescent="0.2"/>
    <row r="2840" ht="15.75" customHeight="1" x14ac:dyDescent="0.2"/>
    <row r="2841" ht="15.75" customHeight="1" x14ac:dyDescent="0.2"/>
    <row r="2842" ht="15.75" customHeight="1" x14ac:dyDescent="0.2"/>
    <row r="2843" ht="15.75" customHeight="1" x14ac:dyDescent="0.2"/>
    <row r="2844" ht="15.75" customHeight="1" x14ac:dyDescent="0.2"/>
    <row r="2845" ht="15.75" customHeight="1" x14ac:dyDescent="0.2"/>
    <row r="2846" ht="15.75" customHeight="1" x14ac:dyDescent="0.2"/>
    <row r="2847" ht="15.75" customHeight="1" x14ac:dyDescent="0.2"/>
    <row r="2848" ht="15.75" customHeight="1" x14ac:dyDescent="0.2"/>
    <row r="2849" ht="15.75" customHeight="1" x14ac:dyDescent="0.2"/>
    <row r="2850" ht="15.75" customHeight="1" x14ac:dyDescent="0.2"/>
    <row r="2851" ht="15.75" customHeight="1" x14ac:dyDescent="0.2"/>
    <row r="2852" ht="15.75" customHeight="1" x14ac:dyDescent="0.2"/>
    <row r="2853" ht="15.75" customHeight="1" x14ac:dyDescent="0.2"/>
    <row r="2854" ht="15.75" customHeight="1" x14ac:dyDescent="0.2"/>
    <row r="2855" ht="15.75" customHeight="1" x14ac:dyDescent="0.2"/>
    <row r="2856" ht="15.75" customHeight="1" x14ac:dyDescent="0.2"/>
    <row r="2857" ht="15.75" customHeight="1" x14ac:dyDescent="0.2"/>
    <row r="2858" ht="15.75" customHeight="1" x14ac:dyDescent="0.2"/>
    <row r="2859" ht="15.75" customHeight="1" x14ac:dyDescent="0.2"/>
    <row r="2860" ht="15.75" customHeight="1" x14ac:dyDescent="0.2"/>
    <row r="2861" ht="15.75" customHeight="1" x14ac:dyDescent="0.2"/>
    <row r="2862" ht="15.75" customHeight="1" x14ac:dyDescent="0.2"/>
    <row r="2863" ht="15.75" customHeight="1" x14ac:dyDescent="0.2"/>
    <row r="2864" ht="15.75" customHeight="1" x14ac:dyDescent="0.2"/>
    <row r="2865" ht="15.75" customHeight="1" x14ac:dyDescent="0.2"/>
    <row r="2866" ht="15.75" customHeight="1" x14ac:dyDescent="0.2"/>
    <row r="2867" ht="15.75" customHeight="1" x14ac:dyDescent="0.2"/>
    <row r="2868" ht="15.75" customHeight="1" x14ac:dyDescent="0.2"/>
    <row r="2869" ht="15.75" customHeight="1" x14ac:dyDescent="0.2"/>
    <row r="2870" ht="15.75" customHeight="1" x14ac:dyDescent="0.2"/>
    <row r="2871" ht="15.75" customHeight="1" x14ac:dyDescent="0.2"/>
    <row r="2872" ht="15.75" customHeight="1" x14ac:dyDescent="0.2"/>
    <row r="2873" ht="15.75" customHeight="1" x14ac:dyDescent="0.2"/>
    <row r="2874" ht="15.75" customHeight="1" x14ac:dyDescent="0.2"/>
    <row r="2875" ht="15.75" customHeight="1" x14ac:dyDescent="0.2"/>
    <row r="2876" ht="15.75" customHeight="1" x14ac:dyDescent="0.2"/>
    <row r="2877" ht="15.75" customHeight="1" x14ac:dyDescent="0.2"/>
    <row r="2878" ht="15.75" customHeight="1" x14ac:dyDescent="0.2"/>
    <row r="2879" ht="15.75" customHeight="1" x14ac:dyDescent="0.2"/>
    <row r="2880" ht="15.75" customHeight="1" x14ac:dyDescent="0.2"/>
    <row r="2881" ht="15.75" customHeight="1" x14ac:dyDescent="0.2"/>
  </sheetData>
  <mergeCells count="21">
    <mergeCell ref="B110:B133"/>
    <mergeCell ref="C4:C99"/>
    <mergeCell ref="C101:C109"/>
    <mergeCell ref="C110:C133"/>
    <mergeCell ref="D129:D133"/>
    <mergeCell ref="D49:D55"/>
    <mergeCell ref="D56:D63"/>
    <mergeCell ref="D64:D71"/>
    <mergeCell ref="D72:D79"/>
    <mergeCell ref="D80:D87"/>
    <mergeCell ref="D88:D96"/>
    <mergeCell ref="D97:D98"/>
    <mergeCell ref="D12:D19"/>
    <mergeCell ref="D20:D27"/>
    <mergeCell ref="D28:D34"/>
    <mergeCell ref="D35:D41"/>
    <mergeCell ref="D42:D48"/>
    <mergeCell ref="D115:D121"/>
    <mergeCell ref="D122:D128"/>
    <mergeCell ref="B4:B99"/>
    <mergeCell ref="B101:B109"/>
  </mergeCells>
  <conditionalFormatting sqref="O1:O133 Q1:Q133">
    <cfRule type="expression" dxfId="0" priority="1">
      <formula>COUNTIF(O:O, O1)&gt;1</formula>
    </cfRule>
  </conditionalFormatting>
  <dataValidations count="4">
    <dataValidation type="list" allowBlank="1" showErrorMessage="1" sqref="B4 B100:B101 B110" xr:uid="{00000000-0002-0000-0000-000003000000}">
      <formula1>$T$1:$T$6</formula1>
    </dataValidation>
    <dataValidation type="list" allowBlank="1" showErrorMessage="1" sqref="F4:F133" xr:uid="{00000000-0002-0000-0000-000000000000}">
      <formula1>$U$1:$U$3</formula1>
    </dataValidation>
    <dataValidation type="list" allowBlank="1" showErrorMessage="1" sqref="G4:G133" xr:uid="{00000000-0002-0000-0000-000002000000}">
      <formula1>$V$1:$V$2</formula1>
    </dataValidation>
    <dataValidation type="list" allowBlank="1" showErrorMessage="1" sqref="H4:H133" xr:uid="{00000000-0002-0000-0000-000004000000}">
      <formula1>$S$1:$S$15</formula1>
    </dataValidation>
  </dataValidation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/>
  </sheetViews>
  <sheetFormatPr defaultColWidth="14.42578125" defaultRowHeight="15" customHeight="1" x14ac:dyDescent="0.2"/>
  <sheetData>
    <row r="1" spans="1:12" x14ac:dyDescent="0.25">
      <c r="A1" s="55" t="s">
        <v>239</v>
      </c>
      <c r="B1" s="55" t="s">
        <v>240</v>
      </c>
      <c r="C1" s="61" t="s">
        <v>241</v>
      </c>
      <c r="D1" s="61" t="s">
        <v>239</v>
      </c>
      <c r="E1" s="61" t="s">
        <v>240</v>
      </c>
      <c r="F1" s="61" t="s">
        <v>242</v>
      </c>
      <c r="G1" s="61" t="s">
        <v>243</v>
      </c>
      <c r="H1" s="61" t="s">
        <v>244</v>
      </c>
      <c r="I1" s="61" t="s">
        <v>245</v>
      </c>
      <c r="J1" s="61" t="s">
        <v>240</v>
      </c>
      <c r="K1" s="61" t="s">
        <v>239</v>
      </c>
      <c r="L1" s="61" t="s">
        <v>246</v>
      </c>
    </row>
    <row r="2" spans="1:12" x14ac:dyDescent="0.25">
      <c r="A2" s="55" t="s">
        <v>247</v>
      </c>
      <c r="B2" s="55" t="s">
        <v>248</v>
      </c>
      <c r="C2" s="55" t="s">
        <v>241</v>
      </c>
      <c r="D2" s="55" t="s">
        <v>247</v>
      </c>
      <c r="E2" s="55" t="s">
        <v>248</v>
      </c>
      <c r="F2" s="55" t="s">
        <v>242</v>
      </c>
      <c r="G2" s="55" t="s">
        <v>249</v>
      </c>
      <c r="H2" s="55" t="s">
        <v>250</v>
      </c>
      <c r="I2" s="55" t="s">
        <v>245</v>
      </c>
      <c r="J2" s="55" t="s">
        <v>251</v>
      </c>
      <c r="K2" s="55" t="s">
        <v>252</v>
      </c>
      <c r="L2" s="55" t="s">
        <v>253</v>
      </c>
    </row>
    <row r="3" spans="1:12" x14ac:dyDescent="0.25">
      <c r="A3" s="55" t="s">
        <v>252</v>
      </c>
      <c r="B3" s="55" t="s">
        <v>251</v>
      </c>
      <c r="C3" s="55" t="s">
        <v>241</v>
      </c>
      <c r="D3" s="55" t="s">
        <v>252</v>
      </c>
      <c r="E3" s="55" t="s">
        <v>251</v>
      </c>
      <c r="F3" s="55" t="s">
        <v>242</v>
      </c>
      <c r="G3" s="55" t="s">
        <v>254</v>
      </c>
      <c r="H3" s="55" t="s">
        <v>255</v>
      </c>
      <c r="I3" s="55" t="s">
        <v>245</v>
      </c>
      <c r="J3" s="55" t="s">
        <v>256</v>
      </c>
      <c r="K3" s="55" t="s">
        <v>257</v>
      </c>
      <c r="L3" s="55" t="s">
        <v>258</v>
      </c>
    </row>
    <row r="4" spans="1:12" x14ac:dyDescent="0.25">
      <c r="A4" s="55" t="s">
        <v>259</v>
      </c>
      <c r="B4" s="55" t="s">
        <v>260</v>
      </c>
      <c r="C4" s="55" t="s">
        <v>241</v>
      </c>
      <c r="D4" s="55" t="s">
        <v>247</v>
      </c>
      <c r="E4" s="55" t="s">
        <v>248</v>
      </c>
      <c r="F4" s="55" t="s">
        <v>242</v>
      </c>
      <c r="G4" s="55" t="s">
        <v>261</v>
      </c>
      <c r="H4" s="55" t="s">
        <v>262</v>
      </c>
      <c r="I4" s="55" t="s">
        <v>245</v>
      </c>
      <c r="J4" s="55" t="s">
        <v>251</v>
      </c>
      <c r="K4" s="55" t="s">
        <v>252</v>
      </c>
      <c r="L4" s="55" t="s">
        <v>253</v>
      </c>
    </row>
    <row r="5" spans="1:12" x14ac:dyDescent="0.25">
      <c r="A5" s="55" t="s">
        <v>257</v>
      </c>
      <c r="B5" s="55" t="s">
        <v>256</v>
      </c>
      <c r="C5" s="55" t="s">
        <v>241</v>
      </c>
      <c r="D5" s="55" t="s">
        <v>252</v>
      </c>
      <c r="E5" s="55" t="s">
        <v>251</v>
      </c>
      <c r="F5" s="55" t="s">
        <v>242</v>
      </c>
      <c r="G5" s="55" t="s">
        <v>263</v>
      </c>
      <c r="H5" s="55" t="s">
        <v>264</v>
      </c>
      <c r="I5" s="55" t="s">
        <v>245</v>
      </c>
      <c r="J5" s="55" t="s">
        <v>256</v>
      </c>
      <c r="K5" s="55" t="s">
        <v>257</v>
      </c>
      <c r="L5" s="55" t="s">
        <v>258</v>
      </c>
    </row>
    <row r="6" spans="1:12" x14ac:dyDescent="0.25">
      <c r="A6" s="55" t="s">
        <v>265</v>
      </c>
      <c r="B6" s="55" t="s">
        <v>266</v>
      </c>
      <c r="C6" s="55" t="s">
        <v>241</v>
      </c>
      <c r="D6" s="55" t="s">
        <v>247</v>
      </c>
      <c r="E6" s="55" t="s">
        <v>248</v>
      </c>
      <c r="F6" s="55" t="s">
        <v>242</v>
      </c>
      <c r="G6" s="55" t="s">
        <v>267</v>
      </c>
      <c r="H6" s="55" t="s">
        <v>268</v>
      </c>
      <c r="I6" s="55" t="s">
        <v>245</v>
      </c>
      <c r="J6" s="55" t="s">
        <v>251</v>
      </c>
      <c r="K6" s="55" t="s">
        <v>252</v>
      </c>
      <c r="L6" s="55" t="s">
        <v>253</v>
      </c>
    </row>
    <row r="7" spans="1:12" x14ac:dyDescent="0.25">
      <c r="A7" s="55" t="s">
        <v>269</v>
      </c>
      <c r="B7" s="55" t="s">
        <v>270</v>
      </c>
      <c r="C7" s="55" t="s">
        <v>241</v>
      </c>
      <c r="D7" s="55" t="s">
        <v>252</v>
      </c>
      <c r="E7" s="55" t="s">
        <v>251</v>
      </c>
      <c r="F7" s="55" t="s">
        <v>242</v>
      </c>
      <c r="G7" s="55" t="s">
        <v>271</v>
      </c>
      <c r="H7" s="55" t="s">
        <v>272</v>
      </c>
      <c r="I7" s="55" t="s">
        <v>245</v>
      </c>
      <c r="J7" s="55" t="s">
        <v>256</v>
      </c>
      <c r="K7" s="55" t="s">
        <v>257</v>
      </c>
      <c r="L7" s="55" t="s">
        <v>258</v>
      </c>
    </row>
    <row r="8" spans="1:12" x14ac:dyDescent="0.25">
      <c r="A8" s="55" t="s">
        <v>273</v>
      </c>
      <c r="B8" s="55" t="s">
        <v>274</v>
      </c>
      <c r="C8" s="55" t="s">
        <v>241</v>
      </c>
      <c r="D8" s="55" t="s">
        <v>247</v>
      </c>
      <c r="E8" s="55" t="s">
        <v>248</v>
      </c>
      <c r="F8" s="55" t="s">
        <v>242</v>
      </c>
      <c r="G8" s="55" t="s">
        <v>275</v>
      </c>
      <c r="H8" s="55" t="s">
        <v>276</v>
      </c>
      <c r="I8" s="55" t="s">
        <v>245</v>
      </c>
      <c r="J8" s="55" t="s">
        <v>251</v>
      </c>
      <c r="K8" s="55" t="s">
        <v>252</v>
      </c>
      <c r="L8" s="55" t="s">
        <v>253</v>
      </c>
    </row>
    <row r="9" spans="1:12" x14ac:dyDescent="0.25">
      <c r="A9" s="55" t="s">
        <v>239</v>
      </c>
      <c r="B9" s="55" t="s">
        <v>240</v>
      </c>
      <c r="C9" s="55" t="s">
        <v>241</v>
      </c>
      <c r="D9" s="55" t="s">
        <v>252</v>
      </c>
      <c r="E9" s="55" t="s">
        <v>251</v>
      </c>
      <c r="F9" s="55" t="s">
        <v>242</v>
      </c>
      <c r="G9" s="55" t="s">
        <v>277</v>
      </c>
      <c r="H9" s="55" t="s">
        <v>278</v>
      </c>
      <c r="I9" s="55" t="s">
        <v>245</v>
      </c>
      <c r="J9" s="55" t="s">
        <v>256</v>
      </c>
      <c r="K9" s="55" t="s">
        <v>257</v>
      </c>
      <c r="L9" s="55" t="s">
        <v>258</v>
      </c>
    </row>
    <row r="10" spans="1:12" x14ac:dyDescent="0.25">
      <c r="A10" s="55" t="s">
        <v>247</v>
      </c>
      <c r="B10" s="55" t="s">
        <v>248</v>
      </c>
      <c r="C10" s="55" t="s">
        <v>241</v>
      </c>
      <c r="D10" s="55" t="s">
        <v>247</v>
      </c>
      <c r="E10" s="55" t="s">
        <v>248</v>
      </c>
      <c r="F10" s="55" t="s">
        <v>242</v>
      </c>
      <c r="G10" s="55" t="s">
        <v>279</v>
      </c>
      <c r="H10" s="55" t="s">
        <v>280</v>
      </c>
      <c r="I10" s="55" t="s">
        <v>245</v>
      </c>
      <c r="J10" s="55" t="s">
        <v>251</v>
      </c>
      <c r="K10" s="55" t="s">
        <v>252</v>
      </c>
      <c r="L10" s="55" t="s">
        <v>253</v>
      </c>
    </row>
    <row r="11" spans="1:12" x14ac:dyDescent="0.25">
      <c r="A11" s="55" t="s">
        <v>252</v>
      </c>
      <c r="B11" s="55" t="s">
        <v>251</v>
      </c>
      <c r="C11" s="55" t="s">
        <v>241</v>
      </c>
      <c r="D11" s="55" t="s">
        <v>252</v>
      </c>
      <c r="E11" s="55" t="s">
        <v>251</v>
      </c>
      <c r="F11" s="55" t="s">
        <v>242</v>
      </c>
      <c r="G11" s="55" t="s">
        <v>281</v>
      </c>
      <c r="H11" s="55" t="s">
        <v>282</v>
      </c>
      <c r="I11" s="55" t="s">
        <v>245</v>
      </c>
      <c r="J11" s="55" t="s">
        <v>256</v>
      </c>
      <c r="K11" s="55" t="s">
        <v>257</v>
      </c>
      <c r="L11" s="55" t="s">
        <v>258</v>
      </c>
    </row>
    <row r="12" spans="1:12" x14ac:dyDescent="0.25">
      <c r="A12" s="55" t="s">
        <v>259</v>
      </c>
      <c r="B12" s="55" t="s">
        <v>260</v>
      </c>
      <c r="C12" s="55" t="s">
        <v>241</v>
      </c>
      <c r="D12" s="55" t="s">
        <v>247</v>
      </c>
      <c r="E12" s="55" t="s">
        <v>248</v>
      </c>
      <c r="F12" s="55" t="s">
        <v>242</v>
      </c>
      <c r="G12" s="55" t="s">
        <v>283</v>
      </c>
      <c r="H12" s="55" t="s">
        <v>284</v>
      </c>
      <c r="I12" s="55" t="s">
        <v>245</v>
      </c>
      <c r="J12" s="55" t="s">
        <v>251</v>
      </c>
      <c r="K12" s="55" t="s">
        <v>252</v>
      </c>
      <c r="L12" s="55" t="s">
        <v>253</v>
      </c>
    </row>
    <row r="13" spans="1:12" x14ac:dyDescent="0.25">
      <c r="A13" s="55" t="s">
        <v>257</v>
      </c>
      <c r="B13" s="55" t="s">
        <v>256</v>
      </c>
      <c r="C13" s="55" t="s">
        <v>241</v>
      </c>
      <c r="D13" s="55" t="s">
        <v>247</v>
      </c>
      <c r="E13" s="55" t="s">
        <v>248</v>
      </c>
      <c r="F13" s="55" t="s">
        <v>242</v>
      </c>
      <c r="G13" s="55" t="s">
        <v>285</v>
      </c>
      <c r="H13" s="55" t="s">
        <v>286</v>
      </c>
      <c r="I13" s="55" t="s">
        <v>245</v>
      </c>
      <c r="J13" s="55" t="s">
        <v>251</v>
      </c>
      <c r="K13" s="55" t="s">
        <v>252</v>
      </c>
      <c r="L13" s="55" t="s">
        <v>253</v>
      </c>
    </row>
    <row r="14" spans="1:12" x14ac:dyDescent="0.25">
      <c r="A14" s="55" t="s">
        <v>265</v>
      </c>
      <c r="B14" s="55" t="s">
        <v>266</v>
      </c>
      <c r="C14" s="55" t="s">
        <v>241</v>
      </c>
      <c r="D14" s="55" t="s">
        <v>252</v>
      </c>
      <c r="E14" s="55" t="s">
        <v>251</v>
      </c>
      <c r="F14" s="55" t="s">
        <v>242</v>
      </c>
      <c r="G14" s="55" t="s">
        <v>287</v>
      </c>
      <c r="H14" s="55" t="s">
        <v>288</v>
      </c>
      <c r="I14" s="55" t="s">
        <v>245</v>
      </c>
      <c r="J14" s="55" t="s">
        <v>256</v>
      </c>
      <c r="K14" s="55" t="s">
        <v>257</v>
      </c>
      <c r="L14" s="55" t="s">
        <v>258</v>
      </c>
    </row>
    <row r="15" spans="1:12" x14ac:dyDescent="0.25">
      <c r="A15" s="55" t="s">
        <v>269</v>
      </c>
      <c r="B15" s="55" t="s">
        <v>270</v>
      </c>
      <c r="C15" s="55" t="s">
        <v>241</v>
      </c>
      <c r="D15" s="55" t="s">
        <v>247</v>
      </c>
      <c r="E15" s="55" t="s">
        <v>248</v>
      </c>
      <c r="F15" s="55" t="s">
        <v>242</v>
      </c>
      <c r="G15" s="55" t="s">
        <v>289</v>
      </c>
      <c r="H15" s="55" t="s">
        <v>290</v>
      </c>
      <c r="I15" s="55" t="s">
        <v>245</v>
      </c>
      <c r="J15" s="55" t="s">
        <v>251</v>
      </c>
      <c r="K15" s="55" t="s">
        <v>252</v>
      </c>
      <c r="L15" s="55" t="s">
        <v>253</v>
      </c>
    </row>
    <row r="16" spans="1:12" x14ac:dyDescent="0.25">
      <c r="A16" s="55" t="s">
        <v>273</v>
      </c>
      <c r="B16" s="55" t="s">
        <v>274</v>
      </c>
      <c r="C16" s="55" t="s">
        <v>241</v>
      </c>
      <c r="D16" s="55" t="s">
        <v>252</v>
      </c>
      <c r="E16" s="55" t="s">
        <v>251</v>
      </c>
      <c r="F16" s="55" t="s">
        <v>242</v>
      </c>
      <c r="G16" s="55" t="s">
        <v>291</v>
      </c>
      <c r="H16" s="55" t="s">
        <v>292</v>
      </c>
      <c r="I16" s="55" t="s">
        <v>245</v>
      </c>
      <c r="J16" s="55" t="s">
        <v>256</v>
      </c>
      <c r="K16" s="55" t="s">
        <v>257</v>
      </c>
      <c r="L16" s="55" t="s">
        <v>258</v>
      </c>
    </row>
    <row r="17" spans="1:12" x14ac:dyDescent="0.25">
      <c r="A17" s="55" t="s">
        <v>239</v>
      </c>
      <c r="B17" s="55" t="s">
        <v>240</v>
      </c>
      <c r="C17" s="55" t="s">
        <v>241</v>
      </c>
      <c r="D17" s="55" t="s">
        <v>247</v>
      </c>
      <c r="E17" s="55" t="s">
        <v>248</v>
      </c>
      <c r="F17" s="55" t="s">
        <v>242</v>
      </c>
      <c r="G17" s="55" t="s">
        <v>293</v>
      </c>
      <c r="H17" s="55" t="s">
        <v>294</v>
      </c>
      <c r="I17" s="55" t="s">
        <v>245</v>
      </c>
      <c r="J17" s="55" t="s">
        <v>251</v>
      </c>
      <c r="K17" s="55" t="s">
        <v>252</v>
      </c>
      <c r="L17" s="55" t="s">
        <v>253</v>
      </c>
    </row>
    <row r="18" spans="1:12" x14ac:dyDescent="0.25">
      <c r="A18" s="55" t="s">
        <v>247</v>
      </c>
      <c r="B18" s="55" t="s">
        <v>248</v>
      </c>
      <c r="C18" s="55" t="s">
        <v>241</v>
      </c>
      <c r="D18" s="55" t="s">
        <v>252</v>
      </c>
      <c r="E18" s="55" t="s">
        <v>251</v>
      </c>
      <c r="F18" s="55" t="s">
        <v>242</v>
      </c>
      <c r="G18" s="55" t="s">
        <v>295</v>
      </c>
      <c r="H18" s="55" t="s">
        <v>296</v>
      </c>
      <c r="I18" s="55" t="s">
        <v>245</v>
      </c>
      <c r="J18" s="55" t="s">
        <v>256</v>
      </c>
      <c r="K18" s="55" t="s">
        <v>257</v>
      </c>
      <c r="L18" s="55" t="s">
        <v>258</v>
      </c>
    </row>
    <row r="19" spans="1:12" x14ac:dyDescent="0.25">
      <c r="A19" s="55" t="s">
        <v>252</v>
      </c>
      <c r="B19" s="55" t="s">
        <v>251</v>
      </c>
      <c r="C19" s="55" t="s">
        <v>241</v>
      </c>
      <c r="D19" s="55" t="s">
        <v>247</v>
      </c>
      <c r="E19" s="55" t="s">
        <v>248</v>
      </c>
      <c r="F19" s="55" t="s">
        <v>242</v>
      </c>
      <c r="G19" s="55" t="s">
        <v>297</v>
      </c>
      <c r="H19" s="55" t="s">
        <v>298</v>
      </c>
      <c r="I19" s="55" t="s">
        <v>245</v>
      </c>
      <c r="J19" s="55" t="s">
        <v>251</v>
      </c>
      <c r="K19" s="55" t="s">
        <v>252</v>
      </c>
      <c r="L19" s="55" t="s">
        <v>253</v>
      </c>
    </row>
    <row r="20" spans="1:12" x14ac:dyDescent="0.25">
      <c r="A20" s="55" t="s">
        <v>259</v>
      </c>
      <c r="B20" s="55" t="s">
        <v>260</v>
      </c>
    </row>
    <row r="21" spans="1:12" x14ac:dyDescent="0.25">
      <c r="A21" s="55" t="s">
        <v>257</v>
      </c>
      <c r="B21" s="55" t="s">
        <v>256</v>
      </c>
    </row>
    <row r="22" spans="1:12" x14ac:dyDescent="0.25">
      <c r="A22" s="55" t="s">
        <v>265</v>
      </c>
      <c r="B22" s="55" t="s">
        <v>266</v>
      </c>
    </row>
    <row r="23" spans="1:12" x14ac:dyDescent="0.25">
      <c r="A23" s="55" t="s">
        <v>269</v>
      </c>
      <c r="B23" s="55" t="s">
        <v>270</v>
      </c>
    </row>
    <row r="24" spans="1:12" x14ac:dyDescent="0.25">
      <c r="A24" s="55" t="s">
        <v>273</v>
      </c>
      <c r="B24" s="55" t="s">
        <v>274</v>
      </c>
    </row>
    <row r="25" spans="1:12" x14ac:dyDescent="0.25">
      <c r="A25" s="55" t="s">
        <v>239</v>
      </c>
      <c r="B25" s="55" t="s">
        <v>240</v>
      </c>
    </row>
    <row r="26" spans="1:12" x14ac:dyDescent="0.25">
      <c r="A26" s="55" t="s">
        <v>247</v>
      </c>
      <c r="B26" s="55" t="s">
        <v>248</v>
      </c>
    </row>
    <row r="27" spans="1:12" x14ac:dyDescent="0.25">
      <c r="A27" s="55" t="s">
        <v>252</v>
      </c>
      <c r="B27" s="55" t="s">
        <v>251</v>
      </c>
    </row>
    <row r="28" spans="1:12" x14ac:dyDescent="0.25">
      <c r="A28" s="55" t="s">
        <v>259</v>
      </c>
      <c r="B28" s="55" t="s">
        <v>260</v>
      </c>
    </row>
    <row r="29" spans="1:12" x14ac:dyDescent="0.25">
      <c r="A29" s="55" t="s">
        <v>257</v>
      </c>
      <c r="B29" s="55" t="s">
        <v>256</v>
      </c>
    </row>
    <row r="30" spans="1:12" x14ac:dyDescent="0.25">
      <c r="A30" s="55" t="s">
        <v>265</v>
      </c>
      <c r="B30" s="55" t="s">
        <v>266</v>
      </c>
    </row>
    <row r="31" spans="1:12" x14ac:dyDescent="0.25">
      <c r="A31" s="55" t="s">
        <v>269</v>
      </c>
      <c r="B31" s="55" t="s">
        <v>270</v>
      </c>
    </row>
    <row r="32" spans="1:12" x14ac:dyDescent="0.25">
      <c r="A32" s="55" t="s">
        <v>273</v>
      </c>
      <c r="B32" s="55" t="s">
        <v>274</v>
      </c>
    </row>
    <row r="33" spans="1:2" x14ac:dyDescent="0.25">
      <c r="A33" s="55" t="s">
        <v>239</v>
      </c>
      <c r="B33" s="55" t="s">
        <v>240</v>
      </c>
    </row>
    <row r="34" spans="1:2" x14ac:dyDescent="0.25">
      <c r="A34" s="55" t="s">
        <v>247</v>
      </c>
      <c r="B34" s="55" t="s">
        <v>248</v>
      </c>
    </row>
    <row r="35" spans="1:2" x14ac:dyDescent="0.25">
      <c r="A35" s="55" t="s">
        <v>252</v>
      </c>
      <c r="B35" s="55" t="s">
        <v>251</v>
      </c>
    </row>
    <row r="36" spans="1:2" x14ac:dyDescent="0.25">
      <c r="A36" s="55" t="s">
        <v>259</v>
      </c>
      <c r="B36" s="55" t="s">
        <v>260</v>
      </c>
    </row>
    <row r="37" spans="1:2" x14ac:dyDescent="0.25">
      <c r="A37" s="55" t="s">
        <v>257</v>
      </c>
      <c r="B37" s="55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2025-07-18T12:15:27Z</dcterms:created>
  <dcterms:modified xsi:type="dcterms:W3CDTF">2025-07-18T12:15:27Z</dcterms:modified>
</cp:coreProperties>
</file>