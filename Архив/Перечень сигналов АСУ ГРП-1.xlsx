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8_{08455E54-F799-4866-96A2-855AE46C1B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1" l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N39" i="1"/>
  <c r="M39" i="1"/>
  <c r="L39" i="1"/>
  <c r="K39" i="1"/>
  <c r="J39" i="1"/>
  <c r="I39" i="1"/>
  <c r="N38" i="1"/>
  <c r="M38" i="1"/>
  <c r="L38" i="1"/>
  <c r="K38" i="1"/>
  <c r="J38" i="1"/>
  <c r="I38" i="1"/>
  <c r="N37" i="1"/>
  <c r="M37" i="1"/>
  <c r="L37" i="1"/>
  <c r="K37" i="1"/>
  <c r="J37" i="1"/>
  <c r="I37" i="1"/>
  <c r="N36" i="1"/>
  <c r="M36" i="1"/>
  <c r="L36" i="1"/>
  <c r="K36" i="1"/>
  <c r="J36" i="1"/>
  <c r="I36" i="1"/>
  <c r="N35" i="1"/>
  <c r="M35" i="1"/>
  <c r="L35" i="1"/>
  <c r="K35" i="1"/>
  <c r="J35" i="1"/>
  <c r="I35" i="1"/>
  <c r="N34" i="1"/>
  <c r="M34" i="1"/>
  <c r="L34" i="1"/>
  <c r="K34" i="1"/>
  <c r="J34" i="1"/>
  <c r="I34" i="1"/>
  <c r="N33" i="1"/>
  <c r="M33" i="1"/>
  <c r="L33" i="1"/>
  <c r="K33" i="1"/>
  <c r="J33" i="1"/>
  <c r="I33" i="1"/>
  <c r="N32" i="1"/>
  <c r="M32" i="1"/>
  <c r="L32" i="1"/>
  <c r="K32" i="1"/>
  <c r="J32" i="1"/>
  <c r="I32" i="1"/>
  <c r="N31" i="1"/>
  <c r="M31" i="1"/>
  <c r="L31" i="1"/>
  <c r="K31" i="1"/>
  <c r="J31" i="1"/>
  <c r="I31" i="1"/>
  <c r="N30" i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N18" i="1"/>
  <c r="M18" i="1"/>
  <c r="L18" i="1"/>
  <c r="K18" i="1"/>
  <c r="J18" i="1"/>
  <c r="I18" i="1"/>
  <c r="N17" i="1"/>
  <c r="M17" i="1"/>
  <c r="L17" i="1"/>
  <c r="K17" i="1"/>
  <c r="J17" i="1"/>
  <c r="I17" i="1"/>
  <c r="N16" i="1"/>
  <c r="M16" i="1"/>
  <c r="L16" i="1"/>
  <c r="K16" i="1"/>
  <c r="J16" i="1"/>
  <c r="I16" i="1"/>
  <c r="N15" i="1"/>
  <c r="M15" i="1"/>
  <c r="L15" i="1"/>
  <c r="K15" i="1"/>
  <c r="J15" i="1"/>
  <c r="I15" i="1"/>
  <c r="N14" i="1"/>
  <c r="M14" i="1"/>
  <c r="L14" i="1"/>
  <c r="K14" i="1"/>
  <c r="J14" i="1"/>
  <c r="I14" i="1"/>
  <c r="N13" i="1"/>
  <c r="M13" i="1"/>
  <c r="L13" i="1"/>
  <c r="K13" i="1"/>
  <c r="J13" i="1"/>
  <c r="I13" i="1"/>
  <c r="N12" i="1"/>
  <c r="M12" i="1"/>
  <c r="L12" i="1"/>
  <c r="K12" i="1"/>
  <c r="J12" i="1"/>
  <c r="I12" i="1"/>
  <c r="N11" i="1"/>
  <c r="M11" i="1"/>
  <c r="L11" i="1"/>
  <c r="K11" i="1"/>
  <c r="J11" i="1"/>
  <c r="I11" i="1"/>
  <c r="N10" i="1"/>
  <c r="M10" i="1"/>
  <c r="L10" i="1"/>
  <c r="K10" i="1"/>
  <c r="J10" i="1"/>
  <c r="I10" i="1"/>
  <c r="N9" i="1"/>
  <c r="M9" i="1"/>
  <c r="L9" i="1"/>
  <c r="K9" i="1"/>
  <c r="J9" i="1"/>
  <c r="I9" i="1"/>
  <c r="N8" i="1"/>
  <c r="M8" i="1"/>
  <c r="L8" i="1"/>
  <c r="K8" i="1"/>
  <c r="J8" i="1"/>
  <c r="I8" i="1"/>
  <c r="N7" i="1"/>
  <c r="M7" i="1"/>
  <c r="L7" i="1"/>
  <c r="K7" i="1"/>
  <c r="J7" i="1"/>
  <c r="I7" i="1"/>
  <c r="N6" i="1"/>
  <c r="M6" i="1"/>
  <c r="L6" i="1"/>
  <c r="K6" i="1"/>
  <c r="J6" i="1"/>
  <c r="I6" i="1"/>
  <c r="N5" i="1"/>
  <c r="M5" i="1"/>
  <c r="L5" i="1"/>
  <c r="K5" i="1"/>
  <c r="J5" i="1"/>
  <c r="I5" i="1"/>
  <c r="N4" i="1"/>
  <c r="M4" i="1"/>
  <c r="M1" i="1" s="1"/>
  <c r="L4" i="1"/>
  <c r="L1" i="1" s="1"/>
  <c r="K4" i="1"/>
  <c r="J4" i="1"/>
  <c r="I4" i="1"/>
  <c r="I1" i="1" l="1"/>
  <c r="G1" i="1" s="1"/>
  <c r="J1" i="1"/>
  <c r="K1" i="1"/>
  <c r="N1" i="1" l="1"/>
</calcChain>
</file>

<file path=xl/sharedStrings.xml><?xml version="1.0" encoding="utf-8"?>
<sst xmlns="http://schemas.openxmlformats.org/spreadsheetml/2006/main" count="595" uniqueCount="204">
  <si>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</si>
  <si>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</si>
  <si>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</si>
  <si>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</si>
  <si>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</si>
  <si>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Клеммы</t>
  </si>
  <si>
    <t>4-20мА</t>
  </si>
  <si>
    <t>АСУ ТП ВК</t>
  </si>
  <si>
    <t>дискретный</t>
  </si>
  <si>
    <t>входящий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</si>
  <si>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</si>
  <si>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</si>
  <si>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</si>
  <si>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</si>
  <si>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</si>
  <si>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</si>
  <si>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</si>
  <si>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</si>
  <si>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</si>
  <si>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</si>
  <si>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</si>
  <si>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</si>
  <si>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</si>
  <si>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RS485 Modbus RTU</t>
  </si>
  <si>
    <t>АСУ ГРП-1</t>
  </si>
  <si>
    <t>аналоговый</t>
  </si>
  <si>
    <t>исходящий</t>
  </si>
  <si>
    <t>Pt500 (Pt100)</t>
  </si>
  <si>
    <t>АСУ ГРП-2</t>
  </si>
  <si>
    <t>цифровой</t>
  </si>
  <si>
    <t>50П</t>
  </si>
  <si>
    <t>АСУ Зд теплообменников</t>
  </si>
  <si>
    <t>=24В</t>
  </si>
  <si>
    <t>АСУ ТП НАБ</t>
  </si>
  <si>
    <t>220В, 50Гц</t>
  </si>
  <si>
    <t>АСУ ЭТО</t>
  </si>
  <si>
    <t>100П, 4-х пр.</t>
  </si>
  <si>
    <t>Eth MODBUS TCP</t>
  </si>
  <si>
    <t>Eth МЭК-104</t>
  </si>
  <si>
    <t>Eth OPC UA</t>
  </si>
  <si>
    <t>R</t>
  </si>
  <si>
    <t>?</t>
  </si>
  <si>
    <t>Положение ИМ</t>
  </si>
  <si>
    <t>Не открыто</t>
  </si>
  <si>
    <t>Не закрыто</t>
  </si>
  <si>
    <t>Превышение момента</t>
  </si>
  <si>
    <t>Готовность</t>
  </si>
  <si>
    <t>Больше</t>
  </si>
  <si>
    <t>Меньше</t>
  </si>
  <si>
    <t>Открыто</t>
  </si>
  <si>
    <t>Закрыто</t>
  </si>
  <si>
    <t>Дистанционный режим работы</t>
  </si>
  <si>
    <t>Открыть</t>
  </si>
  <si>
    <t>Закрыть</t>
  </si>
  <si>
    <t>Стоп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</si>
  <si>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</si>
  <si>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</si>
  <si>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</si>
  <si>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</si>
  <si>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</si>
  <si>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</si>
  <si>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</si>
  <si>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</si>
  <si>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</si>
  <si>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</si>
  <si>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ГРП-1</t>
  </si>
  <si>
    <t>Давление после заслонки №1 (11а)</t>
  </si>
  <si>
    <t>E1EKD01CP001</t>
  </si>
  <si>
    <t>Давление после заслонки №2 (12а)</t>
  </si>
  <si>
    <t>E1EKD02CP001</t>
  </si>
  <si>
    <t>Давление на выходе ГРП-1 (13а)</t>
  </si>
  <si>
    <t>E1EKG01CP001</t>
  </si>
  <si>
    <t>Давление на входе ГРП-1 (14а)</t>
  </si>
  <si>
    <t>E1EKA01CP001</t>
  </si>
  <si>
    <t>Температура на выходе ГРП-1 (15а)</t>
  </si>
  <si>
    <t>E1EKG01CT101</t>
  </si>
  <si>
    <t>Температура на входе ГРП-1 (16а)</t>
  </si>
  <si>
    <t>E1EKA01CT101</t>
  </si>
  <si>
    <t>Давление до фильтра №1</t>
  </si>
  <si>
    <t>E1EKE10CP001</t>
  </si>
  <si>
    <t>Давление после фильтра №1</t>
  </si>
  <si>
    <t>E1EKE10CP002</t>
  </si>
  <si>
    <t>Регулирующая заслонка №1</t>
  </si>
  <si>
    <t>E1EKD01CG801</t>
  </si>
  <si>
    <t>E1EKD01AA801</t>
  </si>
  <si>
    <t>E1EKD01AA801XC02</t>
  </si>
  <si>
    <t>E1EKD01AA801XC01</t>
  </si>
  <si>
    <t>E1EKD01AA801YC01</t>
  </si>
  <si>
    <t>E1EKD01AA801YC02</t>
  </si>
  <si>
    <t>Регулирующая заслонка №2</t>
  </si>
  <si>
    <t>E1EKD02CG801</t>
  </si>
  <si>
    <t>E1EKD02AA801</t>
  </si>
  <si>
    <t>E1EKD02AA801XC02</t>
  </si>
  <si>
    <t>E1EKD02AA801XC01</t>
  </si>
  <si>
    <t>E1EKD02AA801YC01</t>
  </si>
  <si>
    <t>E1EKD02AA801YC02</t>
  </si>
  <si>
    <t>Задвижка 2-Г</t>
  </si>
  <si>
    <t>E1EKA01AA001XB51</t>
  </si>
  <si>
    <t>E1EKA01AA001</t>
  </si>
  <si>
    <t>E1EKA01AA001XB52</t>
  </si>
  <si>
    <t>E1EKA01AA001XB04</t>
  </si>
  <si>
    <t>E1EKA01AA001XL01</t>
  </si>
  <si>
    <t>E1EKA01AA001YB01</t>
  </si>
  <si>
    <t>E1EKA01AA001YB02</t>
  </si>
  <si>
    <t>E1EKA01AA001YB03</t>
  </si>
  <si>
    <t>Задвижка 3-Г</t>
  </si>
  <si>
    <t>E1EKG11AA001XB51</t>
  </si>
  <si>
    <t>E1EKG11AA001</t>
  </si>
  <si>
    <t>E1EKG11AA001XB52</t>
  </si>
  <si>
    <t>E1EKG11AA001XB04</t>
  </si>
  <si>
    <t>E1EKG11AA001XL01</t>
  </si>
  <si>
    <t>E1EKG11AA001YB01</t>
  </si>
  <si>
    <t>E1EKG11AA001YB02</t>
  </si>
  <si>
    <t>E1EKG11AA001YB03</t>
  </si>
  <si>
    <t>Дисковый затвор ГК-1</t>
  </si>
  <si>
    <t>E1EKG12AA001XB01</t>
  </si>
  <si>
    <t>E1EKG12AA001</t>
  </si>
  <si>
    <t>E1EKG12AA001XB02</t>
  </si>
  <si>
    <t>E1EKG12AA001XB04</t>
  </si>
  <si>
    <t>E1EKG12AA001XB10</t>
  </si>
  <si>
    <t>E1EKG12AA001XL01</t>
  </si>
  <si>
    <t>E1EKG12AA001YB01</t>
  </si>
  <si>
    <t>E1EKG12AA001YB02</t>
  </si>
  <si>
    <t>E1EKG12AA001YB03</t>
  </si>
  <si>
    <t>Сигнализатор газов СТМ-10</t>
  </si>
  <si>
    <t>Загазованность в ГРП, 1 порог</t>
  </si>
  <si>
    <t>E1UEN01CQ001XG01</t>
  </si>
  <si>
    <t>E1UEN01CQ001</t>
  </si>
  <si>
    <t>Загазованность в ГРП, 2 порог</t>
  </si>
  <si>
    <t>E1UEN01CQ001XG03</t>
  </si>
  <si>
    <t>Дифф. манометр электроконтактный Элемер-АИР-30</t>
  </si>
  <si>
    <t>Засорение фильтра №1</t>
  </si>
  <si>
    <t>E1EKE01CP151XG01</t>
  </si>
  <si>
    <t>E1EKE01CP151</t>
  </si>
  <si>
    <t>Засорение фильтра №2</t>
  </si>
  <si>
    <t>E1EKE02CP151XG01</t>
  </si>
  <si>
    <t>E1EKE02CP151</t>
  </si>
  <si>
    <t>Пожарная сигнализация сработала</t>
  </si>
  <si>
    <t>E1CYE01CH001XM01</t>
  </si>
  <si>
    <t>E1CYE01CH001</t>
  </si>
  <si>
    <t>Сборка задвижек ГРП-1</t>
  </si>
  <si>
    <t>Неисправность шкафа сборки задвижек</t>
  </si>
  <si>
    <t>E1CDA01GH002XM01</t>
  </si>
  <si>
    <t>E1CDA01GH002</t>
  </si>
  <si>
    <t>1A</t>
  </si>
  <si>
    <t>1B</t>
  </si>
  <si>
    <t>A3.1</t>
  </si>
  <si>
    <t>A5.9</t>
  </si>
  <si>
    <t>C1</t>
  </si>
  <si>
    <t>B1</t>
  </si>
  <si>
    <t>A6.6</t>
  </si>
  <si>
    <t>32X</t>
  </si>
  <si>
    <t>2A</t>
  </si>
  <si>
    <t>2B</t>
  </si>
  <si>
    <t>C7</t>
  </si>
  <si>
    <t>B7</t>
  </si>
  <si>
    <t>3B</t>
  </si>
  <si>
    <t>3A</t>
  </si>
  <si>
    <t>33X</t>
  </si>
  <si>
    <t>C13</t>
  </si>
  <si>
    <t>B13</t>
  </si>
  <si>
    <t>5B</t>
  </si>
  <si>
    <t>5A</t>
  </si>
  <si>
    <t>34X</t>
  </si>
  <si>
    <t>4A</t>
  </si>
  <si>
    <t>4B</t>
  </si>
  <si>
    <t>C19</t>
  </si>
  <si>
    <t>B19</t>
  </si>
  <si>
    <t>C25</t>
  </si>
  <si>
    <t>B25</t>
  </si>
  <si>
    <t>6A</t>
  </si>
  <si>
    <t>6B</t>
  </si>
  <si>
    <t>C31</t>
  </si>
  <si>
    <t>B31</t>
  </si>
  <si>
    <t>7A</t>
  </si>
  <si>
    <t>7B</t>
  </si>
  <si>
    <t>C37</t>
  </si>
  <si>
    <t>B37</t>
  </si>
  <si>
    <t>8A</t>
  </si>
  <si>
    <t>8B</t>
  </si>
  <si>
    <t>C43</t>
  </si>
  <si>
    <t>B43</t>
  </si>
  <si>
    <t>C49</t>
  </si>
  <si>
    <t>B49</t>
  </si>
  <si>
    <t>C55</t>
  </si>
  <si>
    <t>B55</t>
  </si>
  <si>
    <t>C61</t>
  </si>
  <si>
    <t>B61</t>
  </si>
  <si>
    <t>C67</t>
  </si>
  <si>
    <t>B67</t>
  </si>
  <si>
    <t>C73</t>
  </si>
  <si>
    <t>B73</t>
  </si>
  <si>
    <t>C79</t>
  </si>
  <si>
    <t>B79</t>
  </si>
  <si>
    <t>C85</t>
  </si>
  <si>
    <t>B85</t>
  </si>
  <si>
    <t>C91</t>
  </si>
  <si>
    <t>B91</t>
  </si>
  <si>
    <t>C97</t>
  </si>
  <si>
    <t>B97</t>
  </si>
  <si>
    <t>C103</t>
  </si>
  <si>
    <t>B103</t>
  </si>
  <si>
    <t>C109</t>
  </si>
  <si>
    <t>B109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</si>
</sst>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Times New Roman"/>
    </font>
    <font>
      <sz val="11"/>
      <color theme="1"/>
      <name val="Times New Roman"/>
    </font>
    <font>
      <sz val="10"/>
      <color rgb="FF000000"/>
      <name val="Times New Roman"/>
    </font>
    <font>
      <b/>
      <sz val="11"/>
      <color theme="1"/>
      <name val="Times New Roman"/>
    </font>
    <font>
      <sz val="10"/>
      <name val="Calibri"/>
    </font>
    <font>
      <sz val="10"/>
      <color theme="1"/>
      <name val="Calibri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4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2" borderId="13" xfId="0" applyFont="1" applyFill="1" applyBorder="1" applyAlignment="1">
      <alignment horizontal="left" vertical="top"/>
    </xf>
    <xf numFmtId="0" fontId="3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" fillId="0" borderId="12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2" borderId="16" xfId="0" applyFont="1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1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3" fillId="3" borderId="16" xfId="0" applyFont="1" applyFill="1" applyBorder="1" applyAlignment="1">
      <alignment horizontal="center" vertical="top" wrapText="1"/>
    </xf>
    <xf numFmtId="0" fontId="8" fillId="0" borderId="19" xfId="0" applyFont="1" applyBorder="1" applyAlignment="1">
      <alignment horizontal="left"/>
    </xf>
    <xf numFmtId="0" fontId="1" fillId="0" borderId="5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51"/>
  <sheetViews>
    <sheetView tabSelected="1" workbookViewId="0">
      <pane ySplit="2" topLeftCell="A3" activePane="bottomLeft" state="frozen"/>
      <selection pane="bottomLeft" activeCell="E13" sqref="E13"/>
    </sheetView>
  </sheetViews>
  <sheetFormatPr defaultColWidth="14.42578125" defaultRowHeight="15" customHeight="1" x14ac:dyDescent="0.2"/>
  <cols>
    <col min="1" max="1" width="5.28515625" customWidth="1"/>
    <col min="2" max="2" width="19.7109375" customWidth="1"/>
    <col min="3" max="3" width="29.28515625" customWidth="1"/>
    <col min="4" max="4" width="39.7109375" customWidth="1"/>
    <col min="5" max="5" width="82.5703125" customWidth="1"/>
    <col min="6" max="6" width="14.7109375" customWidth="1"/>
    <col min="7" max="7" width="14" customWidth="1"/>
    <col min="8" max="8" width="21.7109375" customWidth="1"/>
    <col min="9" max="9" width="5.28515625" hidden="1" customWidth="1"/>
    <col min="10" max="11" width="4.28515625" hidden="1" customWidth="1"/>
    <col min="12" max="12" width="4" hidden="1" customWidth="1"/>
    <col min="13" max="13" width="11.5703125" hidden="1" customWidth="1"/>
    <col min="14" max="14" width="16.42578125" hidden="1" customWidth="1"/>
    <col min="15" max="15" width="21.28515625" customWidth="1"/>
    <col min="16" max="16" width="16.28515625" customWidth="1"/>
    <col min="17" max="17" width="16.140625" customWidth="1"/>
    <col min="18" max="18" width="22.7109375" customWidth="1"/>
    <col min="19" max="19" width="22.28515625" customWidth="1"/>
    <col min="20" max="20" width="29.28515625" customWidth="1"/>
    <col min="21" max="21" width="13.7109375" customWidth="1"/>
    <col min="22" max="22" width="12.85546875" customWidth="1"/>
  </cols>
  <sheetData>
    <row r="1" spans="1:22" ht="33" customHeight="1" x14ac:dyDescent="0.2">
      <c r="A1" s="1" t="s">
        <v>0</v>
      </c>
      <c r="B1" s="2"/>
      <c r="C1" s="2"/>
      <c r="D1" s="1"/>
      <c r="E1" s="1" t="s">
        <v>1</v>
      </c>
      <c r="F1" s="1"/>
      <c r="G1" s="3">
        <f>SUM(I1:L1)</f>
        <v>55</v>
      </c>
      <c r="H1" s="1"/>
      <c r="I1" s="4">
        <f>SUM(I4:I3564)</f>
        <v>32</v>
      </c>
      <c r="J1" s="4">
        <f>SUM(J4:J3607)</f>
        <v>13</v>
      </c>
      <c r="K1" s="4">
        <f>SUM(K4:K3564)</f>
        <v>10</v>
      </c>
      <c r="L1" s="4">
        <f>SUM(L4:L3564)</f>
        <v>0</v>
      </c>
      <c r="M1" s="4">
        <f>SUM(M4:M3564)</f>
        <v>0</v>
      </c>
      <c r="N1" s="4">
        <f>SUM(N4:N3564)</f>
        <v>0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5" t="s">
        <v>8</v>
      </c>
      <c r="V1" s="5" t="s">
        <v>9</v>
      </c>
    </row>
    <row r="2" spans="1:22" ht="45" x14ac:dyDescent="0.2">
      <c r="A2" s="6" t="s">
        <v>10</v>
      </c>
      <c r="B2" s="6"/>
      <c r="C2" s="6" t="s">
        <v>11</v>
      </c>
      <c r="D2" s="6" t="s">
        <v>12</v>
      </c>
      <c r="E2" s="6" t="s">
        <v>13</v>
      </c>
      <c r="F2" s="6" t="s">
        <v>14</v>
      </c>
      <c r="G2" s="7" t="s">
        <v>15</v>
      </c>
      <c r="H2" s="8" t="s">
        <v>16</v>
      </c>
      <c r="I2" s="9" t="s">
        <v>17</v>
      </c>
      <c r="J2" s="9" t="s">
        <v>18</v>
      </c>
      <c r="K2" s="9" t="s">
        <v>19</v>
      </c>
      <c r="L2" s="9" t="s">
        <v>20</v>
      </c>
      <c r="M2" s="9" t="s">
        <v>21</v>
      </c>
      <c r="N2" s="10" t="s">
        <v>22</v>
      </c>
      <c r="O2" s="5"/>
      <c r="P2" s="5"/>
      <c r="Q2" s="5"/>
      <c r="R2" s="5"/>
      <c r="S2" s="5" t="s">
        <v>23</v>
      </c>
      <c r="T2" s="5" t="s">
        <v>24</v>
      </c>
      <c r="U2" s="5" t="s">
        <v>25</v>
      </c>
      <c r="V2" s="5" t="s">
        <v>26</v>
      </c>
    </row>
    <row r="3" spans="1:22" ht="15.75" customHeight="1" thickBot="1" x14ac:dyDescent="0.3">
      <c r="A3" s="11"/>
      <c r="B3" s="12"/>
      <c r="C3" s="13"/>
      <c r="D3" s="14"/>
      <c r="E3" s="15"/>
      <c r="F3" s="15"/>
      <c r="G3" s="15"/>
      <c r="H3" s="16"/>
      <c r="I3" s="12"/>
      <c r="J3" s="12"/>
      <c r="K3" s="12"/>
      <c r="L3" s="12"/>
      <c r="M3" s="12"/>
      <c r="N3" s="12"/>
      <c r="O3" s="5"/>
      <c r="P3" s="5"/>
      <c r="Q3" s="5"/>
      <c r="R3" s="5"/>
      <c r="S3" s="5" t="s">
        <v>27</v>
      </c>
      <c r="T3" s="5" t="s">
        <v>28</v>
      </c>
      <c r="U3" s="5" t="s">
        <v>29</v>
      </c>
      <c r="V3" s="5"/>
    </row>
    <row r="4" spans="1:22" ht="15.75" customHeight="1" x14ac:dyDescent="0.2">
      <c r="A4" s="17"/>
      <c r="B4" s="61" t="s">
        <v>24</v>
      </c>
      <c r="C4" s="60" t="s">
        <v>65</v>
      </c>
      <c r="D4" s="18"/>
      <c r="E4" s="19" t="s">
        <v>66</v>
      </c>
      <c r="F4" s="20" t="s">
        <v>25</v>
      </c>
      <c r="G4" s="20" t="s">
        <v>9</v>
      </c>
      <c r="H4" s="21" t="s">
        <v>6</v>
      </c>
      <c r="I4" s="22">
        <f t="shared" ref="I4:I58" si="0">IF(AND(F4="дискретный", G4="входящий"),1, )</f>
        <v>0</v>
      </c>
      <c r="J4" s="22">
        <f t="shared" ref="J4:J58" si="1">IF(AND(F4="дискретный", G4="исходящий"),1, )</f>
        <v>0</v>
      </c>
      <c r="K4" s="22">
        <f t="shared" ref="K4:K58" si="2">IF(AND(F4="аналоговый", G4="входящий"),1, )</f>
        <v>1</v>
      </c>
      <c r="L4" s="22">
        <f t="shared" ref="L4:L58" si="3">IF(AND(F4="аналоговый", G4="исходящий"),1, )</f>
        <v>0</v>
      </c>
      <c r="M4" s="22">
        <f t="shared" ref="M4:M58" si="4">IF(F4="цифровой",1, )</f>
        <v>0</v>
      </c>
      <c r="N4" s="23">
        <f>IF(F4="цифровой",IF(AND(#REF!="цифровой",OR(#REF!=1,#REF!="")),"",1),0)</f>
        <v>0</v>
      </c>
      <c r="O4" s="40" t="s">
        <v>67</v>
      </c>
      <c r="P4" s="39"/>
      <c r="Q4" s="39"/>
      <c r="R4" s="39"/>
      <c r="S4" s="5" t="s">
        <v>30</v>
      </c>
      <c r="T4" s="5" t="s">
        <v>31</v>
      </c>
      <c r="U4" s="5"/>
      <c r="V4" s="5"/>
    </row>
    <row r="5" spans="1:22" ht="15.75" customHeight="1" x14ac:dyDescent="0.2">
      <c r="A5" s="25"/>
      <c r="B5" s="58"/>
      <c r="C5" s="58"/>
      <c r="D5" s="26"/>
      <c r="E5" s="27" t="s">
        <v>68</v>
      </c>
      <c r="F5" s="28" t="s">
        <v>25</v>
      </c>
      <c r="G5" s="28" t="s">
        <v>9</v>
      </c>
      <c r="H5" s="29" t="s">
        <v>6</v>
      </c>
      <c r="I5" s="30">
        <f t="shared" si="0"/>
        <v>0</v>
      </c>
      <c r="J5" s="30">
        <f t="shared" si="1"/>
        <v>0</v>
      </c>
      <c r="K5" s="30">
        <f t="shared" si="2"/>
        <v>1</v>
      </c>
      <c r="L5" s="30">
        <f t="shared" si="3"/>
        <v>0</v>
      </c>
      <c r="M5" s="30">
        <f t="shared" si="4"/>
        <v>0</v>
      </c>
      <c r="N5" s="31">
        <f>IF(F5="цифровой",IF(AND(F4="цифровой",OR(N4=1,N4="")),"",1),0)</f>
        <v>0</v>
      </c>
      <c r="O5" s="40" t="s">
        <v>69</v>
      </c>
      <c r="P5" s="39"/>
      <c r="Q5" s="39"/>
      <c r="R5" s="39"/>
      <c r="S5" s="24" t="s">
        <v>32</v>
      </c>
      <c r="T5" s="5" t="s">
        <v>33</v>
      </c>
      <c r="U5" s="5"/>
      <c r="V5" s="5"/>
    </row>
    <row r="6" spans="1:22" ht="15.75" customHeight="1" x14ac:dyDescent="0.2">
      <c r="A6" s="25"/>
      <c r="B6" s="58"/>
      <c r="C6" s="58"/>
      <c r="D6" s="26"/>
      <c r="E6" s="27" t="s">
        <v>70</v>
      </c>
      <c r="F6" s="28" t="s">
        <v>25</v>
      </c>
      <c r="G6" s="28" t="s">
        <v>9</v>
      </c>
      <c r="H6" s="29" t="s">
        <v>6</v>
      </c>
      <c r="I6" s="30">
        <f t="shared" si="0"/>
        <v>0</v>
      </c>
      <c r="J6" s="30">
        <f t="shared" si="1"/>
        <v>0</v>
      </c>
      <c r="K6" s="30">
        <f t="shared" si="2"/>
        <v>1</v>
      </c>
      <c r="L6" s="30">
        <f t="shared" si="3"/>
        <v>0</v>
      </c>
      <c r="M6" s="30">
        <f t="shared" si="4"/>
        <v>0</v>
      </c>
      <c r="N6" s="31">
        <f>IF(F6="цифровой",IF(AND(#REF!="цифровой",OR(#REF!=1,#REF!="")),"",1),0)</f>
        <v>0</v>
      </c>
      <c r="O6" s="40" t="s">
        <v>71</v>
      </c>
      <c r="P6" s="39"/>
      <c r="Q6" s="39"/>
      <c r="R6" s="39"/>
      <c r="S6" s="5" t="s">
        <v>34</v>
      </c>
      <c r="T6" s="5" t="s">
        <v>35</v>
      </c>
      <c r="U6" s="5"/>
      <c r="V6" s="5"/>
    </row>
    <row r="7" spans="1:22" ht="15.75" customHeight="1" x14ac:dyDescent="0.2">
      <c r="A7" s="25"/>
      <c r="B7" s="58"/>
      <c r="C7" s="58"/>
      <c r="D7" s="26"/>
      <c r="E7" s="27" t="s">
        <v>72</v>
      </c>
      <c r="F7" s="28" t="s">
        <v>25</v>
      </c>
      <c r="G7" s="28" t="s">
        <v>9</v>
      </c>
      <c r="H7" s="29" t="s">
        <v>6</v>
      </c>
      <c r="I7" s="30">
        <f t="shared" si="0"/>
        <v>0</v>
      </c>
      <c r="J7" s="30">
        <f t="shared" si="1"/>
        <v>0</v>
      </c>
      <c r="K7" s="30">
        <f t="shared" si="2"/>
        <v>1</v>
      </c>
      <c r="L7" s="30">
        <f t="shared" si="3"/>
        <v>0</v>
      </c>
      <c r="M7" s="30">
        <f t="shared" si="4"/>
        <v>0</v>
      </c>
      <c r="N7" s="31">
        <f t="shared" ref="N7:N10" si="5">IF(F7="цифровой",IF(AND(F5="цифровой",OR(N5=1,N5="")),"",1),0)</f>
        <v>0</v>
      </c>
      <c r="O7" s="40" t="s">
        <v>73</v>
      </c>
      <c r="P7" s="39"/>
      <c r="Q7" s="39"/>
      <c r="R7" s="39"/>
      <c r="S7" s="5" t="s">
        <v>36</v>
      </c>
      <c r="T7" s="5"/>
      <c r="U7" s="5"/>
      <c r="V7" s="5"/>
    </row>
    <row r="8" spans="1:22" ht="15.75" customHeight="1" x14ac:dyDescent="0.2">
      <c r="A8" s="25"/>
      <c r="B8" s="58"/>
      <c r="C8" s="58"/>
      <c r="D8" s="26"/>
      <c r="E8" s="27" t="s">
        <v>74</v>
      </c>
      <c r="F8" s="28" t="s">
        <v>25</v>
      </c>
      <c r="G8" s="28" t="s">
        <v>9</v>
      </c>
      <c r="H8" s="29" t="s">
        <v>36</v>
      </c>
      <c r="I8" s="30">
        <f t="shared" si="0"/>
        <v>0</v>
      </c>
      <c r="J8" s="30">
        <f t="shared" si="1"/>
        <v>0</v>
      </c>
      <c r="K8" s="30">
        <f t="shared" si="2"/>
        <v>1</v>
      </c>
      <c r="L8" s="30">
        <f t="shared" si="3"/>
        <v>0</v>
      </c>
      <c r="M8" s="30">
        <f t="shared" si="4"/>
        <v>0</v>
      </c>
      <c r="N8" s="31">
        <f t="shared" si="5"/>
        <v>0</v>
      </c>
      <c r="O8" s="40" t="s">
        <v>75</v>
      </c>
      <c r="P8" s="39"/>
      <c r="Q8" s="39"/>
      <c r="R8" s="39"/>
      <c r="S8" s="5" t="s">
        <v>37</v>
      </c>
      <c r="T8" s="5"/>
      <c r="U8" s="5"/>
      <c r="V8" s="5"/>
    </row>
    <row r="9" spans="1:22" ht="15.75" customHeight="1" x14ac:dyDescent="0.2">
      <c r="A9" s="25"/>
      <c r="B9" s="58"/>
      <c r="C9" s="58"/>
      <c r="D9" s="26"/>
      <c r="E9" s="27" t="s">
        <v>76</v>
      </c>
      <c r="F9" s="28" t="s">
        <v>25</v>
      </c>
      <c r="G9" s="28" t="s">
        <v>9</v>
      </c>
      <c r="H9" s="29" t="s">
        <v>36</v>
      </c>
      <c r="I9" s="30">
        <f t="shared" si="0"/>
        <v>0</v>
      </c>
      <c r="J9" s="30">
        <f t="shared" si="1"/>
        <v>0</v>
      </c>
      <c r="K9" s="30">
        <f t="shared" si="2"/>
        <v>1</v>
      </c>
      <c r="L9" s="30">
        <f t="shared" si="3"/>
        <v>0</v>
      </c>
      <c r="M9" s="30">
        <f t="shared" si="4"/>
        <v>0</v>
      </c>
      <c r="N9" s="31">
        <f t="shared" si="5"/>
        <v>0</v>
      </c>
      <c r="O9" s="40" t="s">
        <v>77</v>
      </c>
      <c r="P9" s="39"/>
      <c r="Q9" s="39"/>
      <c r="R9" s="39"/>
      <c r="S9" s="5" t="s">
        <v>38</v>
      </c>
      <c r="T9" s="5"/>
      <c r="U9" s="5"/>
      <c r="V9" s="5"/>
    </row>
    <row r="10" spans="1:22" x14ac:dyDescent="0.2">
      <c r="A10" s="25"/>
      <c r="B10" s="58"/>
      <c r="C10" s="58"/>
      <c r="D10" s="26"/>
      <c r="E10" s="27" t="s">
        <v>78</v>
      </c>
      <c r="F10" s="28" t="s">
        <v>25</v>
      </c>
      <c r="G10" s="28" t="s">
        <v>9</v>
      </c>
      <c r="H10" s="29" t="s">
        <v>6</v>
      </c>
      <c r="I10" s="30">
        <f t="shared" si="0"/>
        <v>0</v>
      </c>
      <c r="J10" s="30">
        <f t="shared" si="1"/>
        <v>0</v>
      </c>
      <c r="K10" s="30">
        <f t="shared" si="2"/>
        <v>1</v>
      </c>
      <c r="L10" s="30">
        <f t="shared" si="3"/>
        <v>0</v>
      </c>
      <c r="M10" s="30">
        <f t="shared" si="4"/>
        <v>0</v>
      </c>
      <c r="N10" s="31">
        <f t="shared" si="5"/>
        <v>0</v>
      </c>
      <c r="O10" s="40" t="s">
        <v>79</v>
      </c>
      <c r="P10" s="39"/>
      <c r="Q10" s="39"/>
      <c r="R10" s="39"/>
      <c r="S10" s="5" t="s">
        <v>39</v>
      </c>
      <c r="T10" s="5"/>
      <c r="U10" s="5"/>
      <c r="V10" s="5"/>
    </row>
    <row r="11" spans="1:22" ht="15.75" thickBot="1" x14ac:dyDescent="0.25">
      <c r="A11" s="25"/>
      <c r="B11" s="58"/>
      <c r="C11" s="58"/>
      <c r="D11" s="33"/>
      <c r="E11" s="34" t="s">
        <v>80</v>
      </c>
      <c r="F11" s="35" t="s">
        <v>25</v>
      </c>
      <c r="G11" s="35" t="s">
        <v>9</v>
      </c>
      <c r="H11" s="36" t="s">
        <v>6</v>
      </c>
      <c r="I11" s="37">
        <f t="shared" si="0"/>
        <v>0</v>
      </c>
      <c r="J11" s="37">
        <f t="shared" si="1"/>
        <v>0</v>
      </c>
      <c r="K11" s="37">
        <f t="shared" si="2"/>
        <v>1</v>
      </c>
      <c r="L11" s="37">
        <f t="shared" si="3"/>
        <v>0</v>
      </c>
      <c r="M11" s="37">
        <f t="shared" si="4"/>
        <v>0</v>
      </c>
      <c r="N11" s="38">
        <f>IF(F11="цифровой",IF(AND(#REF!="цифровой",OR(#REF!=1,#REF!="")),"",1),0)</f>
        <v>0</v>
      </c>
      <c r="O11" s="40" t="s">
        <v>81</v>
      </c>
      <c r="P11" s="39"/>
      <c r="Q11" s="39"/>
      <c r="R11" s="39"/>
      <c r="S11" s="5" t="s">
        <v>40</v>
      </c>
      <c r="T11" s="5"/>
      <c r="U11" s="5"/>
      <c r="V11" s="5"/>
    </row>
    <row r="12" spans="1:22" ht="15.75" customHeight="1" x14ac:dyDescent="0.2">
      <c r="A12" s="25"/>
      <c r="B12" s="58"/>
      <c r="C12" s="58"/>
      <c r="D12" s="57" t="s">
        <v>82</v>
      </c>
      <c r="E12" s="19" t="s">
        <v>42</v>
      </c>
      <c r="F12" s="20" t="s">
        <v>25</v>
      </c>
      <c r="G12" s="20" t="s">
        <v>9</v>
      </c>
      <c r="H12" s="21" t="s">
        <v>6</v>
      </c>
      <c r="I12" s="22">
        <f t="shared" si="0"/>
        <v>0</v>
      </c>
      <c r="J12" s="22">
        <f t="shared" si="1"/>
        <v>0</v>
      </c>
      <c r="K12" s="22">
        <f t="shared" si="2"/>
        <v>1</v>
      </c>
      <c r="L12" s="22">
        <f t="shared" si="3"/>
        <v>0</v>
      </c>
      <c r="M12" s="22">
        <f t="shared" si="4"/>
        <v>0</v>
      </c>
      <c r="N12" s="23">
        <f>IF(F12="цифровой",IF(AND(F4="цифровой",OR(N4=1,N4="")),"",1),0)</f>
        <v>0</v>
      </c>
      <c r="O12" s="40" t="s">
        <v>83</v>
      </c>
      <c r="P12" s="39"/>
      <c r="Q12" s="40" t="s">
        <v>84</v>
      </c>
      <c r="R12" s="39"/>
      <c r="S12" s="5" t="s">
        <v>41</v>
      </c>
      <c r="T12" s="5"/>
      <c r="U12" s="5"/>
      <c r="V12" s="5"/>
    </row>
    <row r="13" spans="1:22" ht="15.75" customHeight="1" x14ac:dyDescent="0.2">
      <c r="A13" s="25"/>
      <c r="B13" s="58"/>
      <c r="C13" s="58"/>
      <c r="D13" s="58"/>
      <c r="E13" s="27" t="s">
        <v>50</v>
      </c>
      <c r="F13" s="28" t="s">
        <v>8</v>
      </c>
      <c r="G13" s="28" t="s">
        <v>9</v>
      </c>
      <c r="H13" s="29" t="s">
        <v>32</v>
      </c>
      <c r="I13" s="30">
        <f t="shared" si="0"/>
        <v>1</v>
      </c>
      <c r="J13" s="30">
        <f t="shared" si="1"/>
        <v>0</v>
      </c>
      <c r="K13" s="30">
        <f t="shared" si="2"/>
        <v>0</v>
      </c>
      <c r="L13" s="30">
        <f t="shared" si="3"/>
        <v>0</v>
      </c>
      <c r="M13" s="30">
        <f t="shared" si="4"/>
        <v>0</v>
      </c>
      <c r="N13" s="31">
        <f>IF(F13="цифровой",IF(AND(#REF!="цифровой",OR(#REF!=1,#REF!="")),"",1),0)</f>
        <v>0</v>
      </c>
      <c r="O13" s="40" t="s">
        <v>85</v>
      </c>
      <c r="P13" s="39"/>
      <c r="Q13" s="39"/>
      <c r="R13" s="39"/>
      <c r="S13" s="5"/>
      <c r="T13" s="5"/>
      <c r="U13" s="5"/>
      <c r="V13" s="5"/>
    </row>
    <row r="14" spans="1:22" x14ac:dyDescent="0.2">
      <c r="A14" s="25"/>
      <c r="B14" s="58"/>
      <c r="C14" s="58"/>
      <c r="D14" s="58"/>
      <c r="E14" s="27" t="s">
        <v>49</v>
      </c>
      <c r="F14" s="28" t="s">
        <v>8</v>
      </c>
      <c r="G14" s="28" t="s">
        <v>9</v>
      </c>
      <c r="H14" s="29" t="s">
        <v>32</v>
      </c>
      <c r="I14" s="30">
        <f t="shared" si="0"/>
        <v>1</v>
      </c>
      <c r="J14" s="30">
        <f t="shared" si="1"/>
        <v>0</v>
      </c>
      <c r="K14" s="30">
        <f t="shared" si="2"/>
        <v>0</v>
      </c>
      <c r="L14" s="30">
        <f t="shared" si="3"/>
        <v>0</v>
      </c>
      <c r="M14" s="30">
        <f t="shared" si="4"/>
        <v>0</v>
      </c>
      <c r="N14" s="31">
        <f>IF(F14="цифровой",IF(AND(F5="цифровой",OR(N5=1,N5="")),"",1),0)</f>
        <v>0</v>
      </c>
      <c r="O14" s="40" t="s">
        <v>86</v>
      </c>
      <c r="P14" s="39"/>
      <c r="Q14" s="39"/>
      <c r="R14" s="39"/>
      <c r="S14" s="5"/>
      <c r="T14" s="5"/>
      <c r="U14" s="5"/>
      <c r="V14" s="5"/>
    </row>
    <row r="15" spans="1:22" x14ac:dyDescent="0.2">
      <c r="A15" s="25"/>
      <c r="B15" s="58"/>
      <c r="C15" s="58"/>
      <c r="D15" s="58"/>
      <c r="E15" s="27" t="s">
        <v>47</v>
      </c>
      <c r="F15" s="28" t="s">
        <v>8</v>
      </c>
      <c r="G15" s="28" t="s">
        <v>26</v>
      </c>
      <c r="H15" s="29" t="s">
        <v>32</v>
      </c>
      <c r="I15" s="30">
        <f t="shared" si="0"/>
        <v>0</v>
      </c>
      <c r="J15" s="30">
        <f t="shared" si="1"/>
        <v>1</v>
      </c>
      <c r="K15" s="30">
        <f t="shared" si="2"/>
        <v>0</v>
      </c>
      <c r="L15" s="30">
        <f t="shared" si="3"/>
        <v>0</v>
      </c>
      <c r="M15" s="30">
        <f t="shared" si="4"/>
        <v>0</v>
      </c>
      <c r="N15" s="31">
        <f t="shared" ref="N15:N16" si="6">IF(F15="цифровой",IF(AND(F14="цифровой",OR(N14=1,N14="")),"",1),0)</f>
        <v>0</v>
      </c>
      <c r="O15" s="40" t="s">
        <v>87</v>
      </c>
      <c r="P15" s="39"/>
      <c r="Q15" s="39"/>
      <c r="R15" s="39"/>
      <c r="S15" s="5"/>
      <c r="T15" s="5"/>
      <c r="U15" s="5"/>
      <c r="V15" s="5"/>
    </row>
    <row r="16" spans="1:22" ht="15.75" customHeight="1" thickBot="1" x14ac:dyDescent="0.25">
      <c r="A16" s="25"/>
      <c r="B16" s="58"/>
      <c r="C16" s="58"/>
      <c r="D16" s="59"/>
      <c r="E16" s="34" t="s">
        <v>48</v>
      </c>
      <c r="F16" s="35" t="s">
        <v>8</v>
      </c>
      <c r="G16" s="35" t="s">
        <v>26</v>
      </c>
      <c r="H16" s="36" t="s">
        <v>32</v>
      </c>
      <c r="I16" s="37">
        <f t="shared" si="0"/>
        <v>0</v>
      </c>
      <c r="J16" s="37">
        <f t="shared" si="1"/>
        <v>1</v>
      </c>
      <c r="K16" s="37">
        <f t="shared" si="2"/>
        <v>0</v>
      </c>
      <c r="L16" s="37">
        <f t="shared" si="3"/>
        <v>0</v>
      </c>
      <c r="M16" s="37">
        <f t="shared" si="4"/>
        <v>0</v>
      </c>
      <c r="N16" s="38">
        <f t="shared" si="6"/>
        <v>0</v>
      </c>
      <c r="O16" s="40" t="s">
        <v>88</v>
      </c>
      <c r="P16" s="39"/>
      <c r="Q16" s="39"/>
      <c r="R16" s="39"/>
      <c r="S16" s="5"/>
      <c r="T16" s="5"/>
      <c r="U16" s="5"/>
      <c r="V16" s="5"/>
    </row>
    <row r="17" spans="1:22" ht="15.75" customHeight="1" x14ac:dyDescent="0.2">
      <c r="A17" s="25"/>
      <c r="B17" s="58"/>
      <c r="C17" s="58"/>
      <c r="D17" s="57" t="s">
        <v>89</v>
      </c>
      <c r="E17" s="19" t="s">
        <v>42</v>
      </c>
      <c r="F17" s="20" t="s">
        <v>25</v>
      </c>
      <c r="G17" s="20" t="s">
        <v>9</v>
      </c>
      <c r="H17" s="21" t="s">
        <v>6</v>
      </c>
      <c r="I17" s="22">
        <f t="shared" si="0"/>
        <v>0</v>
      </c>
      <c r="J17" s="22">
        <f t="shared" si="1"/>
        <v>0</v>
      </c>
      <c r="K17" s="22">
        <f t="shared" si="2"/>
        <v>1</v>
      </c>
      <c r="L17" s="22">
        <f t="shared" si="3"/>
        <v>0</v>
      </c>
      <c r="M17" s="22">
        <f t="shared" si="4"/>
        <v>0</v>
      </c>
      <c r="N17" s="23">
        <f t="shared" ref="N17:N19" si="7">IF(F17="цифровой",IF(AND(F6="цифровой",OR(N6=1,N6="")),"",1),0)</f>
        <v>0</v>
      </c>
      <c r="O17" s="40" t="s">
        <v>90</v>
      </c>
      <c r="P17" s="39"/>
      <c r="Q17" s="40" t="s">
        <v>91</v>
      </c>
      <c r="R17" s="39"/>
      <c r="S17" s="5"/>
      <c r="T17" s="5"/>
      <c r="U17" s="5"/>
      <c r="V17" s="5"/>
    </row>
    <row r="18" spans="1:22" ht="15.75" customHeight="1" x14ac:dyDescent="0.2">
      <c r="A18" s="25"/>
      <c r="B18" s="58"/>
      <c r="C18" s="58"/>
      <c r="D18" s="58"/>
      <c r="E18" s="27" t="s">
        <v>50</v>
      </c>
      <c r="F18" s="28" t="s">
        <v>8</v>
      </c>
      <c r="G18" s="28" t="s">
        <v>9</v>
      </c>
      <c r="H18" s="29" t="s">
        <v>32</v>
      </c>
      <c r="I18" s="30">
        <f t="shared" si="0"/>
        <v>1</v>
      </c>
      <c r="J18" s="30">
        <f t="shared" si="1"/>
        <v>0</v>
      </c>
      <c r="K18" s="30">
        <f t="shared" si="2"/>
        <v>0</v>
      </c>
      <c r="L18" s="30">
        <f t="shared" si="3"/>
        <v>0</v>
      </c>
      <c r="M18" s="30">
        <f t="shared" si="4"/>
        <v>0</v>
      </c>
      <c r="N18" s="31">
        <f t="shared" si="7"/>
        <v>0</v>
      </c>
      <c r="O18" s="40" t="s">
        <v>92</v>
      </c>
      <c r="P18" s="39"/>
      <c r="Q18" s="39"/>
      <c r="R18" s="39"/>
      <c r="S18" s="5"/>
      <c r="T18" s="5"/>
      <c r="U18" s="5"/>
      <c r="V18" s="5"/>
    </row>
    <row r="19" spans="1:22" ht="15.75" customHeight="1" x14ac:dyDescent="0.2">
      <c r="A19" s="25"/>
      <c r="B19" s="58"/>
      <c r="C19" s="58"/>
      <c r="D19" s="58"/>
      <c r="E19" s="27" t="s">
        <v>49</v>
      </c>
      <c r="F19" s="28" t="s">
        <v>8</v>
      </c>
      <c r="G19" s="28" t="s">
        <v>9</v>
      </c>
      <c r="H19" s="29" t="s">
        <v>32</v>
      </c>
      <c r="I19" s="30">
        <f t="shared" si="0"/>
        <v>1</v>
      </c>
      <c r="J19" s="30">
        <f t="shared" si="1"/>
        <v>0</v>
      </c>
      <c r="K19" s="30">
        <f t="shared" si="2"/>
        <v>0</v>
      </c>
      <c r="L19" s="30">
        <f t="shared" si="3"/>
        <v>0</v>
      </c>
      <c r="M19" s="30">
        <f t="shared" si="4"/>
        <v>0</v>
      </c>
      <c r="N19" s="31">
        <f t="shared" si="7"/>
        <v>0</v>
      </c>
      <c r="O19" s="40" t="s">
        <v>93</v>
      </c>
      <c r="P19" s="39"/>
      <c r="Q19" s="39"/>
      <c r="R19" s="39"/>
      <c r="S19" s="5"/>
      <c r="T19" s="5"/>
      <c r="U19" s="5"/>
      <c r="V19" s="5"/>
    </row>
    <row r="20" spans="1:22" ht="15.75" customHeight="1" x14ac:dyDescent="0.2">
      <c r="A20" s="25"/>
      <c r="B20" s="58"/>
      <c r="C20" s="58"/>
      <c r="D20" s="58"/>
      <c r="E20" s="27" t="s">
        <v>47</v>
      </c>
      <c r="F20" s="28" t="s">
        <v>8</v>
      </c>
      <c r="G20" s="28" t="s">
        <v>26</v>
      </c>
      <c r="H20" s="29" t="s">
        <v>32</v>
      </c>
      <c r="I20" s="30">
        <f t="shared" si="0"/>
        <v>0</v>
      </c>
      <c r="J20" s="30">
        <f t="shared" si="1"/>
        <v>1</v>
      </c>
      <c r="K20" s="30">
        <f t="shared" si="2"/>
        <v>0</v>
      </c>
      <c r="L20" s="30">
        <f t="shared" si="3"/>
        <v>0</v>
      </c>
      <c r="M20" s="30">
        <f t="shared" si="4"/>
        <v>0</v>
      </c>
      <c r="N20" s="31">
        <f t="shared" ref="N20:N21" si="8">IF(F20="цифровой",IF(AND(F19="цифровой",OR(N19=1,N19="")),"",1),0)</f>
        <v>0</v>
      </c>
      <c r="O20" s="40" t="s">
        <v>94</v>
      </c>
      <c r="P20" s="39"/>
      <c r="Q20" s="39"/>
      <c r="R20" s="39"/>
      <c r="S20" s="5"/>
      <c r="T20" s="5"/>
      <c r="U20" s="5"/>
      <c r="V20" s="5"/>
    </row>
    <row r="21" spans="1:22" ht="15.75" customHeight="1" thickBot="1" x14ac:dyDescent="0.25">
      <c r="A21" s="25"/>
      <c r="B21" s="58"/>
      <c r="C21" s="58"/>
      <c r="D21" s="59"/>
      <c r="E21" s="34" t="s">
        <v>48</v>
      </c>
      <c r="F21" s="35" t="s">
        <v>8</v>
      </c>
      <c r="G21" s="35" t="s">
        <v>26</v>
      </c>
      <c r="H21" s="36" t="s">
        <v>32</v>
      </c>
      <c r="I21" s="37">
        <f t="shared" si="0"/>
        <v>0</v>
      </c>
      <c r="J21" s="37">
        <f t="shared" si="1"/>
        <v>1</v>
      </c>
      <c r="K21" s="37">
        <f t="shared" si="2"/>
        <v>0</v>
      </c>
      <c r="L21" s="37">
        <f t="shared" si="3"/>
        <v>0</v>
      </c>
      <c r="M21" s="37">
        <f t="shared" si="4"/>
        <v>0</v>
      </c>
      <c r="N21" s="38">
        <f t="shared" si="8"/>
        <v>0</v>
      </c>
      <c r="O21" s="40" t="s">
        <v>95</v>
      </c>
      <c r="P21" s="39"/>
      <c r="Q21" s="39"/>
      <c r="R21" s="39"/>
      <c r="S21" s="5"/>
      <c r="T21" s="5"/>
      <c r="U21" s="5"/>
      <c r="V21" s="5"/>
    </row>
    <row r="22" spans="1:22" ht="15.75" customHeight="1" x14ac:dyDescent="0.2">
      <c r="A22" s="25"/>
      <c r="B22" s="58"/>
      <c r="C22" s="58"/>
      <c r="D22" s="57" t="s">
        <v>96</v>
      </c>
      <c r="E22" s="19" t="s">
        <v>43</v>
      </c>
      <c r="F22" s="20" t="s">
        <v>8</v>
      </c>
      <c r="G22" s="20" t="s">
        <v>9</v>
      </c>
      <c r="H22" s="21" t="s">
        <v>34</v>
      </c>
      <c r="I22" s="22">
        <f t="shared" si="0"/>
        <v>1</v>
      </c>
      <c r="J22" s="22">
        <f t="shared" si="1"/>
        <v>0</v>
      </c>
      <c r="K22" s="22">
        <f t="shared" si="2"/>
        <v>0</v>
      </c>
      <c r="L22" s="22">
        <f t="shared" si="3"/>
        <v>0</v>
      </c>
      <c r="M22" s="22">
        <f t="shared" si="4"/>
        <v>0</v>
      </c>
      <c r="N22" s="23">
        <f>IF(F22="цифровой",IF(AND(#REF!="цифровой",OR(#REF!=1,#REF!="")),"",1),0)</f>
        <v>0</v>
      </c>
      <c r="O22" s="40" t="s">
        <v>97</v>
      </c>
      <c r="P22" s="39"/>
      <c r="Q22" s="40" t="s">
        <v>98</v>
      </c>
      <c r="R22" s="39"/>
      <c r="S22" s="5"/>
      <c r="T22" s="5"/>
      <c r="U22" s="5"/>
      <c r="V22" s="5"/>
    </row>
    <row r="23" spans="1:22" ht="15.75" customHeight="1" x14ac:dyDescent="0.2">
      <c r="A23" s="25"/>
      <c r="B23" s="58"/>
      <c r="C23" s="58"/>
      <c r="D23" s="58"/>
      <c r="E23" s="27" t="s">
        <v>44</v>
      </c>
      <c r="F23" s="28" t="s">
        <v>8</v>
      </c>
      <c r="G23" s="28" t="s">
        <v>9</v>
      </c>
      <c r="H23" s="29" t="s">
        <v>34</v>
      </c>
      <c r="I23" s="30">
        <f t="shared" si="0"/>
        <v>1</v>
      </c>
      <c r="J23" s="30">
        <f t="shared" si="1"/>
        <v>0</v>
      </c>
      <c r="K23" s="30">
        <f t="shared" si="2"/>
        <v>0</v>
      </c>
      <c r="L23" s="30">
        <f t="shared" si="3"/>
        <v>0</v>
      </c>
      <c r="M23" s="30">
        <f t="shared" si="4"/>
        <v>0</v>
      </c>
      <c r="N23" s="31">
        <f t="shared" ref="N23:N24" si="9">IF(F23="цифровой",IF(AND(F22="цифровой",OR(N22=1,N22="")),"",1),0)</f>
        <v>0</v>
      </c>
      <c r="O23" s="40" t="s">
        <v>99</v>
      </c>
      <c r="P23" s="39"/>
      <c r="Q23" s="39"/>
      <c r="R23" s="39"/>
      <c r="S23" s="5"/>
      <c r="T23" s="5"/>
      <c r="U23" s="5"/>
      <c r="V23" s="5"/>
    </row>
    <row r="24" spans="1:22" ht="15.75" customHeight="1" x14ac:dyDescent="0.2">
      <c r="A24" s="25"/>
      <c r="B24" s="58"/>
      <c r="C24" s="58"/>
      <c r="D24" s="58"/>
      <c r="E24" s="27" t="s">
        <v>45</v>
      </c>
      <c r="F24" s="28" t="s">
        <v>8</v>
      </c>
      <c r="G24" s="28" t="s">
        <v>9</v>
      </c>
      <c r="H24" s="29" t="s">
        <v>34</v>
      </c>
      <c r="I24" s="30">
        <f t="shared" si="0"/>
        <v>1</v>
      </c>
      <c r="J24" s="30">
        <f t="shared" si="1"/>
        <v>0</v>
      </c>
      <c r="K24" s="30">
        <f t="shared" si="2"/>
        <v>0</v>
      </c>
      <c r="L24" s="30">
        <f t="shared" si="3"/>
        <v>0</v>
      </c>
      <c r="M24" s="30">
        <f t="shared" si="4"/>
        <v>0</v>
      </c>
      <c r="N24" s="31">
        <f t="shared" si="9"/>
        <v>0</v>
      </c>
      <c r="O24" s="40" t="s">
        <v>100</v>
      </c>
      <c r="P24" s="39"/>
      <c r="Q24" s="39"/>
      <c r="R24" s="39"/>
      <c r="S24" s="5"/>
      <c r="T24" s="5"/>
      <c r="U24" s="5"/>
      <c r="V24" s="5"/>
    </row>
    <row r="25" spans="1:22" ht="15.75" customHeight="1" x14ac:dyDescent="0.2">
      <c r="A25" s="25"/>
      <c r="B25" s="58"/>
      <c r="C25" s="58"/>
      <c r="D25" s="58"/>
      <c r="E25" s="27" t="s">
        <v>51</v>
      </c>
      <c r="F25" s="28" t="s">
        <v>8</v>
      </c>
      <c r="G25" s="28" t="s">
        <v>9</v>
      </c>
      <c r="H25" s="29" t="s">
        <v>34</v>
      </c>
      <c r="I25" s="30">
        <f t="shared" si="0"/>
        <v>1</v>
      </c>
      <c r="J25" s="30">
        <f t="shared" si="1"/>
        <v>0</v>
      </c>
      <c r="K25" s="30">
        <f t="shared" si="2"/>
        <v>0</v>
      </c>
      <c r="L25" s="30">
        <f t="shared" si="3"/>
        <v>0</v>
      </c>
      <c r="M25" s="30">
        <f t="shared" si="4"/>
        <v>0</v>
      </c>
      <c r="N25" s="31">
        <f>IF(F25="цифровой",IF(AND(#REF!="цифровой",OR(#REF!=1,#REF!="")),"",1),0)</f>
        <v>0</v>
      </c>
      <c r="O25" s="40" t="s">
        <v>101</v>
      </c>
      <c r="P25" s="39"/>
      <c r="Q25" s="39"/>
      <c r="R25" s="39"/>
      <c r="S25" s="5"/>
      <c r="T25" s="5"/>
      <c r="U25" s="5"/>
      <c r="V25" s="5"/>
    </row>
    <row r="26" spans="1:22" ht="15.75" customHeight="1" x14ac:dyDescent="0.2">
      <c r="A26" s="25"/>
      <c r="B26" s="58"/>
      <c r="C26" s="58"/>
      <c r="D26" s="58"/>
      <c r="E26" s="27" t="s">
        <v>52</v>
      </c>
      <c r="F26" s="28" t="s">
        <v>8</v>
      </c>
      <c r="G26" s="28" t="s">
        <v>26</v>
      </c>
      <c r="H26" s="29" t="s">
        <v>34</v>
      </c>
      <c r="I26" s="30">
        <f t="shared" si="0"/>
        <v>0</v>
      </c>
      <c r="J26" s="30">
        <f t="shared" si="1"/>
        <v>1</v>
      </c>
      <c r="K26" s="30">
        <f t="shared" si="2"/>
        <v>0</v>
      </c>
      <c r="L26" s="30">
        <f t="shared" si="3"/>
        <v>0</v>
      </c>
      <c r="M26" s="30">
        <f t="shared" si="4"/>
        <v>0</v>
      </c>
      <c r="N26" s="31">
        <f>IF(F26="цифровой",IF(AND(#REF!="цифровой",OR(#REF!=1,#REF!="")),"",1),0)</f>
        <v>0</v>
      </c>
      <c r="O26" s="40" t="s">
        <v>102</v>
      </c>
      <c r="P26" s="39"/>
      <c r="Q26" s="39"/>
      <c r="R26" s="39"/>
      <c r="S26" s="5"/>
      <c r="T26" s="5"/>
      <c r="U26" s="5"/>
      <c r="V26" s="5"/>
    </row>
    <row r="27" spans="1:22" ht="15.75" customHeight="1" x14ac:dyDescent="0.2">
      <c r="A27" s="25"/>
      <c r="B27" s="58"/>
      <c r="C27" s="58"/>
      <c r="D27" s="58"/>
      <c r="E27" s="27" t="s">
        <v>53</v>
      </c>
      <c r="F27" s="28" t="s">
        <v>8</v>
      </c>
      <c r="G27" s="28" t="s">
        <v>26</v>
      </c>
      <c r="H27" s="29" t="s">
        <v>34</v>
      </c>
      <c r="I27" s="30">
        <f t="shared" si="0"/>
        <v>0</v>
      </c>
      <c r="J27" s="30">
        <f t="shared" si="1"/>
        <v>1</v>
      </c>
      <c r="K27" s="30">
        <f t="shared" si="2"/>
        <v>0</v>
      </c>
      <c r="L27" s="30">
        <f t="shared" si="3"/>
        <v>0</v>
      </c>
      <c r="M27" s="30">
        <f t="shared" si="4"/>
        <v>0</v>
      </c>
      <c r="N27" s="31">
        <f t="shared" ref="N27:N28" si="10">IF(F27="цифровой",IF(AND(F26="цифровой",OR(N26=1,N26="")),"",1),0)</f>
        <v>0</v>
      </c>
      <c r="O27" s="40" t="s">
        <v>103</v>
      </c>
      <c r="P27" s="39"/>
      <c r="Q27" s="39"/>
      <c r="R27" s="39"/>
      <c r="S27" s="5"/>
      <c r="T27" s="5"/>
      <c r="U27" s="5"/>
      <c r="V27" s="5"/>
    </row>
    <row r="28" spans="1:22" ht="15.75" customHeight="1" thickBot="1" x14ac:dyDescent="0.25">
      <c r="A28" s="25"/>
      <c r="B28" s="58"/>
      <c r="C28" s="58"/>
      <c r="D28" s="59"/>
      <c r="E28" s="34" t="s">
        <v>54</v>
      </c>
      <c r="F28" s="35" t="s">
        <v>8</v>
      </c>
      <c r="G28" s="35" t="s">
        <v>26</v>
      </c>
      <c r="H28" s="36" t="s">
        <v>34</v>
      </c>
      <c r="I28" s="37">
        <f t="shared" si="0"/>
        <v>0</v>
      </c>
      <c r="J28" s="37">
        <f t="shared" si="1"/>
        <v>1</v>
      </c>
      <c r="K28" s="37">
        <f t="shared" si="2"/>
        <v>0</v>
      </c>
      <c r="L28" s="37">
        <f t="shared" si="3"/>
        <v>0</v>
      </c>
      <c r="M28" s="37">
        <f t="shared" si="4"/>
        <v>0</v>
      </c>
      <c r="N28" s="38">
        <f t="shared" si="10"/>
        <v>0</v>
      </c>
      <c r="O28" s="40" t="s">
        <v>104</v>
      </c>
      <c r="P28" s="39"/>
      <c r="Q28" s="39"/>
      <c r="R28" s="39"/>
      <c r="S28" s="5"/>
      <c r="T28" s="5"/>
      <c r="U28" s="5"/>
      <c r="V28" s="5"/>
    </row>
    <row r="29" spans="1:22" ht="15.75" customHeight="1" x14ac:dyDescent="0.2">
      <c r="A29" s="25"/>
      <c r="B29" s="58"/>
      <c r="C29" s="58"/>
      <c r="D29" s="57" t="s">
        <v>105</v>
      </c>
      <c r="E29" s="19" t="s">
        <v>43</v>
      </c>
      <c r="F29" s="20" t="s">
        <v>8</v>
      </c>
      <c r="G29" s="20" t="s">
        <v>9</v>
      </c>
      <c r="H29" s="21" t="s">
        <v>34</v>
      </c>
      <c r="I29" s="22">
        <f t="shared" si="0"/>
        <v>1</v>
      </c>
      <c r="J29" s="22">
        <f t="shared" si="1"/>
        <v>0</v>
      </c>
      <c r="K29" s="22">
        <f t="shared" si="2"/>
        <v>0</v>
      </c>
      <c r="L29" s="22">
        <f t="shared" si="3"/>
        <v>0</v>
      </c>
      <c r="M29" s="22">
        <f t="shared" si="4"/>
        <v>0</v>
      </c>
      <c r="N29" s="23">
        <f>IF(F29="цифровой",IF(AND(#REF!="цифровой",OR(#REF!=1,#REF!="")),"",1),0)</f>
        <v>0</v>
      </c>
      <c r="O29" s="40" t="s">
        <v>106</v>
      </c>
      <c r="P29" s="39"/>
      <c r="Q29" s="40" t="s">
        <v>107</v>
      </c>
      <c r="R29" s="39"/>
      <c r="S29" s="5"/>
      <c r="T29" s="5"/>
      <c r="U29" s="5"/>
      <c r="V29" s="5"/>
    </row>
    <row r="30" spans="1:22" ht="15.75" customHeight="1" x14ac:dyDescent="0.2">
      <c r="A30" s="25"/>
      <c r="B30" s="58"/>
      <c r="C30" s="58"/>
      <c r="D30" s="58"/>
      <c r="E30" s="27" t="s">
        <v>44</v>
      </c>
      <c r="F30" s="28" t="s">
        <v>8</v>
      </c>
      <c r="G30" s="28" t="s">
        <v>9</v>
      </c>
      <c r="H30" s="29" t="s">
        <v>34</v>
      </c>
      <c r="I30" s="30">
        <f t="shared" si="0"/>
        <v>1</v>
      </c>
      <c r="J30" s="30">
        <f t="shared" si="1"/>
        <v>0</v>
      </c>
      <c r="K30" s="30">
        <f t="shared" si="2"/>
        <v>0</v>
      </c>
      <c r="L30" s="30">
        <f t="shared" si="3"/>
        <v>0</v>
      </c>
      <c r="M30" s="30">
        <f t="shared" si="4"/>
        <v>0</v>
      </c>
      <c r="N30" s="31">
        <f t="shared" ref="N30:N31" si="11">IF(F30="цифровой",IF(AND(F29="цифровой",OR(N29=1,N29="")),"",1),0)</f>
        <v>0</v>
      </c>
      <c r="O30" s="40" t="s">
        <v>108</v>
      </c>
      <c r="P30" s="39"/>
      <c r="Q30" s="39"/>
      <c r="R30" s="39"/>
      <c r="S30" s="5"/>
      <c r="T30" s="5"/>
      <c r="U30" s="5"/>
      <c r="V30" s="5"/>
    </row>
    <row r="31" spans="1:22" ht="15.75" customHeight="1" x14ac:dyDescent="0.2">
      <c r="A31" s="25"/>
      <c r="B31" s="58"/>
      <c r="C31" s="58"/>
      <c r="D31" s="58"/>
      <c r="E31" s="27" t="s">
        <v>45</v>
      </c>
      <c r="F31" s="28" t="s">
        <v>8</v>
      </c>
      <c r="G31" s="28" t="s">
        <v>9</v>
      </c>
      <c r="H31" s="29" t="s">
        <v>34</v>
      </c>
      <c r="I31" s="30">
        <f t="shared" si="0"/>
        <v>1</v>
      </c>
      <c r="J31" s="30">
        <f t="shared" si="1"/>
        <v>0</v>
      </c>
      <c r="K31" s="30">
        <f t="shared" si="2"/>
        <v>0</v>
      </c>
      <c r="L31" s="30">
        <f t="shared" si="3"/>
        <v>0</v>
      </c>
      <c r="M31" s="30">
        <f t="shared" si="4"/>
        <v>0</v>
      </c>
      <c r="N31" s="31">
        <f t="shared" si="11"/>
        <v>0</v>
      </c>
      <c r="O31" s="40" t="s">
        <v>109</v>
      </c>
      <c r="P31" s="39"/>
      <c r="Q31" s="39"/>
      <c r="R31" s="39"/>
      <c r="S31" s="5"/>
      <c r="T31" s="5"/>
      <c r="U31" s="5"/>
      <c r="V31" s="5"/>
    </row>
    <row r="32" spans="1:22" ht="15.75" customHeight="1" x14ac:dyDescent="0.2">
      <c r="A32" s="25"/>
      <c r="B32" s="58"/>
      <c r="C32" s="58"/>
      <c r="D32" s="58"/>
      <c r="E32" s="27" t="s">
        <v>51</v>
      </c>
      <c r="F32" s="28" t="s">
        <v>8</v>
      </c>
      <c r="G32" s="28" t="s">
        <v>9</v>
      </c>
      <c r="H32" s="29" t="s">
        <v>34</v>
      </c>
      <c r="I32" s="30">
        <f t="shared" si="0"/>
        <v>1</v>
      </c>
      <c r="J32" s="30">
        <f t="shared" si="1"/>
        <v>0</v>
      </c>
      <c r="K32" s="30">
        <f t="shared" si="2"/>
        <v>0</v>
      </c>
      <c r="L32" s="30">
        <f t="shared" si="3"/>
        <v>0</v>
      </c>
      <c r="M32" s="30">
        <f t="shared" si="4"/>
        <v>0</v>
      </c>
      <c r="N32" s="31">
        <f>IF(F32="цифровой",IF(AND(#REF!="цифровой",OR(#REF!=1,#REF!="")),"",1),0)</f>
        <v>0</v>
      </c>
      <c r="O32" s="40" t="s">
        <v>110</v>
      </c>
      <c r="P32" s="39"/>
      <c r="Q32" s="39"/>
      <c r="R32" s="39"/>
      <c r="S32" s="5"/>
      <c r="T32" s="5"/>
      <c r="U32" s="5"/>
      <c r="V32" s="5"/>
    </row>
    <row r="33" spans="1:18" ht="15" customHeight="1" x14ac:dyDescent="0.2">
      <c r="A33" s="25"/>
      <c r="B33" s="58"/>
      <c r="C33" s="58"/>
      <c r="D33" s="58"/>
      <c r="E33" s="27" t="s">
        <v>52</v>
      </c>
      <c r="F33" s="28" t="s">
        <v>8</v>
      </c>
      <c r="G33" s="28" t="s">
        <v>26</v>
      </c>
      <c r="H33" s="29" t="s">
        <v>34</v>
      </c>
      <c r="I33" s="30">
        <f t="shared" si="0"/>
        <v>0</v>
      </c>
      <c r="J33" s="30">
        <f t="shared" si="1"/>
        <v>1</v>
      </c>
      <c r="K33" s="30">
        <f t="shared" si="2"/>
        <v>0</v>
      </c>
      <c r="L33" s="30">
        <f t="shared" si="3"/>
        <v>0</v>
      </c>
      <c r="M33" s="30">
        <f t="shared" si="4"/>
        <v>0</v>
      </c>
      <c r="N33" s="31">
        <f>IF(F33="цифровой",IF(AND(#REF!="цифровой",OR(#REF!=1,#REF!="")),"",1),0)</f>
        <v>0</v>
      </c>
      <c r="O33" s="40" t="s">
        <v>111</v>
      </c>
      <c r="P33" s="39"/>
      <c r="Q33" s="39"/>
      <c r="R33" s="39"/>
    </row>
    <row r="34" spans="1:18" ht="15.75" customHeight="1" x14ac:dyDescent="0.2">
      <c r="A34" s="25"/>
      <c r="B34" s="58"/>
      <c r="C34" s="58"/>
      <c r="D34" s="58"/>
      <c r="E34" s="27" t="s">
        <v>53</v>
      </c>
      <c r="F34" s="28" t="s">
        <v>8</v>
      </c>
      <c r="G34" s="28" t="s">
        <v>26</v>
      </c>
      <c r="H34" s="29" t="s">
        <v>34</v>
      </c>
      <c r="I34" s="30">
        <f t="shared" si="0"/>
        <v>0</v>
      </c>
      <c r="J34" s="30">
        <f t="shared" si="1"/>
        <v>1</v>
      </c>
      <c r="K34" s="30">
        <f t="shared" si="2"/>
        <v>0</v>
      </c>
      <c r="L34" s="30">
        <f t="shared" si="3"/>
        <v>0</v>
      </c>
      <c r="M34" s="30">
        <f t="shared" si="4"/>
        <v>0</v>
      </c>
      <c r="N34" s="31">
        <f t="shared" ref="N34:N35" si="12">IF(F34="цифровой",IF(AND(F33="цифровой",OR(N33=1,N33="")),"",1),0)</f>
        <v>0</v>
      </c>
      <c r="O34" s="40" t="s">
        <v>112</v>
      </c>
      <c r="P34" s="39"/>
      <c r="Q34" s="39"/>
      <c r="R34" s="39"/>
    </row>
    <row r="35" spans="1:18" ht="15.75" customHeight="1" thickBot="1" x14ac:dyDescent="0.25">
      <c r="A35" s="25"/>
      <c r="B35" s="58"/>
      <c r="C35" s="58"/>
      <c r="D35" s="59"/>
      <c r="E35" s="34" t="s">
        <v>54</v>
      </c>
      <c r="F35" s="35" t="s">
        <v>8</v>
      </c>
      <c r="G35" s="35" t="s">
        <v>26</v>
      </c>
      <c r="H35" s="36" t="s">
        <v>34</v>
      </c>
      <c r="I35" s="37">
        <f t="shared" si="0"/>
        <v>0</v>
      </c>
      <c r="J35" s="37">
        <f t="shared" si="1"/>
        <v>1</v>
      </c>
      <c r="K35" s="37">
        <f t="shared" si="2"/>
        <v>0</v>
      </c>
      <c r="L35" s="37">
        <f t="shared" si="3"/>
        <v>0</v>
      </c>
      <c r="M35" s="37">
        <f t="shared" si="4"/>
        <v>0</v>
      </c>
      <c r="N35" s="38">
        <f t="shared" si="12"/>
        <v>0</v>
      </c>
      <c r="O35" s="40" t="s">
        <v>113</v>
      </c>
      <c r="P35" s="39"/>
      <c r="Q35" s="39"/>
      <c r="R35" s="39"/>
    </row>
    <row r="36" spans="1:18" ht="15.75" customHeight="1" x14ac:dyDescent="0.2">
      <c r="A36" s="25"/>
      <c r="B36" s="58"/>
      <c r="C36" s="58"/>
      <c r="D36" s="57" t="s">
        <v>114</v>
      </c>
      <c r="E36" s="19" t="s">
        <v>49</v>
      </c>
      <c r="F36" s="20" t="s">
        <v>8</v>
      </c>
      <c r="G36" s="20" t="s">
        <v>9</v>
      </c>
      <c r="H36" s="21" t="s">
        <v>34</v>
      </c>
      <c r="I36" s="22">
        <f t="shared" si="0"/>
        <v>1</v>
      </c>
      <c r="J36" s="22">
        <f t="shared" si="1"/>
        <v>0</v>
      </c>
      <c r="K36" s="22">
        <f t="shared" si="2"/>
        <v>0</v>
      </c>
      <c r="L36" s="22">
        <f t="shared" si="3"/>
        <v>0</v>
      </c>
      <c r="M36" s="22">
        <f t="shared" si="4"/>
        <v>0</v>
      </c>
      <c r="N36" s="23">
        <f>IF(F36="цифровой",IF(AND(#REF!="цифровой",OR(#REF!=1,#REF!="")),"",1),0)</f>
        <v>0</v>
      </c>
      <c r="O36" s="40" t="s">
        <v>115</v>
      </c>
      <c r="P36" s="39"/>
      <c r="Q36" s="40" t="s">
        <v>116</v>
      </c>
      <c r="R36" s="39"/>
    </row>
    <row r="37" spans="1:18" ht="15.75" customHeight="1" x14ac:dyDescent="0.2">
      <c r="A37" s="25"/>
      <c r="B37" s="58"/>
      <c r="C37" s="58"/>
      <c r="D37" s="58"/>
      <c r="E37" s="27" t="s">
        <v>50</v>
      </c>
      <c r="F37" s="28" t="s">
        <v>8</v>
      </c>
      <c r="G37" s="28" t="s">
        <v>9</v>
      </c>
      <c r="H37" s="29" t="s">
        <v>34</v>
      </c>
      <c r="I37" s="30">
        <f t="shared" si="0"/>
        <v>1</v>
      </c>
      <c r="J37" s="30">
        <f t="shared" si="1"/>
        <v>0</v>
      </c>
      <c r="K37" s="30">
        <f t="shared" si="2"/>
        <v>0</v>
      </c>
      <c r="L37" s="30">
        <f t="shared" si="3"/>
        <v>0</v>
      </c>
      <c r="M37" s="30">
        <f t="shared" si="4"/>
        <v>0</v>
      </c>
      <c r="N37" s="31">
        <f t="shared" ref="N37:N39" si="13">IF(F37="цифровой",IF(AND(F36="цифровой",OR(N36=1,N36="")),"",1),0)</f>
        <v>0</v>
      </c>
      <c r="O37" s="40" t="s">
        <v>117</v>
      </c>
      <c r="P37" s="39"/>
      <c r="Q37" s="39"/>
      <c r="R37" s="39"/>
    </row>
    <row r="38" spans="1:18" ht="15.75" customHeight="1" x14ac:dyDescent="0.2">
      <c r="A38" s="25"/>
      <c r="B38" s="58"/>
      <c r="C38" s="58"/>
      <c r="D38" s="58"/>
      <c r="E38" s="27" t="s">
        <v>45</v>
      </c>
      <c r="F38" s="28" t="s">
        <v>8</v>
      </c>
      <c r="G38" s="28" t="s">
        <v>9</v>
      </c>
      <c r="H38" s="29" t="s">
        <v>34</v>
      </c>
      <c r="I38" s="30">
        <f t="shared" si="0"/>
        <v>1</v>
      </c>
      <c r="J38" s="30">
        <f t="shared" si="1"/>
        <v>0</v>
      </c>
      <c r="K38" s="30">
        <f t="shared" si="2"/>
        <v>0</v>
      </c>
      <c r="L38" s="30">
        <f t="shared" si="3"/>
        <v>0</v>
      </c>
      <c r="M38" s="30">
        <f t="shared" si="4"/>
        <v>0</v>
      </c>
      <c r="N38" s="31">
        <f t="shared" si="13"/>
        <v>0</v>
      </c>
      <c r="O38" s="40" t="s">
        <v>118</v>
      </c>
      <c r="P38" s="39"/>
      <c r="Q38" s="39"/>
      <c r="R38" s="39"/>
    </row>
    <row r="39" spans="1:18" ht="15.75" customHeight="1" x14ac:dyDescent="0.2">
      <c r="A39" s="25"/>
      <c r="B39" s="58"/>
      <c r="C39" s="58"/>
      <c r="D39" s="58"/>
      <c r="E39" s="27" t="s">
        <v>46</v>
      </c>
      <c r="F39" s="28" t="s">
        <v>8</v>
      </c>
      <c r="G39" s="28" t="s">
        <v>9</v>
      </c>
      <c r="H39" s="29" t="s">
        <v>34</v>
      </c>
      <c r="I39" s="30">
        <f t="shared" si="0"/>
        <v>1</v>
      </c>
      <c r="J39" s="30">
        <f t="shared" si="1"/>
        <v>0</v>
      </c>
      <c r="K39" s="30">
        <f t="shared" si="2"/>
        <v>0</v>
      </c>
      <c r="L39" s="30">
        <f t="shared" si="3"/>
        <v>0</v>
      </c>
      <c r="M39" s="30">
        <f t="shared" si="4"/>
        <v>0</v>
      </c>
      <c r="N39" s="31">
        <f t="shared" si="13"/>
        <v>0</v>
      </c>
      <c r="O39" s="40" t="s">
        <v>119</v>
      </c>
      <c r="P39" s="39"/>
      <c r="Q39" s="39"/>
      <c r="R39" s="39"/>
    </row>
    <row r="40" spans="1:18" ht="15.75" customHeight="1" x14ac:dyDescent="0.2">
      <c r="A40" s="25"/>
      <c r="B40" s="58"/>
      <c r="C40" s="58"/>
      <c r="D40" s="58"/>
      <c r="E40" s="27" t="s">
        <v>51</v>
      </c>
      <c r="F40" s="28" t="s">
        <v>8</v>
      </c>
      <c r="G40" s="28" t="s">
        <v>9</v>
      </c>
      <c r="H40" s="29" t="s">
        <v>34</v>
      </c>
      <c r="I40" s="30">
        <f t="shared" si="0"/>
        <v>1</v>
      </c>
      <c r="J40" s="30">
        <f t="shared" si="1"/>
        <v>0</v>
      </c>
      <c r="K40" s="30">
        <f t="shared" si="2"/>
        <v>0</v>
      </c>
      <c r="L40" s="30">
        <f t="shared" si="3"/>
        <v>0</v>
      </c>
      <c r="M40" s="30">
        <f t="shared" si="4"/>
        <v>0</v>
      </c>
      <c r="N40" s="31">
        <f>IF(F40="цифровой",IF(AND(#REF!="цифровой",OR(#REF!=1,#REF!="")),"",1),0)</f>
        <v>0</v>
      </c>
      <c r="O40" s="40" t="s">
        <v>120</v>
      </c>
      <c r="P40" s="39"/>
      <c r="Q40" s="39"/>
      <c r="R40" s="39"/>
    </row>
    <row r="41" spans="1:18" ht="15.75" customHeight="1" x14ac:dyDescent="0.2">
      <c r="A41" s="25"/>
      <c r="B41" s="58"/>
      <c r="C41" s="58"/>
      <c r="D41" s="58"/>
      <c r="E41" s="27" t="s">
        <v>52</v>
      </c>
      <c r="F41" s="28" t="s">
        <v>8</v>
      </c>
      <c r="G41" s="28" t="s">
        <v>26</v>
      </c>
      <c r="H41" s="29" t="s">
        <v>34</v>
      </c>
      <c r="I41" s="30">
        <f t="shared" si="0"/>
        <v>0</v>
      </c>
      <c r="J41" s="30">
        <f t="shared" si="1"/>
        <v>1</v>
      </c>
      <c r="K41" s="30">
        <f t="shared" si="2"/>
        <v>0</v>
      </c>
      <c r="L41" s="30">
        <f t="shared" si="3"/>
        <v>0</v>
      </c>
      <c r="M41" s="30">
        <f t="shared" si="4"/>
        <v>0</v>
      </c>
      <c r="N41" s="31">
        <f>IF(F41="цифровой",IF(AND(#REF!="цифровой",OR(#REF!=1,#REF!="")),"",1),0)</f>
        <v>0</v>
      </c>
      <c r="O41" s="40" t="s">
        <v>121</v>
      </c>
      <c r="P41" s="39"/>
      <c r="Q41" s="39"/>
      <c r="R41" s="39"/>
    </row>
    <row r="42" spans="1:18" ht="15.75" customHeight="1" x14ac:dyDescent="0.2">
      <c r="A42" s="25"/>
      <c r="B42" s="58"/>
      <c r="C42" s="58"/>
      <c r="D42" s="58"/>
      <c r="E42" s="27" t="s">
        <v>53</v>
      </c>
      <c r="F42" s="28" t="s">
        <v>8</v>
      </c>
      <c r="G42" s="28" t="s">
        <v>26</v>
      </c>
      <c r="H42" s="29" t="s">
        <v>34</v>
      </c>
      <c r="I42" s="30">
        <f t="shared" si="0"/>
        <v>0</v>
      </c>
      <c r="J42" s="30">
        <f t="shared" si="1"/>
        <v>1</v>
      </c>
      <c r="K42" s="30">
        <f t="shared" si="2"/>
        <v>0</v>
      </c>
      <c r="L42" s="30">
        <f t="shared" si="3"/>
        <v>0</v>
      </c>
      <c r="M42" s="30">
        <f t="shared" si="4"/>
        <v>0</v>
      </c>
      <c r="N42" s="31">
        <f t="shared" ref="N42:N43" si="14">IF(F42="цифровой",IF(AND(F41="цифровой",OR(N41=1,N41="")),"",1),0)</f>
        <v>0</v>
      </c>
      <c r="O42" s="40" t="s">
        <v>122</v>
      </c>
      <c r="P42" s="39"/>
      <c r="Q42" s="39"/>
      <c r="R42" s="39"/>
    </row>
    <row r="43" spans="1:18" ht="15.75" customHeight="1" thickBot="1" x14ac:dyDescent="0.25">
      <c r="A43" s="25"/>
      <c r="B43" s="58"/>
      <c r="C43" s="58"/>
      <c r="D43" s="59"/>
      <c r="E43" s="34" t="s">
        <v>54</v>
      </c>
      <c r="F43" s="35" t="s">
        <v>8</v>
      </c>
      <c r="G43" s="35" t="s">
        <v>26</v>
      </c>
      <c r="H43" s="36" t="s">
        <v>34</v>
      </c>
      <c r="I43" s="37">
        <f t="shared" si="0"/>
        <v>0</v>
      </c>
      <c r="J43" s="37">
        <f t="shared" si="1"/>
        <v>1</v>
      </c>
      <c r="K43" s="37">
        <f t="shared" si="2"/>
        <v>0</v>
      </c>
      <c r="L43" s="37">
        <f t="shared" si="3"/>
        <v>0</v>
      </c>
      <c r="M43" s="37">
        <f t="shared" si="4"/>
        <v>0</v>
      </c>
      <c r="N43" s="38">
        <f t="shared" si="14"/>
        <v>0</v>
      </c>
      <c r="O43" s="40" t="s">
        <v>123</v>
      </c>
      <c r="P43" s="39"/>
      <c r="Q43" s="39"/>
      <c r="R43" s="39"/>
    </row>
    <row r="44" spans="1:18" ht="15.75" customHeight="1" x14ac:dyDescent="0.2">
      <c r="A44" s="25"/>
      <c r="B44" s="58"/>
      <c r="C44" s="58"/>
      <c r="D44" s="57" t="s">
        <v>124</v>
      </c>
      <c r="E44" s="19" t="s">
        <v>125</v>
      </c>
      <c r="F44" s="20" t="s">
        <v>8</v>
      </c>
      <c r="G44" s="20" t="s">
        <v>9</v>
      </c>
      <c r="H44" s="21" t="s">
        <v>34</v>
      </c>
      <c r="I44" s="22">
        <f t="shared" si="0"/>
        <v>1</v>
      </c>
      <c r="J44" s="22">
        <f t="shared" si="1"/>
        <v>0</v>
      </c>
      <c r="K44" s="22">
        <f t="shared" si="2"/>
        <v>0</v>
      </c>
      <c r="L44" s="22">
        <f t="shared" si="3"/>
        <v>0</v>
      </c>
      <c r="M44" s="22">
        <f t="shared" si="4"/>
        <v>0</v>
      </c>
      <c r="N44" s="23">
        <f>IF(F44="цифровой",IF(AND(#REF!="цифровой",OR(#REF!=1,#REF!="")),"",1),0)</f>
        <v>0</v>
      </c>
      <c r="O44" s="40" t="s">
        <v>126</v>
      </c>
      <c r="P44" s="39"/>
      <c r="Q44" s="40" t="s">
        <v>127</v>
      </c>
      <c r="R44" s="39"/>
    </row>
    <row r="45" spans="1:18" ht="15.75" customHeight="1" thickBot="1" x14ac:dyDescent="0.25">
      <c r="A45" s="25"/>
      <c r="B45" s="58"/>
      <c r="C45" s="58"/>
      <c r="D45" s="59"/>
      <c r="E45" s="34" t="s">
        <v>128</v>
      </c>
      <c r="F45" s="35" t="s">
        <v>8</v>
      </c>
      <c r="G45" s="35" t="s">
        <v>9</v>
      </c>
      <c r="H45" s="36" t="s">
        <v>34</v>
      </c>
      <c r="I45" s="37">
        <f t="shared" si="0"/>
        <v>1</v>
      </c>
      <c r="J45" s="37">
        <f t="shared" si="1"/>
        <v>0</v>
      </c>
      <c r="K45" s="37">
        <f t="shared" si="2"/>
        <v>0</v>
      </c>
      <c r="L45" s="37">
        <f t="shared" si="3"/>
        <v>0</v>
      </c>
      <c r="M45" s="37">
        <f t="shared" si="4"/>
        <v>0</v>
      </c>
      <c r="N45" s="38">
        <f>IF(F45="цифровой",IF(AND(F36="цифровой",OR(N36=1,N36="")),"",1),0)</f>
        <v>0</v>
      </c>
      <c r="O45" s="40" t="s">
        <v>129</v>
      </c>
      <c r="P45" s="39"/>
      <c r="Q45" s="39"/>
      <c r="R45" s="39"/>
    </row>
    <row r="46" spans="1:18" ht="15.75" customHeight="1" x14ac:dyDescent="0.2">
      <c r="A46" s="25"/>
      <c r="B46" s="58"/>
      <c r="C46" s="58"/>
      <c r="D46" s="57" t="s">
        <v>130</v>
      </c>
      <c r="E46" s="19" t="s">
        <v>131</v>
      </c>
      <c r="F46" s="20" t="s">
        <v>8</v>
      </c>
      <c r="G46" s="20" t="s">
        <v>9</v>
      </c>
      <c r="H46" s="21" t="s">
        <v>34</v>
      </c>
      <c r="I46" s="22">
        <f t="shared" si="0"/>
        <v>1</v>
      </c>
      <c r="J46" s="22">
        <f t="shared" si="1"/>
        <v>0</v>
      </c>
      <c r="K46" s="22">
        <f t="shared" si="2"/>
        <v>0</v>
      </c>
      <c r="L46" s="22">
        <f t="shared" si="3"/>
        <v>0</v>
      </c>
      <c r="M46" s="22">
        <f t="shared" si="4"/>
        <v>0</v>
      </c>
      <c r="N46" s="23">
        <f>IF(F46="цифровой",IF(AND(#REF!="цифровой",OR(#REF!=1,#REF!="")),"",1),0)</f>
        <v>0</v>
      </c>
      <c r="O46" s="40" t="s">
        <v>132</v>
      </c>
      <c r="P46" s="39"/>
      <c r="Q46" s="40" t="s">
        <v>133</v>
      </c>
      <c r="R46" s="39"/>
    </row>
    <row r="47" spans="1:18" ht="15.75" customHeight="1" thickBot="1" x14ac:dyDescent="0.25">
      <c r="A47" s="25"/>
      <c r="B47" s="58"/>
      <c r="C47" s="58"/>
      <c r="D47" s="59"/>
      <c r="E47" s="34" t="s">
        <v>134</v>
      </c>
      <c r="F47" s="35" t="s">
        <v>8</v>
      </c>
      <c r="G47" s="35" t="s">
        <v>9</v>
      </c>
      <c r="H47" s="36" t="s">
        <v>34</v>
      </c>
      <c r="I47" s="37">
        <f t="shared" si="0"/>
        <v>1</v>
      </c>
      <c r="J47" s="37">
        <f t="shared" si="1"/>
        <v>0</v>
      </c>
      <c r="K47" s="37">
        <f t="shared" si="2"/>
        <v>0</v>
      </c>
      <c r="L47" s="37">
        <f t="shared" si="3"/>
        <v>0</v>
      </c>
      <c r="M47" s="37">
        <f t="shared" si="4"/>
        <v>0</v>
      </c>
      <c r="N47" s="38">
        <f t="shared" ref="N47:N48" si="15">IF(F47="цифровой",IF(AND(F38="цифровой",OR(N38=1,N38="")),"",1),0)</f>
        <v>0</v>
      </c>
      <c r="O47" s="40" t="s">
        <v>135</v>
      </c>
      <c r="P47" s="39"/>
      <c r="Q47" s="40" t="s">
        <v>136</v>
      </c>
      <c r="R47" s="39"/>
    </row>
    <row r="48" spans="1:18" ht="15.75" customHeight="1" thickBot="1" x14ac:dyDescent="0.25">
      <c r="A48" s="32"/>
      <c r="B48" s="59"/>
      <c r="C48" s="59"/>
      <c r="D48" s="41"/>
      <c r="E48" s="51" t="s">
        <v>137</v>
      </c>
      <c r="F48" s="52" t="s">
        <v>8</v>
      </c>
      <c r="G48" s="52" t="s">
        <v>9</v>
      </c>
      <c r="H48" s="51" t="s">
        <v>32</v>
      </c>
      <c r="I48" s="53">
        <f t="shared" si="0"/>
        <v>1</v>
      </c>
      <c r="J48" s="53">
        <f t="shared" si="1"/>
        <v>0</v>
      </c>
      <c r="K48" s="53">
        <f t="shared" si="2"/>
        <v>0</v>
      </c>
      <c r="L48" s="53">
        <f t="shared" si="3"/>
        <v>0</v>
      </c>
      <c r="M48" s="53">
        <f t="shared" si="4"/>
        <v>0</v>
      </c>
      <c r="N48" s="54">
        <f t="shared" si="15"/>
        <v>0</v>
      </c>
      <c r="O48" s="40" t="s">
        <v>138</v>
      </c>
      <c r="P48" s="39"/>
      <c r="Q48" s="40" t="s">
        <v>139</v>
      </c>
      <c r="R48" s="39"/>
    </row>
    <row r="49" spans="1:18" ht="15.75" customHeight="1" thickBot="1" x14ac:dyDescent="0.25">
      <c r="A49" s="42"/>
      <c r="B49" s="55" t="s">
        <v>24</v>
      </c>
      <c r="C49" s="43" t="s">
        <v>140</v>
      </c>
      <c r="D49" s="44"/>
      <c r="E49" s="49" t="s">
        <v>141</v>
      </c>
      <c r="F49" s="46" t="s">
        <v>8</v>
      </c>
      <c r="G49" s="46" t="s">
        <v>9</v>
      </c>
      <c r="H49" s="45" t="s">
        <v>34</v>
      </c>
      <c r="I49" s="47">
        <f t="shared" si="0"/>
        <v>1</v>
      </c>
      <c r="J49" s="47">
        <f t="shared" si="1"/>
        <v>0</v>
      </c>
      <c r="K49" s="47">
        <f t="shared" si="2"/>
        <v>0</v>
      </c>
      <c r="L49" s="47">
        <f t="shared" si="3"/>
        <v>0</v>
      </c>
      <c r="M49" s="47">
        <f t="shared" si="4"/>
        <v>0</v>
      </c>
      <c r="N49" s="48">
        <f t="shared" ref="N49:N50" si="16">IF(F49="цифровой",IF(AND(F48="цифровой",OR(N48=1,N48="")),"",1),0)</f>
        <v>0</v>
      </c>
      <c r="O49" s="40" t="s">
        <v>142</v>
      </c>
      <c r="P49" s="39"/>
      <c r="Q49" s="40" t="s">
        <v>143</v>
      </c>
      <c r="R49" s="39"/>
    </row>
    <row r="50" spans="1:18" ht="15.75" customHeight="1" x14ac:dyDescent="0.2">
      <c r="A50" s="17"/>
      <c r="B50" s="61" t="s">
        <v>24</v>
      </c>
      <c r="C50" s="60" t="s">
        <v>55</v>
      </c>
      <c r="D50" s="18"/>
      <c r="E50" s="19" t="s">
        <v>56</v>
      </c>
      <c r="F50" s="20" t="s">
        <v>8</v>
      </c>
      <c r="G50" s="20" t="s">
        <v>9</v>
      </c>
      <c r="H50" s="21" t="s">
        <v>32</v>
      </c>
      <c r="I50" s="22">
        <f t="shared" si="0"/>
        <v>1</v>
      </c>
      <c r="J50" s="22">
        <f t="shared" si="1"/>
        <v>0</v>
      </c>
      <c r="K50" s="22">
        <f t="shared" si="2"/>
        <v>0</v>
      </c>
      <c r="L50" s="22">
        <f t="shared" si="3"/>
        <v>0</v>
      </c>
      <c r="M50" s="22">
        <f t="shared" si="4"/>
        <v>0</v>
      </c>
      <c r="N50" s="23">
        <f t="shared" si="16"/>
        <v>0</v>
      </c>
      <c r="O50" s="39"/>
      <c r="P50" s="39"/>
      <c r="Q50" s="39"/>
      <c r="R50" s="39"/>
    </row>
    <row r="51" spans="1:18" ht="15.75" customHeight="1" x14ac:dyDescent="0.2">
      <c r="A51" s="25"/>
      <c r="B51" s="58"/>
      <c r="C51" s="58"/>
      <c r="D51" s="26"/>
      <c r="E51" s="27" t="s">
        <v>57</v>
      </c>
      <c r="F51" s="28" t="s">
        <v>8</v>
      </c>
      <c r="G51" s="28" t="s">
        <v>9</v>
      </c>
      <c r="H51" s="29" t="s">
        <v>32</v>
      </c>
      <c r="I51" s="30">
        <f t="shared" si="0"/>
        <v>1</v>
      </c>
      <c r="J51" s="30">
        <f t="shared" si="1"/>
        <v>0</v>
      </c>
      <c r="K51" s="30">
        <f t="shared" si="2"/>
        <v>0</v>
      </c>
      <c r="L51" s="30">
        <f t="shared" si="3"/>
        <v>0</v>
      </c>
      <c r="M51" s="30">
        <f t="shared" si="4"/>
        <v>0</v>
      </c>
      <c r="N51" s="31">
        <f t="shared" ref="N51:N55" si="17">IF(F51="цифровой",IF(AND(#REF!="цифровой",OR(#REF!=1,#REF!="")),"",1),0)</f>
        <v>0</v>
      </c>
      <c r="O51" s="39"/>
      <c r="P51" s="39"/>
      <c r="Q51" s="39"/>
      <c r="R51" s="39"/>
    </row>
    <row r="52" spans="1:18" ht="15.75" customHeight="1" x14ac:dyDescent="0.2">
      <c r="A52" s="25"/>
      <c r="B52" s="58"/>
      <c r="C52" s="58"/>
      <c r="D52" s="26"/>
      <c r="E52" s="27" t="s">
        <v>58</v>
      </c>
      <c r="F52" s="28" t="s">
        <v>8</v>
      </c>
      <c r="G52" s="28" t="s">
        <v>9</v>
      </c>
      <c r="H52" s="29" t="s">
        <v>32</v>
      </c>
      <c r="I52" s="30">
        <f t="shared" si="0"/>
        <v>1</v>
      </c>
      <c r="J52" s="30">
        <f t="shared" si="1"/>
        <v>0</v>
      </c>
      <c r="K52" s="30">
        <f t="shared" si="2"/>
        <v>0</v>
      </c>
      <c r="L52" s="30">
        <f t="shared" si="3"/>
        <v>0</v>
      </c>
      <c r="M52" s="30">
        <f t="shared" si="4"/>
        <v>0</v>
      </c>
      <c r="N52" s="31">
        <f t="shared" si="17"/>
        <v>0</v>
      </c>
      <c r="O52" s="39"/>
      <c r="P52" s="39"/>
      <c r="Q52" s="39"/>
      <c r="R52" s="39"/>
    </row>
    <row r="53" spans="1:18" ht="15.75" customHeight="1" x14ac:dyDescent="0.2">
      <c r="A53" s="25"/>
      <c r="B53" s="58"/>
      <c r="C53" s="58"/>
      <c r="D53" s="26"/>
      <c r="E53" s="27" t="s">
        <v>59</v>
      </c>
      <c r="F53" s="28" t="s">
        <v>8</v>
      </c>
      <c r="G53" s="28" t="s">
        <v>9</v>
      </c>
      <c r="H53" s="29" t="s">
        <v>32</v>
      </c>
      <c r="I53" s="30">
        <f t="shared" si="0"/>
        <v>1</v>
      </c>
      <c r="J53" s="30">
        <f t="shared" si="1"/>
        <v>0</v>
      </c>
      <c r="K53" s="30">
        <f t="shared" si="2"/>
        <v>0</v>
      </c>
      <c r="L53" s="30">
        <f t="shared" si="3"/>
        <v>0</v>
      </c>
      <c r="M53" s="30">
        <f t="shared" si="4"/>
        <v>0</v>
      </c>
      <c r="N53" s="31">
        <f t="shared" si="17"/>
        <v>0</v>
      </c>
      <c r="O53" s="39"/>
      <c r="P53" s="39"/>
      <c r="Q53" s="39"/>
      <c r="R53" s="39"/>
    </row>
    <row r="54" spans="1:18" ht="15.75" customHeight="1" x14ac:dyDescent="0.2">
      <c r="A54" s="25"/>
      <c r="B54" s="58"/>
      <c r="C54" s="58"/>
      <c r="D54" s="26"/>
      <c r="E54" s="27" t="s">
        <v>60</v>
      </c>
      <c r="F54" s="28" t="s">
        <v>8</v>
      </c>
      <c r="G54" s="28" t="s">
        <v>9</v>
      </c>
      <c r="H54" s="29" t="s">
        <v>32</v>
      </c>
      <c r="I54" s="30">
        <f t="shared" si="0"/>
        <v>1</v>
      </c>
      <c r="J54" s="30">
        <f t="shared" si="1"/>
        <v>0</v>
      </c>
      <c r="K54" s="30">
        <f t="shared" si="2"/>
        <v>0</v>
      </c>
      <c r="L54" s="30">
        <f t="shared" si="3"/>
        <v>0</v>
      </c>
      <c r="M54" s="30">
        <f t="shared" si="4"/>
        <v>0</v>
      </c>
      <c r="N54" s="31">
        <f t="shared" si="17"/>
        <v>0</v>
      </c>
      <c r="O54" s="39"/>
      <c r="P54" s="39"/>
      <c r="Q54" s="39"/>
      <c r="R54" s="39"/>
    </row>
    <row r="55" spans="1:18" ht="15.75" customHeight="1" x14ac:dyDescent="0.2">
      <c r="A55" s="25"/>
      <c r="B55" s="58"/>
      <c r="C55" s="58"/>
      <c r="D55" s="26"/>
      <c r="E55" s="27" t="s">
        <v>61</v>
      </c>
      <c r="F55" s="28" t="s">
        <v>8</v>
      </c>
      <c r="G55" s="28" t="s">
        <v>9</v>
      </c>
      <c r="H55" s="29" t="s">
        <v>32</v>
      </c>
      <c r="I55" s="30">
        <f t="shared" si="0"/>
        <v>1</v>
      </c>
      <c r="J55" s="30">
        <f t="shared" si="1"/>
        <v>0</v>
      </c>
      <c r="K55" s="30">
        <f t="shared" si="2"/>
        <v>0</v>
      </c>
      <c r="L55" s="30">
        <f t="shared" si="3"/>
        <v>0</v>
      </c>
      <c r="M55" s="30">
        <f t="shared" si="4"/>
        <v>0</v>
      </c>
      <c r="N55" s="31">
        <f t="shared" si="17"/>
        <v>0</v>
      </c>
      <c r="O55" s="39"/>
      <c r="P55" s="39"/>
      <c r="Q55" s="39"/>
      <c r="R55" s="39"/>
    </row>
    <row r="56" spans="1:18" ht="15.75" customHeight="1" x14ac:dyDescent="0.2">
      <c r="A56" s="25"/>
      <c r="B56" s="58"/>
      <c r="C56" s="58"/>
      <c r="D56" s="26"/>
      <c r="E56" s="27" t="s">
        <v>62</v>
      </c>
      <c r="F56" s="28" t="s">
        <v>8</v>
      </c>
      <c r="G56" s="28" t="s">
        <v>9</v>
      </c>
      <c r="H56" s="29" t="s">
        <v>32</v>
      </c>
      <c r="I56" s="30">
        <f t="shared" si="0"/>
        <v>1</v>
      </c>
      <c r="J56" s="30">
        <f t="shared" si="1"/>
        <v>0</v>
      </c>
      <c r="K56" s="30">
        <f t="shared" si="2"/>
        <v>0</v>
      </c>
      <c r="L56" s="30">
        <f t="shared" si="3"/>
        <v>0</v>
      </c>
      <c r="M56" s="30">
        <f t="shared" si="4"/>
        <v>0</v>
      </c>
      <c r="N56" s="31">
        <f>IF(F56="цифровой",IF(AND(F54="цифровой",OR(N54=1,N54="")),"",1),0)</f>
        <v>0</v>
      </c>
      <c r="O56" s="39"/>
      <c r="P56" s="39"/>
      <c r="Q56" s="39"/>
      <c r="R56" s="39"/>
    </row>
    <row r="57" spans="1:18" ht="15.75" customHeight="1" x14ac:dyDescent="0.2">
      <c r="A57" s="25"/>
      <c r="B57" s="58"/>
      <c r="C57" s="58"/>
      <c r="D57" s="26"/>
      <c r="E57" s="27" t="s">
        <v>63</v>
      </c>
      <c r="F57" s="28" t="s">
        <v>8</v>
      </c>
      <c r="G57" s="28" t="s">
        <v>9</v>
      </c>
      <c r="H57" s="29" t="s">
        <v>32</v>
      </c>
      <c r="I57" s="30">
        <f t="shared" si="0"/>
        <v>1</v>
      </c>
      <c r="J57" s="30">
        <f t="shared" si="1"/>
        <v>0</v>
      </c>
      <c r="K57" s="30">
        <f t="shared" si="2"/>
        <v>0</v>
      </c>
      <c r="L57" s="30">
        <f t="shared" si="3"/>
        <v>0</v>
      </c>
      <c r="M57" s="30">
        <f t="shared" si="4"/>
        <v>0</v>
      </c>
      <c r="N57" s="31">
        <f>IF(F57="цифровой",IF(AND(#REF!="цифровой",OR(#REF!=1,#REF!="")),"",1),0)</f>
        <v>0</v>
      </c>
      <c r="O57" s="39"/>
      <c r="P57" s="39"/>
      <c r="Q57" s="39"/>
      <c r="R57" s="39"/>
    </row>
    <row r="58" spans="1:18" ht="15.75" customHeight="1" thickBot="1" x14ac:dyDescent="0.25">
      <c r="A58" s="32"/>
      <c r="B58" s="59"/>
      <c r="C58" s="59"/>
      <c r="D58" s="33"/>
      <c r="E58" s="34" t="s">
        <v>64</v>
      </c>
      <c r="F58" s="35" t="s">
        <v>8</v>
      </c>
      <c r="G58" s="35" t="s">
        <v>9</v>
      </c>
      <c r="H58" s="36" t="s">
        <v>32</v>
      </c>
      <c r="I58" s="37">
        <f t="shared" si="0"/>
        <v>1</v>
      </c>
      <c r="J58" s="37">
        <f t="shared" si="1"/>
        <v>0</v>
      </c>
      <c r="K58" s="37">
        <f t="shared" si="2"/>
        <v>0</v>
      </c>
      <c r="L58" s="37">
        <f t="shared" si="3"/>
        <v>0</v>
      </c>
      <c r="M58" s="37">
        <f t="shared" si="4"/>
        <v>0</v>
      </c>
      <c r="N58" s="38">
        <f>IF(F58="цифровой",IF(AND(F54="цифровой",OR(N54=1,N54="")),"",1),0)</f>
        <v>0</v>
      </c>
      <c r="O58" s="39"/>
      <c r="P58" s="39"/>
      <c r="Q58" s="39"/>
      <c r="R58" s="39"/>
    </row>
    <row r="59" spans="1:18" ht="15.75" customHeight="1" x14ac:dyDescent="0.2"/>
    <row r="60" spans="1:18" ht="15.75" customHeight="1" x14ac:dyDescent="0.2"/>
    <row r="61" spans="1:18" ht="15.75" customHeight="1" x14ac:dyDescent="0.2"/>
    <row r="62" spans="1:18" ht="15.75" customHeight="1" x14ac:dyDescent="0.2"/>
    <row r="63" spans="1:18" ht="15.75" customHeight="1" x14ac:dyDescent="0.2"/>
    <row r="64" spans="1:18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spans="22:22" ht="15.75" customHeight="1" x14ac:dyDescent="0.2"/>
    <row r="850" spans="22:22" ht="15.75" customHeight="1" x14ac:dyDescent="0.2"/>
    <row r="851" spans="22:22" ht="15.75" customHeight="1" x14ac:dyDescent="0.2"/>
    <row r="852" spans="22:22" ht="15.75" customHeight="1" x14ac:dyDescent="0.2"/>
    <row r="853" spans="22:22" ht="15.75" customHeight="1" x14ac:dyDescent="0.2"/>
    <row r="854" spans="22:22" ht="15.75" customHeight="1" x14ac:dyDescent="0.2"/>
    <row r="855" spans="22:22" ht="15.75" customHeight="1" x14ac:dyDescent="0.2"/>
    <row r="856" spans="22:22" ht="15.75" customHeight="1" x14ac:dyDescent="0.2"/>
    <row r="857" spans="22:22" ht="15.75" customHeight="1" x14ac:dyDescent="0.2"/>
    <row r="858" spans="22:22" ht="15.75" customHeight="1" x14ac:dyDescent="0.2"/>
    <row r="859" spans="22:22" ht="15.75" customHeight="1" x14ac:dyDescent="0.2"/>
    <row r="860" spans="22:22" ht="15.75" customHeight="1" x14ac:dyDescent="0.2">
      <c r="V860" s="40">
        <v>1</v>
      </c>
    </row>
    <row r="861" spans="22:22" ht="15.75" customHeight="1" x14ac:dyDescent="0.2"/>
    <row r="862" spans="22:22" ht="15.75" customHeight="1" x14ac:dyDescent="0.2"/>
    <row r="863" spans="22:22" ht="15.75" customHeight="1" x14ac:dyDescent="0.2"/>
    <row r="864" spans="22:22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  <row r="1025" ht="15.75" customHeight="1" x14ac:dyDescent="0.2"/>
    <row r="1026" ht="15.75" customHeight="1" x14ac:dyDescent="0.2"/>
    <row r="1027" ht="15.75" customHeight="1" x14ac:dyDescent="0.2"/>
    <row r="1028" ht="15.75" customHeight="1" x14ac:dyDescent="0.2"/>
    <row r="1029" ht="15.75" customHeight="1" x14ac:dyDescent="0.2"/>
    <row r="1030" ht="15.75" customHeight="1" x14ac:dyDescent="0.2"/>
    <row r="1031" ht="15.75" customHeight="1" x14ac:dyDescent="0.2"/>
    <row r="1032" ht="15.75" customHeight="1" x14ac:dyDescent="0.2"/>
    <row r="1034" ht="15.75" customHeight="1" x14ac:dyDescent="0.2"/>
    <row r="1035" ht="15.75" customHeight="1" x14ac:dyDescent="0.2"/>
    <row r="1036" ht="15.75" customHeight="1" x14ac:dyDescent="0.2"/>
    <row r="1037" ht="15.75" customHeight="1" x14ac:dyDescent="0.2"/>
    <row r="1038" ht="15.75" customHeight="1" x14ac:dyDescent="0.2"/>
    <row r="1039" ht="15.75" customHeight="1" x14ac:dyDescent="0.2"/>
    <row r="1040" ht="15.75" customHeight="1" x14ac:dyDescent="0.2"/>
    <row r="1041" ht="15.75" customHeight="1" x14ac:dyDescent="0.2"/>
    <row r="1042" ht="15.75" customHeight="1" x14ac:dyDescent="0.2"/>
    <row r="1043" ht="15.75" customHeight="1" x14ac:dyDescent="0.2"/>
    <row r="1044" ht="15.75" customHeight="1" x14ac:dyDescent="0.2"/>
    <row r="1045" ht="15.75" customHeight="1" x14ac:dyDescent="0.2"/>
    <row r="1046" ht="15.75" customHeight="1" x14ac:dyDescent="0.2"/>
    <row r="1047" ht="15.75" customHeight="1" x14ac:dyDescent="0.2"/>
    <row r="1048" ht="15.75" customHeight="1" x14ac:dyDescent="0.2"/>
    <row r="1049" ht="15.75" customHeight="1" x14ac:dyDescent="0.2"/>
    <row r="1050" ht="15.75" customHeight="1" x14ac:dyDescent="0.2"/>
    <row r="1051" ht="15.75" customHeight="1" x14ac:dyDescent="0.2"/>
    <row r="1052" ht="15.75" customHeight="1" x14ac:dyDescent="0.2"/>
    <row r="1053" ht="15.75" customHeight="1" x14ac:dyDescent="0.2"/>
    <row r="1054" ht="15.75" customHeight="1" x14ac:dyDescent="0.2"/>
    <row r="1055" ht="15.75" customHeight="1" x14ac:dyDescent="0.2"/>
    <row r="1056" ht="15.75" customHeight="1" x14ac:dyDescent="0.2"/>
    <row r="1057" ht="15.75" customHeight="1" x14ac:dyDescent="0.2"/>
    <row r="1058" ht="15.75" customHeight="1" x14ac:dyDescent="0.2"/>
    <row r="1059" ht="15.75" customHeight="1" x14ac:dyDescent="0.2"/>
    <row r="1060" ht="15.75" customHeight="1" x14ac:dyDescent="0.2"/>
    <row r="1061" ht="15.75" customHeight="1" x14ac:dyDescent="0.2"/>
    <row r="1062" ht="15.75" customHeight="1" x14ac:dyDescent="0.2"/>
    <row r="1063" ht="15.75" customHeight="1" x14ac:dyDescent="0.2"/>
    <row r="1064" ht="15.75" customHeight="1" x14ac:dyDescent="0.2"/>
    <row r="1065" ht="15.75" customHeight="1" x14ac:dyDescent="0.2"/>
    <row r="1066" ht="15.75" customHeight="1" x14ac:dyDescent="0.2"/>
    <row r="1067" ht="15.75" customHeight="1" x14ac:dyDescent="0.2"/>
    <row r="1068" ht="15.75" customHeight="1" x14ac:dyDescent="0.2"/>
    <row r="1069" ht="15.75" customHeight="1" x14ac:dyDescent="0.2"/>
    <row r="1070" ht="15.75" customHeight="1" x14ac:dyDescent="0.2"/>
    <row r="1071" ht="15.75" customHeight="1" x14ac:dyDescent="0.2"/>
    <row r="1072" ht="15.75" customHeight="1" x14ac:dyDescent="0.2"/>
    <row r="1073" ht="15.75" customHeight="1" x14ac:dyDescent="0.2"/>
    <row r="1074" ht="15.75" customHeight="1" x14ac:dyDescent="0.2"/>
    <row r="1075" ht="15.75" customHeight="1" x14ac:dyDescent="0.2"/>
    <row r="1076" ht="15.75" customHeight="1" x14ac:dyDescent="0.2"/>
    <row r="1077" ht="15.75" customHeight="1" x14ac:dyDescent="0.2"/>
    <row r="1078" ht="15.75" customHeight="1" x14ac:dyDescent="0.2"/>
    <row r="1079" ht="15.75" customHeight="1" x14ac:dyDescent="0.2"/>
    <row r="1080" ht="15.75" customHeight="1" x14ac:dyDescent="0.2"/>
    <row r="1081" ht="15.75" customHeight="1" x14ac:dyDescent="0.2"/>
    <row r="1082" ht="15.75" customHeight="1" x14ac:dyDescent="0.2"/>
    <row r="1083" ht="15.75" customHeight="1" x14ac:dyDescent="0.2"/>
    <row r="1084" ht="15.75" customHeight="1" x14ac:dyDescent="0.2"/>
    <row r="1085" ht="15.75" customHeight="1" x14ac:dyDescent="0.2"/>
    <row r="1086" ht="15.75" customHeight="1" x14ac:dyDescent="0.2"/>
    <row r="1087" ht="15.75" customHeight="1" x14ac:dyDescent="0.2"/>
    <row r="1088" ht="15.75" customHeight="1" x14ac:dyDescent="0.2"/>
    <row r="1089" ht="15.75" customHeight="1" x14ac:dyDescent="0.2"/>
    <row r="1090" ht="15.75" customHeight="1" x14ac:dyDescent="0.2"/>
    <row r="1091" ht="15.75" customHeight="1" x14ac:dyDescent="0.2"/>
    <row r="1092" ht="15.75" customHeight="1" x14ac:dyDescent="0.2"/>
    <row r="1093" ht="15.75" customHeight="1" x14ac:dyDescent="0.2"/>
    <row r="1094" ht="15.75" customHeight="1" x14ac:dyDescent="0.2"/>
    <row r="1095" ht="15.75" customHeight="1" x14ac:dyDescent="0.2"/>
    <row r="1096" ht="15.75" customHeight="1" x14ac:dyDescent="0.2"/>
    <row r="1097" ht="15.75" customHeight="1" x14ac:dyDescent="0.2"/>
    <row r="1098" ht="15.75" customHeight="1" x14ac:dyDescent="0.2"/>
    <row r="1099" ht="15.75" customHeight="1" x14ac:dyDescent="0.2"/>
    <row r="1100" ht="15.75" customHeight="1" x14ac:dyDescent="0.2"/>
    <row r="1101" ht="15.75" customHeight="1" x14ac:dyDescent="0.2"/>
    <row r="1102" ht="15.75" customHeight="1" x14ac:dyDescent="0.2"/>
    <row r="1103" ht="15.75" customHeight="1" x14ac:dyDescent="0.2"/>
    <row r="1104" ht="15.75" customHeight="1" x14ac:dyDescent="0.2"/>
    <row r="1105" ht="15.75" customHeight="1" x14ac:dyDescent="0.2"/>
    <row r="1106" ht="15.75" customHeight="1" x14ac:dyDescent="0.2"/>
    <row r="1107" ht="15.75" customHeight="1" x14ac:dyDescent="0.2"/>
    <row r="1108" ht="15.75" customHeight="1" x14ac:dyDescent="0.2"/>
    <row r="1109" ht="15.75" customHeight="1" x14ac:dyDescent="0.2"/>
    <row r="1110" ht="15.75" customHeight="1" x14ac:dyDescent="0.2"/>
    <row r="1111" ht="15.75" customHeight="1" x14ac:dyDescent="0.2"/>
    <row r="1112" ht="15.75" customHeight="1" x14ac:dyDescent="0.2"/>
    <row r="1113" ht="15.75" customHeight="1" x14ac:dyDescent="0.2"/>
    <row r="1114" ht="15.75" customHeight="1" x14ac:dyDescent="0.2"/>
    <row r="1115" ht="15.75" customHeight="1" x14ac:dyDescent="0.2"/>
    <row r="1116" ht="15.75" customHeight="1" x14ac:dyDescent="0.2"/>
    <row r="1117" ht="15.75" customHeight="1" x14ac:dyDescent="0.2"/>
    <row r="1118" ht="15.75" customHeight="1" x14ac:dyDescent="0.2"/>
    <row r="1119" ht="15.75" customHeight="1" x14ac:dyDescent="0.2"/>
    <row r="1120" ht="15.75" customHeight="1" x14ac:dyDescent="0.2"/>
    <row r="1121" ht="15.75" customHeight="1" x14ac:dyDescent="0.2"/>
    <row r="1122" ht="15.75" customHeight="1" x14ac:dyDescent="0.2"/>
    <row r="1123" ht="15.75" customHeight="1" x14ac:dyDescent="0.2"/>
    <row r="1124" ht="15.75" customHeight="1" x14ac:dyDescent="0.2"/>
    <row r="1125" ht="15.75" customHeight="1" x14ac:dyDescent="0.2"/>
    <row r="1126" ht="15.75" customHeight="1" x14ac:dyDescent="0.2"/>
    <row r="1127" ht="15.75" customHeight="1" x14ac:dyDescent="0.2"/>
    <row r="1128" ht="15.75" customHeight="1" x14ac:dyDescent="0.2"/>
    <row r="1129" ht="15.75" customHeight="1" x14ac:dyDescent="0.2"/>
    <row r="1130" ht="15.75" customHeight="1" x14ac:dyDescent="0.2"/>
    <row r="1131" ht="15.75" customHeight="1" x14ac:dyDescent="0.2"/>
    <row r="1132" ht="15.75" customHeight="1" x14ac:dyDescent="0.2"/>
    <row r="1133" ht="15.75" customHeight="1" x14ac:dyDescent="0.2"/>
    <row r="1134" ht="15.75" customHeight="1" x14ac:dyDescent="0.2"/>
    <row r="1135" ht="15.75" customHeight="1" x14ac:dyDescent="0.2"/>
    <row r="1136" ht="15.75" customHeight="1" x14ac:dyDescent="0.2"/>
    <row r="1137" ht="15.75" customHeight="1" x14ac:dyDescent="0.2"/>
    <row r="1138" ht="15.75" customHeight="1" x14ac:dyDescent="0.2"/>
    <row r="1139" ht="15.75" customHeight="1" x14ac:dyDescent="0.2"/>
    <row r="1140" ht="15.75" customHeight="1" x14ac:dyDescent="0.2"/>
    <row r="1141" ht="15.75" customHeight="1" x14ac:dyDescent="0.2"/>
    <row r="1142" ht="15.75" customHeight="1" x14ac:dyDescent="0.2"/>
    <row r="1143" ht="15.75" customHeight="1" x14ac:dyDescent="0.2"/>
    <row r="1144" ht="15.75" customHeight="1" x14ac:dyDescent="0.2"/>
    <row r="1145" ht="15.75" customHeight="1" x14ac:dyDescent="0.2"/>
    <row r="1146" ht="15.75" customHeight="1" x14ac:dyDescent="0.2"/>
    <row r="1147" ht="15.75" customHeight="1" x14ac:dyDescent="0.2"/>
    <row r="1148" ht="15.75" customHeight="1" x14ac:dyDescent="0.2"/>
    <row r="1149" ht="15.75" customHeight="1" x14ac:dyDescent="0.2"/>
    <row r="1150" ht="15.75" customHeight="1" x14ac:dyDescent="0.2"/>
    <row r="1151" ht="15.75" customHeight="1" x14ac:dyDescent="0.2"/>
    <row r="1152" ht="15.75" customHeight="1" x14ac:dyDescent="0.2"/>
    <row r="1153" ht="15.75" customHeight="1" x14ac:dyDescent="0.2"/>
    <row r="1154" ht="15.75" customHeight="1" x14ac:dyDescent="0.2"/>
    <row r="1155" ht="15.75" customHeight="1" x14ac:dyDescent="0.2"/>
    <row r="1156" ht="15.75" customHeight="1" x14ac:dyDescent="0.2"/>
    <row r="1157" ht="15.75" customHeight="1" x14ac:dyDescent="0.2"/>
    <row r="1158" ht="15.75" customHeight="1" x14ac:dyDescent="0.2"/>
    <row r="1159" ht="15.75" customHeight="1" x14ac:dyDescent="0.2"/>
    <row r="1160" ht="15.75" customHeight="1" x14ac:dyDescent="0.2"/>
    <row r="1161" ht="15.75" customHeight="1" x14ac:dyDescent="0.2"/>
    <row r="1162" ht="15.75" customHeight="1" x14ac:dyDescent="0.2"/>
    <row r="1163" ht="15.75" customHeight="1" x14ac:dyDescent="0.2"/>
    <row r="1164" ht="15.75" customHeight="1" x14ac:dyDescent="0.2"/>
    <row r="1165" ht="15.75" customHeight="1" x14ac:dyDescent="0.2"/>
    <row r="1166" ht="15.75" customHeight="1" x14ac:dyDescent="0.2"/>
    <row r="1167" ht="15.75" customHeight="1" x14ac:dyDescent="0.2"/>
    <row r="1168" ht="15.75" customHeight="1" x14ac:dyDescent="0.2"/>
    <row r="1169" ht="15.75" customHeight="1" x14ac:dyDescent="0.2"/>
    <row r="1170" ht="15.75" customHeight="1" x14ac:dyDescent="0.2"/>
    <row r="1171" ht="15.75" customHeight="1" x14ac:dyDescent="0.2"/>
    <row r="1172" ht="15.75" customHeight="1" x14ac:dyDescent="0.2"/>
    <row r="1173" ht="15.75" customHeight="1" x14ac:dyDescent="0.2"/>
    <row r="1175" ht="15.75" customHeight="1" x14ac:dyDescent="0.2"/>
    <row r="1176" ht="15.75" customHeight="1" x14ac:dyDescent="0.2"/>
    <row r="1177" ht="15.75" customHeight="1" x14ac:dyDescent="0.2"/>
    <row r="1178" ht="15.75" customHeight="1" x14ac:dyDescent="0.2"/>
    <row r="1179" ht="15.75" customHeight="1" x14ac:dyDescent="0.2"/>
    <row r="1180" ht="15.75" customHeight="1" x14ac:dyDescent="0.2"/>
    <row r="1181" ht="15.75" customHeight="1" x14ac:dyDescent="0.2"/>
    <row r="1182" ht="15.75" customHeight="1" x14ac:dyDescent="0.2"/>
    <row r="1183" ht="15.75" customHeight="1" x14ac:dyDescent="0.2"/>
    <row r="1184" ht="15.75" customHeight="1" x14ac:dyDescent="0.2"/>
    <row r="1185" ht="15.75" customHeight="1" x14ac:dyDescent="0.2"/>
    <row r="1186" ht="15.75" customHeight="1" x14ac:dyDescent="0.2"/>
    <row r="1187" ht="15.75" customHeight="1" x14ac:dyDescent="0.2"/>
    <row r="1188" ht="15.75" customHeight="1" x14ac:dyDescent="0.2"/>
    <row r="1189" ht="15.75" customHeight="1" x14ac:dyDescent="0.2"/>
    <row r="1190" ht="15.75" customHeight="1" x14ac:dyDescent="0.2"/>
    <row r="1191" ht="15.75" customHeight="1" x14ac:dyDescent="0.2"/>
    <row r="1192" ht="15.75" customHeight="1" x14ac:dyDescent="0.2"/>
    <row r="1193" ht="15.75" customHeight="1" x14ac:dyDescent="0.2"/>
    <row r="1194" ht="15.75" customHeight="1" x14ac:dyDescent="0.2"/>
    <row r="1195" ht="15.75" customHeight="1" x14ac:dyDescent="0.2"/>
    <row r="1196" ht="15.75" customHeight="1" x14ac:dyDescent="0.2"/>
    <row r="1197" ht="15.75" customHeight="1" x14ac:dyDescent="0.2"/>
    <row r="1198" ht="15.75" customHeight="1" x14ac:dyDescent="0.2"/>
    <row r="1199" ht="15.75" customHeight="1" x14ac:dyDescent="0.2"/>
    <row r="1200" ht="15.75" customHeight="1" x14ac:dyDescent="0.2"/>
    <row r="1201" ht="15.75" customHeight="1" x14ac:dyDescent="0.2"/>
    <row r="1202" ht="15.75" customHeight="1" x14ac:dyDescent="0.2"/>
    <row r="1203" ht="15.75" customHeight="1" x14ac:dyDescent="0.2"/>
    <row r="1204" ht="15.75" customHeight="1" x14ac:dyDescent="0.2"/>
    <row r="1205" ht="15.75" customHeight="1" x14ac:dyDescent="0.2"/>
    <row r="1206" ht="15.75" customHeight="1" x14ac:dyDescent="0.2"/>
    <row r="1207" ht="15.75" customHeight="1" x14ac:dyDescent="0.2"/>
    <row r="1208" ht="15.75" customHeight="1" x14ac:dyDescent="0.2"/>
    <row r="1209" ht="15.75" customHeight="1" x14ac:dyDescent="0.2"/>
    <row r="1210" ht="15.75" customHeight="1" x14ac:dyDescent="0.2"/>
    <row r="1211" ht="15.75" customHeight="1" x14ac:dyDescent="0.2"/>
    <row r="1212" ht="15.75" customHeight="1" x14ac:dyDescent="0.2"/>
    <row r="1213" ht="15.75" customHeight="1" x14ac:dyDescent="0.2"/>
    <row r="1214" ht="15.75" customHeight="1" x14ac:dyDescent="0.2"/>
    <row r="1215" ht="15.75" customHeight="1" x14ac:dyDescent="0.2"/>
    <row r="1216" ht="15.75" customHeight="1" x14ac:dyDescent="0.2"/>
    <row r="1217" ht="15.75" customHeight="1" x14ac:dyDescent="0.2"/>
    <row r="1218" ht="15.75" customHeight="1" x14ac:dyDescent="0.2"/>
    <row r="1219" ht="15.75" customHeight="1" x14ac:dyDescent="0.2"/>
    <row r="1220" ht="15.75" customHeight="1" x14ac:dyDescent="0.2"/>
    <row r="1221" ht="15.75" customHeight="1" x14ac:dyDescent="0.2"/>
    <row r="1222" ht="15.75" customHeight="1" x14ac:dyDescent="0.2"/>
    <row r="1223" ht="15.75" customHeight="1" x14ac:dyDescent="0.2"/>
    <row r="1224" ht="15.75" customHeight="1" x14ac:dyDescent="0.2"/>
    <row r="1225" ht="15.75" customHeight="1" x14ac:dyDescent="0.2"/>
    <row r="1226" ht="15.75" customHeight="1" x14ac:dyDescent="0.2"/>
    <row r="1227" ht="15.75" customHeight="1" x14ac:dyDescent="0.2"/>
    <row r="1228" ht="15.75" customHeight="1" x14ac:dyDescent="0.2"/>
    <row r="1229" ht="15.75" customHeight="1" x14ac:dyDescent="0.2"/>
    <row r="1230" ht="15.75" customHeight="1" x14ac:dyDescent="0.2"/>
    <row r="1231" ht="15.75" customHeight="1" x14ac:dyDescent="0.2"/>
    <row r="1232" ht="15.75" customHeight="1" x14ac:dyDescent="0.2"/>
    <row r="1233" ht="15.75" customHeight="1" x14ac:dyDescent="0.2"/>
    <row r="1234" ht="15.75" customHeight="1" x14ac:dyDescent="0.2"/>
    <row r="1235" ht="15.75" customHeight="1" x14ac:dyDescent="0.2"/>
    <row r="1236" ht="15.75" customHeight="1" x14ac:dyDescent="0.2"/>
    <row r="1237" ht="15.75" customHeight="1" x14ac:dyDescent="0.2"/>
    <row r="1238" ht="15.75" customHeight="1" x14ac:dyDescent="0.2"/>
    <row r="1239" ht="15.75" customHeight="1" x14ac:dyDescent="0.2"/>
    <row r="1240" ht="15.75" customHeight="1" x14ac:dyDescent="0.2"/>
    <row r="1241" ht="15.75" customHeight="1" x14ac:dyDescent="0.2"/>
    <row r="1242" ht="15.75" customHeight="1" x14ac:dyDescent="0.2"/>
    <row r="1243" ht="15.75" customHeight="1" x14ac:dyDescent="0.2"/>
    <row r="1244" ht="15.75" customHeight="1" x14ac:dyDescent="0.2"/>
    <row r="1245" ht="15.75" customHeight="1" x14ac:dyDescent="0.2"/>
    <row r="1246" ht="15.75" customHeight="1" x14ac:dyDescent="0.2"/>
    <row r="1247" ht="15.75" customHeight="1" x14ac:dyDescent="0.2"/>
    <row r="1248" ht="15.75" customHeight="1" x14ac:dyDescent="0.2"/>
    <row r="1249" ht="15.75" customHeight="1" x14ac:dyDescent="0.2"/>
    <row r="1250" ht="15.75" customHeight="1" x14ac:dyDescent="0.2"/>
    <row r="1251" ht="15.75" customHeight="1" x14ac:dyDescent="0.2"/>
    <row r="1252" ht="15.75" customHeight="1" x14ac:dyDescent="0.2"/>
    <row r="1253" ht="15.75" customHeight="1" x14ac:dyDescent="0.2"/>
    <row r="1254" ht="15.75" customHeight="1" x14ac:dyDescent="0.2"/>
    <row r="1255" ht="15.75" customHeight="1" x14ac:dyDescent="0.2"/>
    <row r="1256" ht="15.75" customHeight="1" x14ac:dyDescent="0.2"/>
    <row r="1257" ht="15.75" customHeight="1" x14ac:dyDescent="0.2"/>
    <row r="1258" ht="15.75" customHeight="1" x14ac:dyDescent="0.2"/>
    <row r="1259" ht="15.75" customHeight="1" x14ac:dyDescent="0.2"/>
    <row r="1260" ht="15.75" customHeight="1" x14ac:dyDescent="0.2"/>
    <row r="1261" ht="15.75" customHeight="1" x14ac:dyDescent="0.2"/>
    <row r="1262" ht="15.75" customHeight="1" x14ac:dyDescent="0.2"/>
    <row r="1263" ht="15.75" customHeight="1" x14ac:dyDescent="0.2"/>
    <row r="1264" ht="15.75" customHeight="1" x14ac:dyDescent="0.2"/>
    <row r="1265" ht="15.75" customHeight="1" x14ac:dyDescent="0.2"/>
    <row r="1266" ht="15.75" customHeight="1" x14ac:dyDescent="0.2"/>
    <row r="1267" ht="15.75" customHeight="1" x14ac:dyDescent="0.2"/>
    <row r="1268" ht="15.75" customHeight="1" x14ac:dyDescent="0.2"/>
    <row r="1269" ht="15.75" customHeight="1" x14ac:dyDescent="0.2"/>
    <row r="1270" ht="15.75" customHeight="1" x14ac:dyDescent="0.2"/>
    <row r="1271" ht="15.75" customHeight="1" x14ac:dyDescent="0.2"/>
    <row r="1272" ht="15.75" customHeight="1" x14ac:dyDescent="0.2"/>
    <row r="1273" ht="15.75" customHeight="1" x14ac:dyDescent="0.2"/>
    <row r="1274" ht="15.75" customHeight="1" x14ac:dyDescent="0.2"/>
    <row r="1275" ht="15.75" customHeight="1" x14ac:dyDescent="0.2"/>
    <row r="1276" ht="15.75" customHeight="1" x14ac:dyDescent="0.2"/>
    <row r="1277" ht="15.75" customHeight="1" x14ac:dyDescent="0.2"/>
    <row r="1278" ht="15.75" customHeight="1" x14ac:dyDescent="0.2"/>
    <row r="1279" ht="15.75" customHeight="1" x14ac:dyDescent="0.2"/>
    <row r="1280" ht="15.75" customHeight="1" x14ac:dyDescent="0.2"/>
    <row r="1281" ht="15.75" customHeight="1" x14ac:dyDescent="0.2"/>
    <row r="1282" ht="15.75" customHeight="1" x14ac:dyDescent="0.2"/>
    <row r="1283" ht="15.75" customHeight="1" x14ac:dyDescent="0.2"/>
    <row r="1284" ht="15.75" customHeight="1" x14ac:dyDescent="0.2"/>
    <row r="1285" ht="15.75" customHeight="1" x14ac:dyDescent="0.2"/>
    <row r="1286" ht="15.75" customHeight="1" x14ac:dyDescent="0.2"/>
    <row r="1287" ht="15.75" customHeight="1" x14ac:dyDescent="0.2"/>
    <row r="1288" ht="15.75" customHeight="1" x14ac:dyDescent="0.2"/>
    <row r="1289" ht="15.75" customHeight="1" x14ac:dyDescent="0.2"/>
    <row r="1290" ht="15.75" customHeight="1" x14ac:dyDescent="0.2"/>
    <row r="1291" ht="15.75" customHeight="1" x14ac:dyDescent="0.2"/>
    <row r="1292" ht="15.75" customHeight="1" x14ac:dyDescent="0.2"/>
    <row r="1293" ht="15.75" customHeight="1" x14ac:dyDescent="0.2"/>
    <row r="1294" ht="15.75" customHeight="1" x14ac:dyDescent="0.2"/>
    <row r="1295" ht="15.75" customHeight="1" x14ac:dyDescent="0.2"/>
    <row r="1296" ht="15.75" customHeight="1" x14ac:dyDescent="0.2"/>
    <row r="1297" ht="15.75" customHeight="1" x14ac:dyDescent="0.2"/>
    <row r="1298" ht="15.75" customHeight="1" x14ac:dyDescent="0.2"/>
    <row r="1299" ht="15.75" customHeight="1" x14ac:dyDescent="0.2"/>
    <row r="1300" ht="15.75" customHeight="1" x14ac:dyDescent="0.2"/>
    <row r="1301" ht="15.75" customHeight="1" x14ac:dyDescent="0.2"/>
    <row r="1302" ht="15.75" customHeight="1" x14ac:dyDescent="0.2"/>
    <row r="1303" ht="15.75" customHeight="1" x14ac:dyDescent="0.2"/>
    <row r="1304" ht="15.75" customHeight="1" x14ac:dyDescent="0.2"/>
    <row r="1305" ht="15.75" customHeight="1" x14ac:dyDescent="0.2"/>
    <row r="1306" ht="15.75" customHeight="1" x14ac:dyDescent="0.2"/>
    <row r="1307" ht="15.75" customHeight="1" x14ac:dyDescent="0.2"/>
    <row r="1308" ht="15.75" customHeight="1" x14ac:dyDescent="0.2"/>
    <row r="1309" ht="15.75" customHeight="1" x14ac:dyDescent="0.2"/>
    <row r="1310" ht="15.75" customHeight="1" x14ac:dyDescent="0.2"/>
    <row r="1311" ht="15.75" customHeight="1" x14ac:dyDescent="0.2"/>
    <row r="1312" ht="15.75" customHeight="1" x14ac:dyDescent="0.2"/>
    <row r="1313" ht="15.75" customHeight="1" x14ac:dyDescent="0.2"/>
    <row r="1314" ht="15.75" customHeight="1" x14ac:dyDescent="0.2"/>
    <row r="1315" ht="15.75" customHeight="1" x14ac:dyDescent="0.2"/>
    <row r="1316" ht="15.75" customHeight="1" x14ac:dyDescent="0.2"/>
    <row r="1317" ht="15.75" customHeight="1" x14ac:dyDescent="0.2"/>
    <row r="1318" ht="15.75" customHeight="1" x14ac:dyDescent="0.2"/>
    <row r="1319" ht="15.75" customHeight="1" x14ac:dyDescent="0.2"/>
    <row r="1320" ht="15.75" customHeight="1" x14ac:dyDescent="0.2"/>
    <row r="1321" ht="15.75" customHeight="1" x14ac:dyDescent="0.2"/>
    <row r="1322" ht="15.75" customHeight="1" x14ac:dyDescent="0.2"/>
    <row r="1323" ht="15.75" customHeight="1" x14ac:dyDescent="0.2"/>
    <row r="1324" ht="15.75" customHeight="1" x14ac:dyDescent="0.2"/>
    <row r="1325" ht="15.75" customHeight="1" x14ac:dyDescent="0.2"/>
    <row r="1326" ht="15.75" customHeight="1" x14ac:dyDescent="0.2"/>
    <row r="1327" ht="15.75" customHeight="1" x14ac:dyDescent="0.2"/>
    <row r="1328" ht="15.75" customHeight="1" x14ac:dyDescent="0.2"/>
    <row r="1329" ht="15.75" customHeight="1" x14ac:dyDescent="0.2"/>
    <row r="1330" ht="15.75" customHeight="1" x14ac:dyDescent="0.2"/>
    <row r="1331" ht="15.75" customHeight="1" x14ac:dyDescent="0.2"/>
    <row r="1332" ht="15.75" customHeight="1" x14ac:dyDescent="0.2"/>
    <row r="1333" ht="15.75" customHeight="1" x14ac:dyDescent="0.2"/>
    <row r="1334" ht="15.75" customHeight="1" x14ac:dyDescent="0.2"/>
    <row r="1335" ht="15.75" customHeight="1" x14ac:dyDescent="0.2"/>
    <row r="1336" ht="15.75" customHeight="1" x14ac:dyDescent="0.2"/>
    <row r="1337" ht="15.75" customHeight="1" x14ac:dyDescent="0.2"/>
    <row r="1338" ht="15.75" customHeight="1" x14ac:dyDescent="0.2"/>
    <row r="1339" ht="15.75" customHeight="1" x14ac:dyDescent="0.2"/>
    <row r="1340" ht="15.75" customHeight="1" x14ac:dyDescent="0.2"/>
    <row r="1341" ht="15.75" customHeight="1" x14ac:dyDescent="0.2"/>
    <row r="1342" ht="15.75" customHeight="1" x14ac:dyDescent="0.2"/>
    <row r="1344" ht="15.75" customHeight="1" x14ac:dyDescent="0.2"/>
    <row r="1345" ht="15.75" customHeight="1" x14ac:dyDescent="0.2"/>
    <row r="1346" ht="15.75" customHeight="1" x14ac:dyDescent="0.2"/>
    <row r="1347" ht="15.75" customHeight="1" x14ac:dyDescent="0.2"/>
    <row r="1348" ht="15.75" customHeight="1" x14ac:dyDescent="0.2"/>
    <row r="1349" ht="15.75" customHeight="1" x14ac:dyDescent="0.2"/>
    <row r="1350" ht="15.75" customHeight="1" x14ac:dyDescent="0.2"/>
    <row r="1351" ht="15.75" customHeight="1" x14ac:dyDescent="0.2"/>
    <row r="1352" ht="15.75" customHeight="1" x14ac:dyDescent="0.2"/>
    <row r="1353" ht="15.75" customHeight="1" x14ac:dyDescent="0.2"/>
    <row r="1354" ht="15.75" customHeight="1" x14ac:dyDescent="0.2"/>
    <row r="1356" ht="15.75" customHeight="1" x14ac:dyDescent="0.2"/>
    <row r="1357" ht="15.75" customHeight="1" x14ac:dyDescent="0.2"/>
    <row r="1358" ht="15.75" customHeight="1" x14ac:dyDescent="0.2"/>
    <row r="1359" ht="15.75" customHeight="1" x14ac:dyDescent="0.2"/>
    <row r="1360" ht="15.75" customHeight="1" x14ac:dyDescent="0.2"/>
    <row r="1361" ht="15.75" customHeight="1" x14ac:dyDescent="0.2"/>
    <row r="1362" ht="15.75" customHeight="1" x14ac:dyDescent="0.2"/>
    <row r="1363" ht="15.75" customHeight="1" x14ac:dyDescent="0.2"/>
    <row r="1364" ht="15.75" customHeight="1" x14ac:dyDescent="0.2"/>
    <row r="1365" ht="15.75" customHeight="1" x14ac:dyDescent="0.2"/>
    <row r="1366" ht="15.75" customHeight="1" x14ac:dyDescent="0.2"/>
    <row r="1368" ht="15.75" customHeight="1" x14ac:dyDescent="0.2"/>
    <row r="1369" ht="15.75" customHeight="1" x14ac:dyDescent="0.2"/>
    <row r="1370" ht="15.75" customHeight="1" x14ac:dyDescent="0.2"/>
    <row r="1371" ht="15.75" customHeight="1" x14ac:dyDescent="0.2"/>
    <row r="1372" ht="15.75" customHeight="1" x14ac:dyDescent="0.2"/>
    <row r="1373" ht="15.75" customHeight="1" x14ac:dyDescent="0.2"/>
    <row r="1374" ht="15.75" customHeight="1" x14ac:dyDescent="0.2"/>
    <row r="1375" ht="15.75" customHeight="1" x14ac:dyDescent="0.2"/>
    <row r="1376" ht="15.75" customHeight="1" x14ac:dyDescent="0.2"/>
    <row r="1377" ht="15.75" customHeight="1" x14ac:dyDescent="0.2"/>
    <row r="1378" ht="15.75" customHeight="1" x14ac:dyDescent="0.2"/>
    <row r="1380" ht="15.75" customHeight="1" x14ac:dyDescent="0.2"/>
    <row r="1381" ht="15.75" customHeight="1" x14ac:dyDescent="0.2"/>
    <row r="1382" ht="15.75" customHeight="1" x14ac:dyDescent="0.2"/>
    <row r="1383" ht="15.75" customHeight="1" x14ac:dyDescent="0.2"/>
    <row r="1384" ht="15.75" customHeight="1" x14ac:dyDescent="0.2"/>
    <row r="1385" ht="15.75" customHeight="1" x14ac:dyDescent="0.2"/>
    <row r="1386" ht="15.75" customHeight="1" x14ac:dyDescent="0.2"/>
    <row r="1387" ht="15.75" customHeight="1" x14ac:dyDescent="0.2"/>
    <row r="1388" ht="15.75" customHeight="1" x14ac:dyDescent="0.2"/>
    <row r="1389" ht="15.75" customHeight="1" x14ac:dyDescent="0.2"/>
    <row r="1390" ht="15.75" customHeight="1" x14ac:dyDescent="0.2"/>
    <row r="1392" ht="15.75" customHeight="1" x14ac:dyDescent="0.2"/>
    <row r="1393" ht="15.75" customHeight="1" x14ac:dyDescent="0.2"/>
    <row r="1394" ht="15.75" customHeight="1" x14ac:dyDescent="0.2"/>
    <row r="1395" ht="15.75" customHeight="1" x14ac:dyDescent="0.2"/>
    <row r="1396" ht="15.75" customHeight="1" x14ac:dyDescent="0.2"/>
    <row r="1397" ht="15.75" customHeight="1" x14ac:dyDescent="0.2"/>
    <row r="1398" ht="15.75" customHeight="1" x14ac:dyDescent="0.2"/>
    <row r="1399" ht="15.75" customHeight="1" x14ac:dyDescent="0.2"/>
    <row r="1400" ht="15.75" customHeight="1" x14ac:dyDescent="0.2"/>
    <row r="1401" ht="15.75" customHeight="1" x14ac:dyDescent="0.2"/>
    <row r="1402" ht="15.75" customHeight="1" x14ac:dyDescent="0.2"/>
    <row r="1403" ht="15.75" customHeight="1" x14ac:dyDescent="0.2"/>
    <row r="1404" ht="15.75" customHeight="1" x14ac:dyDescent="0.2"/>
    <row r="1405" ht="15.75" customHeight="1" x14ac:dyDescent="0.2"/>
    <row r="1406" ht="15.75" customHeight="1" x14ac:dyDescent="0.2"/>
    <row r="1408" ht="15.75" customHeight="1" x14ac:dyDescent="0.2"/>
    <row r="1409" ht="15.75" customHeight="1" x14ac:dyDescent="0.2"/>
    <row r="1410" ht="15.75" customHeight="1" x14ac:dyDescent="0.2"/>
    <row r="1411" ht="15.75" customHeight="1" x14ac:dyDescent="0.2"/>
    <row r="1412" ht="15.75" customHeight="1" x14ac:dyDescent="0.2"/>
    <row r="1413" ht="15.75" customHeight="1" x14ac:dyDescent="0.2"/>
    <row r="1414" ht="15.75" customHeight="1" x14ac:dyDescent="0.2"/>
    <row r="1415" ht="15.75" customHeight="1" x14ac:dyDescent="0.2"/>
    <row r="1416" ht="15.75" customHeight="1" x14ac:dyDescent="0.2"/>
    <row r="1417" ht="15.75" customHeight="1" x14ac:dyDescent="0.2"/>
    <row r="1418" ht="15.75" customHeight="1" x14ac:dyDescent="0.2"/>
    <row r="1419" ht="15.75" customHeight="1" x14ac:dyDescent="0.2"/>
    <row r="1420" ht="15.75" customHeight="1" x14ac:dyDescent="0.2"/>
    <row r="1421" ht="15.75" customHeight="1" x14ac:dyDescent="0.2"/>
    <row r="1422" ht="15.75" customHeight="1" x14ac:dyDescent="0.2"/>
    <row r="1424" ht="15.75" customHeight="1" x14ac:dyDescent="0.2"/>
    <row r="1425" ht="15.75" customHeight="1" x14ac:dyDescent="0.2"/>
    <row r="1426" ht="15.75" customHeight="1" x14ac:dyDescent="0.2"/>
    <row r="1427" ht="15.75" customHeight="1" x14ac:dyDescent="0.2"/>
    <row r="1428" ht="15.75" customHeight="1" x14ac:dyDescent="0.2"/>
    <row r="1429" ht="15.75" customHeight="1" x14ac:dyDescent="0.2"/>
    <row r="1430" ht="15.75" customHeight="1" x14ac:dyDescent="0.2"/>
    <row r="1431" ht="15.75" customHeight="1" x14ac:dyDescent="0.2"/>
    <row r="1432" ht="15.75" customHeight="1" x14ac:dyDescent="0.2"/>
    <row r="1433" ht="15.75" customHeight="1" x14ac:dyDescent="0.2"/>
    <row r="1434" ht="15.75" customHeight="1" x14ac:dyDescent="0.2"/>
    <row r="1435" ht="15.75" customHeight="1" x14ac:dyDescent="0.2"/>
    <row r="1436" ht="15.75" customHeight="1" x14ac:dyDescent="0.2"/>
    <row r="1437" ht="15.75" customHeight="1" x14ac:dyDescent="0.2"/>
    <row r="1438" ht="15.75" customHeight="1" x14ac:dyDescent="0.2"/>
    <row r="1440" ht="15.75" customHeight="1" x14ac:dyDescent="0.2"/>
    <row r="1441" ht="15.75" customHeight="1" x14ac:dyDescent="0.2"/>
    <row r="1442" ht="15.75" customHeight="1" x14ac:dyDescent="0.2"/>
    <row r="1443" ht="15.75" customHeight="1" x14ac:dyDescent="0.2"/>
    <row r="1444" ht="15.75" customHeight="1" x14ac:dyDescent="0.2"/>
    <row r="1445" ht="15.75" customHeight="1" x14ac:dyDescent="0.2"/>
    <row r="1446" ht="15.75" customHeight="1" x14ac:dyDescent="0.2"/>
    <row r="1447" ht="15.75" customHeight="1" x14ac:dyDescent="0.2"/>
    <row r="1448" ht="15.75" customHeight="1" x14ac:dyDescent="0.2"/>
    <row r="1449" ht="15.75" customHeight="1" x14ac:dyDescent="0.2"/>
    <row r="1450" ht="15.75" customHeight="1" x14ac:dyDescent="0.2"/>
    <row r="1451" ht="15.75" customHeight="1" x14ac:dyDescent="0.2"/>
    <row r="1452" ht="15.75" customHeight="1" x14ac:dyDescent="0.2"/>
    <row r="1453" ht="15.75" customHeight="1" x14ac:dyDescent="0.2"/>
    <row r="1454" ht="15.75" customHeight="1" x14ac:dyDescent="0.2"/>
    <row r="1455" ht="15.75" customHeight="1" x14ac:dyDescent="0.2"/>
    <row r="1456" ht="15.75" customHeight="1" x14ac:dyDescent="0.2"/>
    <row r="1457" ht="15.75" customHeight="1" x14ac:dyDescent="0.2"/>
    <row r="1458" ht="15.75" customHeight="1" x14ac:dyDescent="0.2"/>
    <row r="1459" ht="15.75" customHeight="1" x14ac:dyDescent="0.2"/>
    <row r="1460" ht="15.75" customHeight="1" x14ac:dyDescent="0.2"/>
    <row r="1461" ht="15.75" customHeight="1" x14ac:dyDescent="0.2"/>
    <row r="1462" ht="15.75" customHeight="1" x14ac:dyDescent="0.2"/>
    <row r="1463" ht="15.75" customHeight="1" x14ac:dyDescent="0.2"/>
    <row r="1464" ht="15.75" customHeight="1" x14ac:dyDescent="0.2"/>
    <row r="1465" ht="15.75" customHeight="1" x14ac:dyDescent="0.2"/>
    <row r="1466" ht="15.75" customHeight="1" x14ac:dyDescent="0.2"/>
    <row r="1467" ht="15.75" customHeight="1" x14ac:dyDescent="0.2"/>
    <row r="1468" ht="15.75" customHeight="1" x14ac:dyDescent="0.2"/>
    <row r="1469" ht="15.75" customHeight="1" x14ac:dyDescent="0.2"/>
    <row r="1470" ht="15.75" customHeight="1" x14ac:dyDescent="0.2"/>
    <row r="1471" ht="15.75" customHeight="1" x14ac:dyDescent="0.2"/>
    <row r="1472" ht="15.75" customHeight="1" x14ac:dyDescent="0.2"/>
    <row r="1473" ht="15.75" customHeight="1" x14ac:dyDescent="0.2"/>
    <row r="1474" ht="15.75" customHeight="1" x14ac:dyDescent="0.2"/>
    <row r="1475" ht="15.75" customHeight="1" x14ac:dyDescent="0.2"/>
    <row r="1476" ht="15.75" customHeight="1" x14ac:dyDescent="0.2"/>
    <row r="1477" ht="15.75" customHeight="1" x14ac:dyDescent="0.2"/>
    <row r="1478" ht="15.75" customHeight="1" x14ac:dyDescent="0.2"/>
    <row r="1479" ht="15.75" customHeight="1" x14ac:dyDescent="0.2"/>
    <row r="1480" ht="15.75" customHeight="1" x14ac:dyDescent="0.2"/>
    <row r="1481" ht="15.75" customHeight="1" x14ac:dyDescent="0.2"/>
    <row r="1482" ht="15.75" customHeight="1" x14ac:dyDescent="0.2"/>
    <row r="1483" ht="15.75" customHeight="1" x14ac:dyDescent="0.2"/>
    <row r="1484" ht="15.75" customHeight="1" x14ac:dyDescent="0.2"/>
    <row r="1485" ht="15.75" customHeight="1" x14ac:dyDescent="0.2"/>
    <row r="1486" ht="15.75" customHeight="1" x14ac:dyDescent="0.2"/>
    <row r="1487" ht="15.75" customHeight="1" x14ac:dyDescent="0.2"/>
    <row r="1488" ht="15.75" customHeight="1" x14ac:dyDescent="0.2"/>
    <row r="1489" ht="15.75" customHeight="1" x14ac:dyDescent="0.2"/>
    <row r="1490" ht="15.75" customHeight="1" x14ac:dyDescent="0.2"/>
    <row r="1491" ht="15.75" customHeight="1" x14ac:dyDescent="0.2"/>
    <row r="1492" ht="15.75" customHeight="1" x14ac:dyDescent="0.2"/>
    <row r="1493" ht="15.75" customHeight="1" x14ac:dyDescent="0.2"/>
    <row r="1494" ht="15.75" customHeight="1" x14ac:dyDescent="0.2"/>
    <row r="1495" ht="15.75" customHeight="1" x14ac:dyDescent="0.2"/>
    <row r="1496" ht="15.75" customHeight="1" x14ac:dyDescent="0.2"/>
    <row r="1497" ht="15.75" customHeight="1" x14ac:dyDescent="0.2"/>
    <row r="1498" ht="15.75" customHeight="1" x14ac:dyDescent="0.2"/>
    <row r="1499" ht="15.75" customHeight="1" x14ac:dyDescent="0.2"/>
    <row r="1500" ht="15.75" customHeight="1" x14ac:dyDescent="0.2"/>
    <row r="1501" ht="15.75" customHeight="1" x14ac:dyDescent="0.2"/>
    <row r="1502" ht="15.75" customHeight="1" x14ac:dyDescent="0.2"/>
    <row r="1503" ht="15.75" customHeight="1" x14ac:dyDescent="0.2"/>
    <row r="1504" ht="15.75" customHeight="1" x14ac:dyDescent="0.2"/>
    <row r="1505" ht="15.75" customHeight="1" x14ac:dyDescent="0.2"/>
    <row r="1506" ht="15.75" customHeight="1" x14ac:dyDescent="0.2"/>
    <row r="1507" ht="15.75" customHeight="1" x14ac:dyDescent="0.2"/>
    <row r="1508" ht="15.75" customHeight="1" x14ac:dyDescent="0.2"/>
    <row r="1509" ht="15.75" customHeight="1" x14ac:dyDescent="0.2"/>
    <row r="1510" ht="15.75" customHeight="1" x14ac:dyDescent="0.2"/>
    <row r="1511" ht="15.75" customHeight="1" x14ac:dyDescent="0.2"/>
    <row r="1512" ht="15.75" customHeight="1" x14ac:dyDescent="0.2"/>
    <row r="1513" ht="15.75" customHeight="1" x14ac:dyDescent="0.2"/>
    <row r="1514" ht="15.75" customHeight="1" x14ac:dyDescent="0.2"/>
    <row r="1515" ht="15.75" customHeight="1" x14ac:dyDescent="0.2"/>
    <row r="1516" ht="15.75" customHeight="1" x14ac:dyDescent="0.2"/>
    <row r="1517" ht="15.75" customHeight="1" x14ac:dyDescent="0.2"/>
    <row r="1518" ht="15.75" customHeight="1" x14ac:dyDescent="0.2"/>
    <row r="1519" ht="15.75" customHeight="1" x14ac:dyDescent="0.2"/>
    <row r="1520" ht="15.75" customHeight="1" x14ac:dyDescent="0.2"/>
    <row r="1521" ht="15.75" customHeight="1" x14ac:dyDescent="0.2"/>
    <row r="1522" ht="15.75" customHeight="1" x14ac:dyDescent="0.2"/>
    <row r="1523" ht="15.75" customHeight="1" x14ac:dyDescent="0.2"/>
    <row r="1524" ht="15.75" customHeight="1" x14ac:dyDescent="0.2"/>
    <row r="1525" ht="15.75" customHeight="1" x14ac:dyDescent="0.2"/>
    <row r="1526" ht="15.75" customHeight="1" x14ac:dyDescent="0.2"/>
    <row r="1527" ht="15.75" customHeight="1" x14ac:dyDescent="0.2"/>
    <row r="1528" ht="15.75" customHeight="1" x14ac:dyDescent="0.2"/>
    <row r="1529" ht="15.75" customHeight="1" x14ac:dyDescent="0.2"/>
    <row r="1530" ht="15.75" customHeight="1" x14ac:dyDescent="0.2"/>
    <row r="1531" ht="15.75" customHeight="1" x14ac:dyDescent="0.2"/>
    <row r="1532" ht="15.75" customHeight="1" x14ac:dyDescent="0.2"/>
    <row r="1533" ht="15.75" customHeight="1" x14ac:dyDescent="0.2"/>
    <row r="1534" ht="15.75" customHeight="1" x14ac:dyDescent="0.2"/>
    <row r="1535" ht="15.75" customHeight="1" x14ac:dyDescent="0.2"/>
    <row r="1536" ht="15.75" customHeight="1" x14ac:dyDescent="0.2"/>
    <row r="1537" ht="15.75" customHeight="1" x14ac:dyDescent="0.2"/>
    <row r="1538" ht="15.75" customHeight="1" x14ac:dyDescent="0.2"/>
    <row r="1540" ht="15.75" customHeight="1" x14ac:dyDescent="0.2"/>
    <row r="1541" ht="15.75" customHeight="1" x14ac:dyDescent="0.2"/>
    <row r="1542" ht="15.75" customHeight="1" x14ac:dyDescent="0.2"/>
    <row r="1543" ht="15.75" customHeight="1" x14ac:dyDescent="0.2"/>
    <row r="1544" ht="15.75" customHeight="1" x14ac:dyDescent="0.2"/>
    <row r="1545" ht="15.75" customHeight="1" x14ac:dyDescent="0.2"/>
    <row r="1546" ht="15.75" customHeight="1" x14ac:dyDescent="0.2"/>
    <row r="1547" ht="15.75" customHeight="1" x14ac:dyDescent="0.2"/>
    <row r="1548" ht="15.75" customHeight="1" x14ac:dyDescent="0.2"/>
    <row r="1549" ht="15.75" customHeight="1" x14ac:dyDescent="0.2"/>
    <row r="1550" ht="15.75" customHeight="1" x14ac:dyDescent="0.2"/>
    <row r="1551" ht="15.75" customHeight="1" x14ac:dyDescent="0.2"/>
    <row r="1552" ht="15.75" customHeight="1" x14ac:dyDescent="0.2"/>
    <row r="1553" ht="15.75" customHeight="1" x14ac:dyDescent="0.2"/>
    <row r="1554" ht="15.75" customHeight="1" x14ac:dyDescent="0.2"/>
    <row r="1555" ht="15.75" customHeight="1" x14ac:dyDescent="0.2"/>
    <row r="1556" ht="15.75" customHeight="1" x14ac:dyDescent="0.2"/>
    <row r="1557" ht="15.75" customHeight="1" x14ac:dyDescent="0.2"/>
    <row r="1558" ht="15.75" customHeight="1" x14ac:dyDescent="0.2"/>
    <row r="1559" ht="15.75" customHeight="1" x14ac:dyDescent="0.2"/>
    <row r="1560" ht="15.75" customHeight="1" x14ac:dyDescent="0.2"/>
    <row r="1561" ht="15.75" customHeight="1" x14ac:dyDescent="0.2"/>
    <row r="1562" ht="15.75" customHeight="1" x14ac:dyDescent="0.2"/>
    <row r="1563" ht="15.75" customHeight="1" x14ac:dyDescent="0.2"/>
    <row r="1564" ht="15.75" customHeight="1" x14ac:dyDescent="0.2"/>
    <row r="1565" ht="15.75" customHeight="1" x14ac:dyDescent="0.2"/>
    <row r="1566" ht="15.75" customHeight="1" x14ac:dyDescent="0.2"/>
    <row r="1567" ht="15.75" customHeight="1" x14ac:dyDescent="0.2"/>
    <row r="1568" ht="15.75" customHeight="1" x14ac:dyDescent="0.2"/>
    <row r="1569" ht="15.75" customHeight="1" x14ac:dyDescent="0.2"/>
    <row r="1570" ht="15.75" customHeight="1" x14ac:dyDescent="0.2"/>
    <row r="1571" ht="15.75" customHeight="1" x14ac:dyDescent="0.2"/>
    <row r="1572" ht="15.75" customHeight="1" x14ac:dyDescent="0.2"/>
    <row r="1573" ht="15.75" customHeight="1" x14ac:dyDescent="0.2"/>
    <row r="1574" ht="15.75" customHeight="1" x14ac:dyDescent="0.2"/>
    <row r="1575" ht="15.75" customHeight="1" x14ac:dyDescent="0.2"/>
    <row r="1576" ht="15.75" customHeight="1" x14ac:dyDescent="0.2"/>
    <row r="1577" ht="15.75" customHeight="1" x14ac:dyDescent="0.2"/>
    <row r="1578" ht="15.75" customHeight="1" x14ac:dyDescent="0.2"/>
    <row r="1579" ht="15.75" customHeight="1" x14ac:dyDescent="0.2"/>
    <row r="1580" ht="15.75" customHeight="1" x14ac:dyDescent="0.2"/>
    <row r="1581" ht="15.75" customHeight="1" x14ac:dyDescent="0.2"/>
    <row r="1582" ht="15.75" customHeight="1" x14ac:dyDescent="0.2"/>
    <row r="1583" ht="15.75" customHeight="1" x14ac:dyDescent="0.2"/>
    <row r="1584" ht="15.75" customHeight="1" x14ac:dyDescent="0.2"/>
    <row r="1585" ht="15.75" customHeight="1" x14ac:dyDescent="0.2"/>
    <row r="1586" ht="15.75" customHeight="1" x14ac:dyDescent="0.2"/>
    <row r="1587" ht="15.75" customHeight="1" x14ac:dyDescent="0.2"/>
    <row r="1588" ht="15.75" customHeight="1" x14ac:dyDescent="0.2"/>
    <row r="1589" ht="15.75" customHeight="1" x14ac:dyDescent="0.2"/>
    <row r="1590" ht="15.75" customHeight="1" x14ac:dyDescent="0.2"/>
    <row r="1591" ht="15.75" customHeight="1" x14ac:dyDescent="0.2"/>
    <row r="1592" ht="15.75" customHeight="1" x14ac:dyDescent="0.2"/>
    <row r="1593" ht="15.75" customHeight="1" x14ac:dyDescent="0.2"/>
    <row r="1594" ht="15.75" customHeight="1" x14ac:dyDescent="0.2"/>
    <row r="1595" ht="15.75" customHeight="1" x14ac:dyDescent="0.2"/>
    <row r="1596" ht="15.75" customHeight="1" x14ac:dyDescent="0.2"/>
    <row r="1597" ht="15.75" customHeight="1" x14ac:dyDescent="0.2"/>
    <row r="1598" ht="15.75" customHeight="1" x14ac:dyDescent="0.2"/>
    <row r="1599" ht="15.75" customHeight="1" x14ac:dyDescent="0.2"/>
    <row r="1600" ht="15.75" customHeight="1" x14ac:dyDescent="0.2"/>
    <row r="1601" ht="15.75" customHeight="1" x14ac:dyDescent="0.2"/>
    <row r="1602" ht="15.75" customHeight="1" x14ac:dyDescent="0.2"/>
    <row r="1603" ht="15.75" customHeight="1" x14ac:dyDescent="0.2"/>
    <row r="1604" ht="15.75" customHeight="1" x14ac:dyDescent="0.2"/>
    <row r="1605" ht="15.75" customHeight="1" x14ac:dyDescent="0.2"/>
    <row r="1606" ht="15.75" customHeight="1" x14ac:dyDescent="0.2"/>
    <row r="1607" ht="15.75" customHeight="1" x14ac:dyDescent="0.2"/>
    <row r="1608" ht="15.75" customHeight="1" x14ac:dyDescent="0.2"/>
    <row r="1609" ht="15.75" customHeight="1" x14ac:dyDescent="0.2"/>
    <row r="1610" ht="15.75" customHeight="1" x14ac:dyDescent="0.2"/>
    <row r="1611" ht="15.75" customHeight="1" x14ac:dyDescent="0.2"/>
    <row r="1612" ht="15.75" customHeight="1" x14ac:dyDescent="0.2"/>
    <row r="1613" ht="15.75" customHeight="1" x14ac:dyDescent="0.2"/>
    <row r="1614" ht="15.75" customHeight="1" x14ac:dyDescent="0.2"/>
    <row r="1615" ht="15.75" customHeight="1" x14ac:dyDescent="0.2"/>
    <row r="1616" ht="15.75" customHeight="1" x14ac:dyDescent="0.2"/>
    <row r="1617" ht="15.75" customHeight="1" x14ac:dyDescent="0.2"/>
    <row r="1618" ht="15.75" customHeight="1" x14ac:dyDescent="0.2"/>
    <row r="1619" ht="15.75" customHeight="1" x14ac:dyDescent="0.2"/>
    <row r="1620" ht="15.75" customHeight="1" x14ac:dyDescent="0.2"/>
    <row r="1621" ht="15.75" customHeight="1" x14ac:dyDescent="0.2"/>
    <row r="1622" ht="15.75" customHeight="1" x14ac:dyDescent="0.2"/>
    <row r="1623" ht="15.75" customHeight="1" x14ac:dyDescent="0.2"/>
    <row r="1624" ht="15.75" customHeight="1" x14ac:dyDescent="0.2"/>
    <row r="1625" ht="15.75" customHeight="1" x14ac:dyDescent="0.2"/>
    <row r="1626" ht="15.75" customHeight="1" x14ac:dyDescent="0.2"/>
    <row r="1627" ht="15.75" customHeight="1" x14ac:dyDescent="0.2"/>
    <row r="1628" ht="15.75" customHeight="1" x14ac:dyDescent="0.2"/>
    <row r="1629" ht="15.75" customHeight="1" x14ac:dyDescent="0.2"/>
    <row r="1630" ht="15.75" customHeight="1" x14ac:dyDescent="0.2"/>
    <row r="1631" ht="15.75" customHeight="1" x14ac:dyDescent="0.2"/>
    <row r="1632" ht="15.75" customHeight="1" x14ac:dyDescent="0.2"/>
    <row r="1633" ht="15.75" customHeight="1" x14ac:dyDescent="0.2"/>
    <row r="1634" ht="15.75" customHeight="1" x14ac:dyDescent="0.2"/>
    <row r="1635" ht="15.75" customHeight="1" x14ac:dyDescent="0.2"/>
    <row r="1636" ht="15.75" customHeight="1" x14ac:dyDescent="0.2"/>
    <row r="1637" ht="15.75" customHeight="1" x14ac:dyDescent="0.2"/>
    <row r="1638" ht="15.75" customHeight="1" x14ac:dyDescent="0.2"/>
    <row r="1639" ht="15.75" customHeight="1" x14ac:dyDescent="0.2"/>
    <row r="1640" ht="15.75" customHeight="1" x14ac:dyDescent="0.2"/>
    <row r="1641" ht="15.75" customHeight="1" x14ac:dyDescent="0.2"/>
    <row r="1642" ht="15.75" customHeight="1" x14ac:dyDescent="0.2"/>
    <row r="1643" ht="15.75" customHeight="1" x14ac:dyDescent="0.2"/>
    <row r="1644" ht="15.75" customHeight="1" x14ac:dyDescent="0.2"/>
    <row r="1645" ht="15.75" customHeight="1" x14ac:dyDescent="0.2"/>
    <row r="1646" ht="15.75" customHeight="1" x14ac:dyDescent="0.2"/>
    <row r="1647" ht="15.75" customHeight="1" x14ac:dyDescent="0.2"/>
    <row r="1648" ht="15.75" customHeight="1" x14ac:dyDescent="0.2"/>
    <row r="1649" ht="15.75" customHeight="1" x14ac:dyDescent="0.2"/>
    <row r="1650" ht="15.75" customHeight="1" x14ac:dyDescent="0.2"/>
    <row r="1651" ht="15.75" customHeight="1" x14ac:dyDescent="0.2"/>
    <row r="1652" ht="15.75" customHeight="1" x14ac:dyDescent="0.2"/>
    <row r="1653" ht="15.75" customHeight="1" x14ac:dyDescent="0.2"/>
    <row r="1654" ht="15.75" customHeight="1" x14ac:dyDescent="0.2"/>
    <row r="1655" ht="15.75" customHeight="1" x14ac:dyDescent="0.2"/>
    <row r="1656" ht="15.75" customHeight="1" x14ac:dyDescent="0.2"/>
    <row r="1657" ht="15.75" customHeight="1" x14ac:dyDescent="0.2"/>
    <row r="1658" ht="15.75" customHeight="1" x14ac:dyDescent="0.2"/>
    <row r="1659" ht="15.75" customHeight="1" x14ac:dyDescent="0.2"/>
    <row r="1660" ht="15.75" customHeight="1" x14ac:dyDescent="0.2"/>
    <row r="1661" ht="15.75" customHeight="1" x14ac:dyDescent="0.2"/>
    <row r="1662" ht="15.75" customHeight="1" x14ac:dyDescent="0.2"/>
    <row r="1663" ht="15.75" customHeight="1" x14ac:dyDescent="0.2"/>
    <row r="1664" ht="15.75" customHeight="1" x14ac:dyDescent="0.2"/>
    <row r="1666" ht="15.75" customHeight="1" x14ac:dyDescent="0.2"/>
    <row r="1667" ht="15.75" customHeight="1" x14ac:dyDescent="0.2"/>
    <row r="1668" ht="15.75" customHeight="1" x14ac:dyDescent="0.2"/>
    <row r="1669" ht="15.75" customHeight="1" x14ac:dyDescent="0.2"/>
    <row r="1670" ht="15.75" customHeight="1" x14ac:dyDescent="0.2"/>
    <row r="1671" ht="15.75" customHeight="1" x14ac:dyDescent="0.2"/>
    <row r="1672" ht="15.75" customHeight="1" x14ac:dyDescent="0.2"/>
    <row r="1673" ht="15.75" customHeight="1" x14ac:dyDescent="0.2"/>
    <row r="1674" ht="15.75" customHeight="1" x14ac:dyDescent="0.2"/>
    <row r="1675" ht="15.75" customHeight="1" x14ac:dyDescent="0.2"/>
    <row r="1677" ht="15.75" customHeight="1" x14ac:dyDescent="0.2"/>
    <row r="1678" ht="15.75" customHeight="1" x14ac:dyDescent="0.2"/>
    <row r="1679" ht="15.75" customHeight="1" x14ac:dyDescent="0.2"/>
    <row r="1680" ht="15.75" customHeight="1" x14ac:dyDescent="0.2"/>
    <row r="1681" ht="15.75" customHeight="1" x14ac:dyDescent="0.2"/>
    <row r="1682" ht="15.75" customHeight="1" x14ac:dyDescent="0.2"/>
    <row r="1683" ht="15.75" customHeight="1" x14ac:dyDescent="0.2"/>
    <row r="1684" ht="15.75" customHeight="1" x14ac:dyDescent="0.2"/>
    <row r="1686" ht="15.75" customHeight="1" x14ac:dyDescent="0.2"/>
    <row r="1687" ht="15.75" customHeight="1" x14ac:dyDescent="0.2"/>
    <row r="1688" ht="15.75" customHeight="1" x14ac:dyDescent="0.2"/>
    <row r="1689" ht="15.75" customHeight="1" x14ac:dyDescent="0.2"/>
    <row r="1690" ht="15.75" customHeight="1" x14ac:dyDescent="0.2"/>
    <row r="1691" ht="15.75" customHeight="1" x14ac:dyDescent="0.2"/>
    <row r="1692" ht="15.75" customHeight="1" x14ac:dyDescent="0.2"/>
    <row r="1693" ht="15.75" customHeight="1" x14ac:dyDescent="0.2"/>
    <row r="1695" ht="15.75" customHeight="1" x14ac:dyDescent="0.2"/>
    <row r="1696" ht="15.75" customHeight="1" x14ac:dyDescent="0.2"/>
    <row r="1697" ht="15.75" customHeight="1" x14ac:dyDescent="0.2"/>
    <row r="1698" ht="15.75" customHeight="1" x14ac:dyDescent="0.2"/>
    <row r="1699" ht="15.75" customHeight="1" x14ac:dyDescent="0.2"/>
    <row r="1700" ht="15.75" customHeight="1" x14ac:dyDescent="0.2"/>
    <row r="1701" ht="15.75" customHeight="1" x14ac:dyDescent="0.2"/>
    <row r="1702" ht="15.75" customHeight="1" x14ac:dyDescent="0.2"/>
    <row r="1703" ht="15.75" customHeight="1" x14ac:dyDescent="0.2"/>
    <row r="1704" ht="15.75" customHeight="1" x14ac:dyDescent="0.2"/>
    <row r="1706" ht="15.75" customHeight="1" x14ac:dyDescent="0.2"/>
    <row r="1707" ht="15.75" customHeight="1" x14ac:dyDescent="0.2"/>
    <row r="1708" ht="15.75" customHeight="1" x14ac:dyDescent="0.2"/>
    <row r="1709" ht="15.75" customHeight="1" x14ac:dyDescent="0.2"/>
    <row r="1710" ht="15.75" customHeight="1" x14ac:dyDescent="0.2"/>
    <row r="1711" ht="15.75" customHeight="1" x14ac:dyDescent="0.2"/>
    <row r="1712" ht="15.75" customHeight="1" x14ac:dyDescent="0.2"/>
    <row r="1713" ht="15.75" customHeight="1" x14ac:dyDescent="0.2"/>
    <row r="1714" ht="15.75" customHeight="1" x14ac:dyDescent="0.2"/>
    <row r="1715" ht="15.75" customHeight="1" x14ac:dyDescent="0.2"/>
    <row r="1716" ht="15.75" customHeight="1" x14ac:dyDescent="0.2"/>
    <row r="1717" ht="15.75" customHeight="1" x14ac:dyDescent="0.2"/>
    <row r="1718" ht="15.75" customHeight="1" x14ac:dyDescent="0.2"/>
    <row r="1719" ht="15.75" customHeight="1" x14ac:dyDescent="0.2"/>
    <row r="1720" ht="15.75" customHeight="1" x14ac:dyDescent="0.2"/>
    <row r="1721" ht="15.75" customHeight="1" x14ac:dyDescent="0.2"/>
    <row r="1722" ht="15.75" customHeight="1" x14ac:dyDescent="0.2"/>
    <row r="1723" ht="15.75" customHeight="1" x14ac:dyDescent="0.2"/>
    <row r="1724" ht="15.75" customHeight="1" x14ac:dyDescent="0.2"/>
    <row r="1726" ht="15.75" customHeight="1" x14ac:dyDescent="0.2"/>
    <row r="1727" ht="15.75" customHeight="1" x14ac:dyDescent="0.2"/>
    <row r="1728" ht="15.75" customHeight="1" x14ac:dyDescent="0.2"/>
    <row r="1729" ht="15.75" customHeight="1" x14ac:dyDescent="0.2"/>
    <row r="1730" ht="15.75" customHeight="1" x14ac:dyDescent="0.2"/>
    <row r="1731" ht="15.75" customHeight="1" x14ac:dyDescent="0.2"/>
    <row r="1732" ht="15.75" customHeight="1" x14ac:dyDescent="0.2"/>
    <row r="1733" ht="15.75" customHeight="1" x14ac:dyDescent="0.2"/>
    <row r="1735" ht="15.75" customHeight="1" x14ac:dyDescent="0.2"/>
    <row r="1736" ht="15.75" customHeight="1" x14ac:dyDescent="0.2"/>
    <row r="1737" ht="15.75" customHeight="1" x14ac:dyDescent="0.2"/>
    <row r="1738" ht="15.75" customHeight="1" x14ac:dyDescent="0.2"/>
    <row r="1739" ht="15.75" customHeight="1" x14ac:dyDescent="0.2"/>
    <row r="1740" ht="15.75" customHeight="1" x14ac:dyDescent="0.2"/>
    <row r="1741" ht="15.75" customHeight="1" x14ac:dyDescent="0.2"/>
    <row r="1742" ht="15.75" customHeight="1" x14ac:dyDescent="0.2"/>
    <row r="1743" ht="15.75" customHeight="1" x14ac:dyDescent="0.2"/>
    <row r="1744" ht="15.75" customHeight="1" x14ac:dyDescent="0.2"/>
    <row r="1746" ht="15.75" customHeight="1" x14ac:dyDescent="0.2"/>
    <row r="1747" ht="15.75" customHeight="1" x14ac:dyDescent="0.2"/>
    <row r="1748" ht="15.75" customHeight="1" x14ac:dyDescent="0.2"/>
    <row r="1749" ht="15.75" customHeight="1" x14ac:dyDescent="0.2"/>
    <row r="1750" ht="15.75" customHeight="1" x14ac:dyDescent="0.2"/>
    <row r="1751" ht="15.75" customHeight="1" x14ac:dyDescent="0.2"/>
    <row r="1752" ht="15.75" customHeight="1" x14ac:dyDescent="0.2"/>
    <row r="1753" ht="15.75" customHeight="1" x14ac:dyDescent="0.2"/>
    <row r="1754" ht="15.75" customHeight="1" x14ac:dyDescent="0.2"/>
    <row r="1755" ht="15.75" customHeight="1" x14ac:dyDescent="0.2"/>
    <row r="1756" ht="15.75" customHeight="1" x14ac:dyDescent="0.2"/>
    <row r="1757" ht="15.75" customHeight="1" x14ac:dyDescent="0.2"/>
    <row r="1758" ht="15.75" customHeight="1" x14ac:dyDescent="0.2"/>
    <row r="1759" ht="15.75" customHeight="1" x14ac:dyDescent="0.2"/>
    <row r="1760" ht="15.75" customHeight="1" x14ac:dyDescent="0.2"/>
    <row r="1761" ht="15.75" customHeight="1" x14ac:dyDescent="0.2"/>
    <row r="1763" ht="15.75" customHeight="1" x14ac:dyDescent="0.2"/>
    <row r="1764" ht="15.75" customHeight="1" x14ac:dyDescent="0.2"/>
    <row r="1766" ht="15.75" customHeight="1" x14ac:dyDescent="0.2"/>
    <row r="1767" ht="15.75" customHeight="1" x14ac:dyDescent="0.2"/>
    <row r="1768" ht="15.75" customHeight="1" x14ac:dyDescent="0.2"/>
    <row r="1769" ht="15.75" customHeight="1" x14ac:dyDescent="0.2"/>
    <row r="1770" ht="15.75" customHeight="1" x14ac:dyDescent="0.2"/>
    <row r="1771" ht="15.75" customHeight="1" x14ac:dyDescent="0.2"/>
    <row r="1772" ht="15.75" customHeight="1" x14ac:dyDescent="0.2"/>
    <row r="1773" ht="15.75" customHeight="1" x14ac:dyDescent="0.2"/>
    <row r="1775" ht="15.75" customHeight="1" x14ac:dyDescent="0.2"/>
    <row r="1776" ht="15.75" customHeight="1" x14ac:dyDescent="0.2"/>
    <row r="1777" ht="15.75" customHeight="1" x14ac:dyDescent="0.2"/>
    <row r="1778" ht="15.75" customHeight="1" x14ac:dyDescent="0.2"/>
    <row r="1779" ht="15.75" customHeight="1" x14ac:dyDescent="0.2"/>
    <row r="1780" ht="15.75" customHeight="1" x14ac:dyDescent="0.2"/>
    <row r="1781" ht="15.75" customHeight="1" x14ac:dyDescent="0.2"/>
    <row r="1782" ht="15.75" customHeight="1" x14ac:dyDescent="0.2"/>
    <row r="1783" ht="15.75" customHeight="1" x14ac:dyDescent="0.2"/>
    <row r="1784" ht="15.75" customHeight="1" x14ac:dyDescent="0.2"/>
    <row r="1786" ht="15.75" customHeight="1" x14ac:dyDescent="0.2"/>
    <row r="1787" ht="15.75" customHeight="1" x14ac:dyDescent="0.2"/>
    <row r="1788" ht="15.75" customHeight="1" x14ac:dyDescent="0.2"/>
    <row r="1789" ht="15.75" customHeight="1" x14ac:dyDescent="0.2"/>
    <row r="1790" ht="15.75" customHeight="1" x14ac:dyDescent="0.2"/>
    <row r="1791" ht="15.75" customHeight="1" x14ac:dyDescent="0.2"/>
    <row r="1792" ht="15.75" customHeight="1" x14ac:dyDescent="0.2"/>
    <row r="1793" ht="15.75" customHeight="1" x14ac:dyDescent="0.2"/>
    <row r="1794" ht="15.75" customHeight="1" x14ac:dyDescent="0.2"/>
    <row r="1795" ht="15.75" customHeight="1" x14ac:dyDescent="0.2"/>
    <row r="1796" ht="15.75" customHeight="1" x14ac:dyDescent="0.2"/>
    <row r="1797" ht="15.75" customHeight="1" x14ac:dyDescent="0.2"/>
    <row r="1798" ht="15.75" customHeight="1" x14ac:dyDescent="0.2"/>
    <row r="1799" ht="15.75" customHeight="1" x14ac:dyDescent="0.2"/>
    <row r="1800" ht="15.75" customHeight="1" x14ac:dyDescent="0.2"/>
    <row r="1801" ht="15.75" customHeight="1" x14ac:dyDescent="0.2"/>
    <row r="1802" ht="15.75" customHeight="1" x14ac:dyDescent="0.2"/>
    <row r="1803" ht="15.75" customHeight="1" x14ac:dyDescent="0.2"/>
    <row r="1804" ht="15.75" customHeight="1" x14ac:dyDescent="0.2"/>
    <row r="1806" ht="15.75" customHeight="1" x14ac:dyDescent="0.2"/>
    <row r="1807" ht="15.75" customHeight="1" x14ac:dyDescent="0.2"/>
    <row r="1808" ht="15.75" customHeight="1" x14ac:dyDescent="0.2"/>
    <row r="1809" ht="15.75" customHeight="1" x14ac:dyDescent="0.2"/>
    <row r="1810" ht="15.75" customHeight="1" x14ac:dyDescent="0.2"/>
    <row r="1811" ht="15.75" customHeight="1" x14ac:dyDescent="0.2"/>
    <row r="1812" ht="15.75" customHeight="1" x14ac:dyDescent="0.2"/>
    <row r="1813" ht="15.75" customHeight="1" x14ac:dyDescent="0.2"/>
    <row r="1815" ht="15.75" customHeight="1" x14ac:dyDescent="0.2"/>
    <row r="1816" ht="15.75" customHeight="1" x14ac:dyDescent="0.2"/>
    <row r="1817" ht="15.75" customHeight="1" x14ac:dyDescent="0.2"/>
    <row r="1818" ht="15.75" customHeight="1" x14ac:dyDescent="0.2"/>
    <row r="1819" ht="15.75" customHeight="1" x14ac:dyDescent="0.2"/>
    <row r="1820" ht="15.75" customHeight="1" x14ac:dyDescent="0.2"/>
    <row r="1821" ht="15.75" customHeight="1" x14ac:dyDescent="0.2"/>
    <row r="1822" ht="15.75" customHeight="1" x14ac:dyDescent="0.2"/>
    <row r="1824" ht="15.75" customHeight="1" x14ac:dyDescent="0.2"/>
    <row r="1825" ht="15.75" customHeight="1" x14ac:dyDescent="0.2"/>
    <row r="1826" ht="15.75" customHeight="1" x14ac:dyDescent="0.2"/>
    <row r="1827" ht="15.75" customHeight="1" x14ac:dyDescent="0.2"/>
    <row r="1828" ht="15.75" customHeight="1" x14ac:dyDescent="0.2"/>
    <row r="1829" ht="15.75" customHeight="1" x14ac:dyDescent="0.2"/>
    <row r="1830" ht="15.75" customHeight="1" x14ac:dyDescent="0.2"/>
    <row r="1831" ht="15.75" customHeight="1" x14ac:dyDescent="0.2"/>
    <row r="1832" ht="15.75" customHeight="1" x14ac:dyDescent="0.2"/>
    <row r="1833" ht="15.75" customHeight="1" x14ac:dyDescent="0.2"/>
    <row r="1834" ht="15.75" customHeight="1" x14ac:dyDescent="0.2"/>
    <row r="1835" ht="15.75" customHeight="1" x14ac:dyDescent="0.2"/>
    <row r="1836" ht="15.75" customHeight="1" x14ac:dyDescent="0.2"/>
    <row r="1837" ht="15.75" customHeight="1" x14ac:dyDescent="0.2"/>
    <row r="1838" ht="15.75" customHeight="1" x14ac:dyDescent="0.2"/>
    <row r="1839" ht="15.75" customHeight="1" x14ac:dyDescent="0.2"/>
    <row r="1840" ht="15.75" customHeight="1" x14ac:dyDescent="0.2"/>
    <row r="1841" ht="15.75" customHeight="1" x14ac:dyDescent="0.2"/>
    <row r="1842" ht="15.75" customHeight="1" x14ac:dyDescent="0.2"/>
    <row r="1843" ht="15.75" customHeight="1" x14ac:dyDescent="0.2"/>
    <row r="1844" ht="15.75" customHeight="1" x14ac:dyDescent="0.2"/>
    <row r="1846" ht="15.75" customHeight="1" x14ac:dyDescent="0.2"/>
    <row r="1847" ht="15.75" customHeight="1" x14ac:dyDescent="0.2"/>
    <row r="1848" ht="15.75" customHeight="1" x14ac:dyDescent="0.2"/>
    <row r="1849" ht="15.75" customHeight="1" x14ac:dyDescent="0.2"/>
    <row r="1850" ht="15.75" customHeight="1" x14ac:dyDescent="0.2"/>
    <row r="1851" ht="15.75" customHeight="1" x14ac:dyDescent="0.2"/>
    <row r="1852" ht="15.75" customHeight="1" x14ac:dyDescent="0.2"/>
    <row r="1853" ht="15.75" customHeight="1" x14ac:dyDescent="0.2"/>
    <row r="1855" ht="15.75" customHeight="1" x14ac:dyDescent="0.2"/>
    <row r="1856" ht="15.75" customHeight="1" x14ac:dyDescent="0.2"/>
    <row r="1857" ht="15.75" customHeight="1" x14ac:dyDescent="0.2"/>
    <row r="1858" ht="15.75" customHeight="1" x14ac:dyDescent="0.2"/>
    <row r="1859" ht="15.75" customHeight="1" x14ac:dyDescent="0.2"/>
    <row r="1860" ht="15.75" customHeight="1" x14ac:dyDescent="0.2"/>
    <row r="1861" ht="15.75" customHeight="1" x14ac:dyDescent="0.2"/>
    <row r="1862" ht="15.75" customHeight="1" x14ac:dyDescent="0.2"/>
    <row r="1863" ht="15.75" customHeight="1" x14ac:dyDescent="0.2"/>
    <row r="1864" ht="15.75" customHeight="1" x14ac:dyDescent="0.2"/>
    <row r="1865" ht="15.75" customHeight="1" x14ac:dyDescent="0.2"/>
    <row r="1866" ht="15.75" customHeight="1" x14ac:dyDescent="0.2"/>
    <row r="1868" ht="15.75" customHeight="1" x14ac:dyDescent="0.2"/>
    <row r="1869" ht="15.75" customHeight="1" x14ac:dyDescent="0.2"/>
    <row r="1870" ht="15.75" customHeight="1" x14ac:dyDescent="0.2"/>
    <row r="1871" ht="15.75" customHeight="1" x14ac:dyDescent="0.2"/>
    <row r="1872" ht="15.75" customHeight="1" x14ac:dyDescent="0.2"/>
    <row r="1873" ht="15.75" customHeight="1" x14ac:dyDescent="0.2"/>
    <row r="1874" ht="15.75" customHeight="1" x14ac:dyDescent="0.2"/>
    <row r="1875" ht="15.75" customHeight="1" x14ac:dyDescent="0.2"/>
    <row r="1876" ht="15.75" customHeight="1" x14ac:dyDescent="0.2"/>
    <row r="1877" ht="15.75" customHeight="1" x14ac:dyDescent="0.2"/>
    <row r="1878" ht="15.75" customHeight="1" x14ac:dyDescent="0.2"/>
    <row r="1879" ht="15.75" customHeight="1" x14ac:dyDescent="0.2"/>
    <row r="1880" ht="15.75" customHeight="1" x14ac:dyDescent="0.2"/>
    <row r="1881" ht="15.75" customHeight="1" x14ac:dyDescent="0.2"/>
    <row r="1882" ht="15.75" customHeight="1" x14ac:dyDescent="0.2"/>
    <row r="1883" ht="15.75" customHeight="1" x14ac:dyDescent="0.2"/>
    <row r="1884" ht="15.75" customHeight="1" x14ac:dyDescent="0.2"/>
    <row r="1885" ht="15.75" customHeight="1" x14ac:dyDescent="0.2"/>
    <row r="1886" ht="15.75" customHeight="1" x14ac:dyDescent="0.2"/>
    <row r="1887" ht="15.75" customHeight="1" x14ac:dyDescent="0.2"/>
    <row r="1888" ht="15.75" customHeight="1" x14ac:dyDescent="0.2"/>
    <row r="1889" ht="15.75" customHeight="1" x14ac:dyDescent="0.2"/>
    <row r="1890" ht="15.75" customHeight="1" x14ac:dyDescent="0.2"/>
    <row r="1891" ht="15.75" customHeight="1" x14ac:dyDescent="0.2"/>
    <row r="1893" ht="15.75" customHeight="1" x14ac:dyDescent="0.2"/>
    <row r="1894" ht="15.75" customHeight="1" x14ac:dyDescent="0.2"/>
    <row r="1895" ht="15.75" customHeight="1" x14ac:dyDescent="0.2"/>
    <row r="1896" ht="15.75" customHeight="1" x14ac:dyDescent="0.2"/>
    <row r="1897" ht="15.75" customHeight="1" x14ac:dyDescent="0.2"/>
    <row r="1898" ht="15.75" customHeight="1" x14ac:dyDescent="0.2"/>
    <row r="1899" ht="15.75" customHeight="1" x14ac:dyDescent="0.2"/>
    <row r="1900" ht="15.75" customHeight="1" x14ac:dyDescent="0.2"/>
    <row r="1902" ht="15.75" customHeight="1" x14ac:dyDescent="0.2"/>
    <row r="1904" ht="15.75" customHeight="1" x14ac:dyDescent="0.2"/>
    <row r="1905" ht="15.75" customHeight="1" x14ac:dyDescent="0.2"/>
    <row r="1906" ht="15.75" customHeight="1" x14ac:dyDescent="0.2"/>
    <row r="1907" ht="15.75" customHeight="1" x14ac:dyDescent="0.2"/>
    <row r="1908" ht="15.75" customHeight="1" x14ac:dyDescent="0.2"/>
    <row r="1909" ht="15.75" customHeight="1" x14ac:dyDescent="0.2"/>
    <row r="1910" ht="15.75" customHeight="1" x14ac:dyDescent="0.2"/>
    <row r="1911" ht="15.75" customHeight="1" x14ac:dyDescent="0.2"/>
    <row r="1913" ht="15.75" customHeight="1" x14ac:dyDescent="0.2"/>
    <row r="1914" ht="15.75" customHeight="1" x14ac:dyDescent="0.2"/>
    <row r="1915" ht="15.75" customHeight="1" x14ac:dyDescent="0.2"/>
    <row r="1916" ht="15.75" customHeight="1" x14ac:dyDescent="0.2"/>
    <row r="1917" ht="15.75" customHeight="1" x14ac:dyDescent="0.2"/>
    <row r="1918" ht="15.75" customHeight="1" x14ac:dyDescent="0.2"/>
    <row r="1919" ht="15.75" customHeight="1" x14ac:dyDescent="0.2"/>
    <row r="1920" ht="15.75" customHeight="1" x14ac:dyDescent="0.2"/>
    <row r="1922" ht="15.75" customHeight="1" x14ac:dyDescent="0.2"/>
    <row r="1923" ht="15.75" customHeight="1" x14ac:dyDescent="0.2"/>
    <row r="1924" ht="15.75" customHeight="1" x14ac:dyDescent="0.2"/>
    <row r="1925" ht="15.75" customHeight="1" x14ac:dyDescent="0.2"/>
    <row r="1926" ht="15.75" customHeight="1" x14ac:dyDescent="0.2"/>
    <row r="1927" ht="15.75" customHeight="1" x14ac:dyDescent="0.2"/>
    <row r="1928" ht="15.75" customHeight="1" x14ac:dyDescent="0.2"/>
    <row r="1929" ht="15.75" customHeight="1" x14ac:dyDescent="0.2"/>
    <row r="1931" ht="15.75" customHeight="1" x14ac:dyDescent="0.2"/>
    <row r="1932" ht="15.75" customHeight="1" x14ac:dyDescent="0.2"/>
    <row r="1933" ht="15.75" customHeight="1" x14ac:dyDescent="0.2"/>
    <row r="1934" ht="15.75" customHeight="1" x14ac:dyDescent="0.2"/>
    <row r="1935" ht="15.75" customHeight="1" x14ac:dyDescent="0.2"/>
    <row r="1936" ht="15.75" customHeight="1" x14ac:dyDescent="0.2"/>
    <row r="1937" ht="15.75" customHeight="1" x14ac:dyDescent="0.2"/>
    <row r="1938" ht="15.75" customHeight="1" x14ac:dyDescent="0.2"/>
    <row r="1939" ht="15.75" customHeight="1" x14ac:dyDescent="0.2"/>
    <row r="1941" ht="15.75" customHeight="1" x14ac:dyDescent="0.2"/>
    <row r="1942" ht="15.75" customHeight="1" x14ac:dyDescent="0.2"/>
    <row r="1943" ht="15.75" customHeight="1" x14ac:dyDescent="0.2"/>
    <row r="1944" ht="15.75" customHeight="1" x14ac:dyDescent="0.2"/>
    <row r="1945" ht="15.75" customHeight="1" x14ac:dyDescent="0.2"/>
    <row r="1946" ht="15.75" customHeight="1" x14ac:dyDescent="0.2"/>
    <row r="1947" ht="15.75" customHeight="1" x14ac:dyDescent="0.2"/>
    <row r="1948" ht="15.75" customHeight="1" x14ac:dyDescent="0.2"/>
    <row r="1950" ht="15.75" customHeight="1" x14ac:dyDescent="0.2"/>
    <row r="1951" ht="15.75" customHeight="1" x14ac:dyDescent="0.2"/>
    <row r="1952" ht="15.75" customHeight="1" x14ac:dyDescent="0.2"/>
    <row r="1953" ht="15.75" customHeight="1" x14ac:dyDescent="0.2"/>
    <row r="1954" ht="15.75" customHeight="1" x14ac:dyDescent="0.2"/>
    <row r="1955" ht="15.75" customHeight="1" x14ac:dyDescent="0.2"/>
    <row r="1956" ht="15.75" customHeight="1" x14ac:dyDescent="0.2"/>
    <row r="1957" ht="15.75" customHeight="1" x14ac:dyDescent="0.2"/>
    <row r="1959" ht="15.75" customHeight="1" x14ac:dyDescent="0.2"/>
    <row r="1961" ht="15.75" customHeight="1" x14ac:dyDescent="0.2"/>
    <row r="1962" ht="15.75" customHeight="1" x14ac:dyDescent="0.2"/>
    <row r="1963" ht="15.75" customHeight="1" x14ac:dyDescent="0.2"/>
    <row r="1964" ht="15.75" customHeight="1" x14ac:dyDescent="0.2"/>
    <row r="1965" ht="15.75" customHeight="1" x14ac:dyDescent="0.2"/>
    <row r="1966" ht="15.75" customHeight="1" x14ac:dyDescent="0.2"/>
    <row r="1967" ht="15.75" customHeight="1" x14ac:dyDescent="0.2"/>
    <row r="1968" ht="15.75" customHeight="1" x14ac:dyDescent="0.2"/>
    <row r="1970" ht="15.75" customHeight="1" x14ac:dyDescent="0.2"/>
    <row r="1971" ht="15.75" customHeight="1" x14ac:dyDescent="0.2"/>
    <row r="1972" ht="15.75" customHeight="1" x14ac:dyDescent="0.2"/>
    <row r="1973" ht="15.75" customHeight="1" x14ac:dyDescent="0.2"/>
    <row r="1974" ht="15.75" customHeight="1" x14ac:dyDescent="0.2"/>
    <row r="1975" ht="15.75" customHeight="1" x14ac:dyDescent="0.2"/>
    <row r="1976" ht="15.75" customHeight="1" x14ac:dyDescent="0.2"/>
    <row r="1977" ht="15.75" customHeight="1" x14ac:dyDescent="0.2"/>
    <row r="1979" ht="15.75" customHeight="1" x14ac:dyDescent="0.2"/>
    <row r="1981" ht="15.75" customHeight="1" x14ac:dyDescent="0.2"/>
    <row r="1982" ht="15.75" customHeight="1" x14ac:dyDescent="0.2"/>
    <row r="1983" ht="15.75" customHeight="1" x14ac:dyDescent="0.2"/>
    <row r="1984" ht="15.75" customHeight="1" x14ac:dyDescent="0.2"/>
    <row r="1985" ht="15.75" customHeight="1" x14ac:dyDescent="0.2"/>
    <row r="1986" ht="15.75" customHeight="1" x14ac:dyDescent="0.2"/>
    <row r="1987" ht="15.75" customHeight="1" x14ac:dyDescent="0.2"/>
    <row r="1988" ht="15.75" customHeight="1" x14ac:dyDescent="0.2"/>
    <row r="1990" ht="15.75" customHeight="1" x14ac:dyDescent="0.2"/>
    <row r="1991" ht="15.75" customHeight="1" x14ac:dyDescent="0.2"/>
    <row r="1992" ht="15.75" customHeight="1" x14ac:dyDescent="0.2"/>
    <row r="1993" ht="15.75" customHeight="1" x14ac:dyDescent="0.2"/>
    <row r="1994" ht="15.75" customHeight="1" x14ac:dyDescent="0.2"/>
    <row r="1995" ht="15.75" customHeight="1" x14ac:dyDescent="0.2"/>
    <row r="1996" ht="15.75" customHeight="1" x14ac:dyDescent="0.2"/>
    <row r="1997" ht="15.75" customHeight="1" x14ac:dyDescent="0.2"/>
    <row r="1999" ht="15.75" customHeight="1" x14ac:dyDescent="0.2"/>
    <row r="2001" ht="15.75" customHeight="1" x14ac:dyDescent="0.2"/>
    <row r="2002" ht="15.75" customHeight="1" x14ac:dyDescent="0.2"/>
    <row r="2003" ht="15.75" customHeight="1" x14ac:dyDescent="0.2"/>
    <row r="2004" ht="15.75" customHeight="1" x14ac:dyDescent="0.2"/>
    <row r="2005" ht="15.75" customHeight="1" x14ac:dyDescent="0.2"/>
    <row r="2006" ht="15.75" customHeight="1" x14ac:dyDescent="0.2"/>
    <row r="2007" ht="15.75" customHeight="1" x14ac:dyDescent="0.2"/>
    <row r="2008" ht="15.75" customHeight="1" x14ac:dyDescent="0.2"/>
    <row r="2010" ht="15.75" customHeight="1" x14ac:dyDescent="0.2"/>
    <row r="2011" ht="15.75" customHeight="1" x14ac:dyDescent="0.2"/>
    <row r="2012" ht="15.75" customHeight="1" x14ac:dyDescent="0.2"/>
    <row r="2013" ht="15.75" customHeight="1" x14ac:dyDescent="0.2"/>
    <row r="2014" ht="15.75" customHeight="1" x14ac:dyDescent="0.2"/>
    <row r="2015" ht="15.75" customHeight="1" x14ac:dyDescent="0.2"/>
    <row r="2016" ht="15.75" customHeight="1" x14ac:dyDescent="0.2"/>
    <row r="2017" ht="15.75" customHeight="1" x14ac:dyDescent="0.2"/>
    <row r="2019" ht="15.75" customHeight="1" x14ac:dyDescent="0.2"/>
    <row r="2021" ht="15.75" customHeight="1" x14ac:dyDescent="0.2"/>
    <row r="2022" ht="15.75" customHeight="1" x14ac:dyDescent="0.2"/>
    <row r="2023" ht="15.75" customHeight="1" x14ac:dyDescent="0.2"/>
    <row r="2024" ht="15.75" customHeight="1" x14ac:dyDescent="0.2"/>
    <row r="2025" ht="15.75" customHeight="1" x14ac:dyDescent="0.2"/>
    <row r="2026" ht="15.75" customHeight="1" x14ac:dyDescent="0.2"/>
    <row r="2027" ht="15.75" customHeight="1" x14ac:dyDescent="0.2"/>
    <row r="2028" ht="15.75" customHeight="1" x14ac:dyDescent="0.2"/>
    <row r="2030" ht="15.75" customHeight="1" x14ac:dyDescent="0.2"/>
    <row r="2031" ht="15.75" customHeight="1" x14ac:dyDescent="0.2"/>
    <row r="2032" ht="15.75" customHeight="1" x14ac:dyDescent="0.2"/>
    <row r="2033" ht="15.75" customHeight="1" x14ac:dyDescent="0.2"/>
    <row r="2034" ht="15.75" customHeight="1" x14ac:dyDescent="0.2"/>
    <row r="2035" ht="15.75" customHeight="1" x14ac:dyDescent="0.2"/>
    <row r="2036" ht="15.75" customHeight="1" x14ac:dyDescent="0.2"/>
    <row r="2037" ht="15.75" customHeight="1" x14ac:dyDescent="0.2"/>
    <row r="2039" ht="15.75" customHeight="1" x14ac:dyDescent="0.2"/>
    <row r="2041" ht="15.75" customHeight="1" x14ac:dyDescent="0.2"/>
    <row r="2042" ht="15.75" customHeight="1" x14ac:dyDescent="0.2"/>
    <row r="2043" ht="15.75" customHeight="1" x14ac:dyDescent="0.2"/>
    <row r="2044" ht="15.75" customHeight="1" x14ac:dyDescent="0.2"/>
    <row r="2045" ht="15.75" customHeight="1" x14ac:dyDescent="0.2"/>
    <row r="2046" ht="15.75" customHeight="1" x14ac:dyDescent="0.2"/>
    <row r="2047" ht="15.75" customHeight="1" x14ac:dyDescent="0.2"/>
    <row r="2048" ht="15.75" customHeight="1" x14ac:dyDescent="0.2"/>
    <row r="2050" ht="15.75" customHeight="1" x14ac:dyDescent="0.2"/>
    <row r="2051" ht="15.75" customHeight="1" x14ac:dyDescent="0.2"/>
    <row r="2052" ht="15.75" customHeight="1" x14ac:dyDescent="0.2"/>
    <row r="2053" ht="15.75" customHeight="1" x14ac:dyDescent="0.2"/>
    <row r="2054" ht="15.75" customHeight="1" x14ac:dyDescent="0.2"/>
    <row r="2055" ht="15.75" customHeight="1" x14ac:dyDescent="0.2"/>
    <row r="2056" ht="15.75" customHeight="1" x14ac:dyDescent="0.2"/>
    <row r="2057" ht="15.75" customHeight="1" x14ac:dyDescent="0.2"/>
    <row r="2059" ht="15.75" customHeight="1" x14ac:dyDescent="0.2"/>
    <row r="2061" ht="15.75" customHeight="1" x14ac:dyDescent="0.2"/>
    <row r="2062" ht="15.75" customHeight="1" x14ac:dyDescent="0.2"/>
    <row r="2063" ht="15.75" customHeight="1" x14ac:dyDescent="0.2"/>
    <row r="2064" ht="15.75" customHeight="1" x14ac:dyDescent="0.2"/>
    <row r="2065" ht="15.75" customHeight="1" x14ac:dyDescent="0.2"/>
    <row r="2066" ht="15.75" customHeight="1" x14ac:dyDescent="0.2"/>
    <row r="2067" ht="15.75" customHeight="1" x14ac:dyDescent="0.2"/>
    <row r="2068" ht="15.75" customHeight="1" x14ac:dyDescent="0.2"/>
    <row r="2070" ht="15.75" customHeight="1" x14ac:dyDescent="0.2"/>
    <row r="2071" ht="15.75" customHeight="1" x14ac:dyDescent="0.2"/>
    <row r="2072" ht="15.75" customHeight="1" x14ac:dyDescent="0.2"/>
    <row r="2073" ht="15.75" customHeight="1" x14ac:dyDescent="0.2"/>
    <row r="2074" ht="15.75" customHeight="1" x14ac:dyDescent="0.2"/>
    <row r="2075" ht="15.75" customHeight="1" x14ac:dyDescent="0.2"/>
    <row r="2076" ht="15.75" customHeight="1" x14ac:dyDescent="0.2"/>
    <row r="2077" ht="15.75" customHeight="1" x14ac:dyDescent="0.2"/>
    <row r="2079" ht="15.75" customHeight="1" x14ac:dyDescent="0.2"/>
    <row r="2081" ht="15.75" customHeight="1" x14ac:dyDescent="0.2"/>
    <row r="2082" ht="15.75" customHeight="1" x14ac:dyDescent="0.2"/>
    <row r="2083" ht="15.75" customHeight="1" x14ac:dyDescent="0.2"/>
    <row r="2084" ht="15.75" customHeight="1" x14ac:dyDescent="0.2"/>
    <row r="2085" ht="15.75" customHeight="1" x14ac:dyDescent="0.2"/>
    <row r="2086" ht="15.75" customHeight="1" x14ac:dyDescent="0.2"/>
    <row r="2087" ht="15.75" customHeight="1" x14ac:dyDescent="0.2"/>
    <row r="2088" ht="15.75" customHeight="1" x14ac:dyDescent="0.2"/>
    <row r="2090" ht="15.75" customHeight="1" x14ac:dyDescent="0.2"/>
    <row r="2091" ht="15.75" customHeight="1" x14ac:dyDescent="0.2"/>
    <row r="2092" ht="15.75" customHeight="1" x14ac:dyDescent="0.2"/>
    <row r="2093" ht="15.75" customHeight="1" x14ac:dyDescent="0.2"/>
    <row r="2094" ht="15.75" customHeight="1" x14ac:dyDescent="0.2"/>
    <row r="2095" ht="15.75" customHeight="1" x14ac:dyDescent="0.2"/>
    <row r="2096" ht="15.75" customHeight="1" x14ac:dyDescent="0.2"/>
    <row r="2097" ht="15.75" customHeight="1" x14ac:dyDescent="0.2"/>
    <row r="2098" ht="15.75" customHeight="1" x14ac:dyDescent="0.2"/>
    <row r="2099" ht="15.75" customHeight="1" x14ac:dyDescent="0.2"/>
    <row r="2100" ht="15.75" customHeight="1" x14ac:dyDescent="0.2"/>
    <row r="2101" ht="15.75" customHeight="1" x14ac:dyDescent="0.2"/>
    <row r="2102" ht="15.75" customHeight="1" x14ac:dyDescent="0.2"/>
    <row r="2103" ht="15.75" customHeight="1" x14ac:dyDescent="0.2"/>
    <row r="2104" ht="15.75" customHeight="1" x14ac:dyDescent="0.2"/>
    <row r="2105" ht="15.75" customHeight="1" x14ac:dyDescent="0.2"/>
    <row r="2106" ht="15.75" customHeight="1" x14ac:dyDescent="0.2"/>
    <row r="2107" ht="15.75" customHeight="1" x14ac:dyDescent="0.2"/>
    <row r="2108" ht="15.75" customHeight="1" x14ac:dyDescent="0.2"/>
    <row r="2109" ht="15.75" customHeight="1" x14ac:dyDescent="0.2"/>
    <row r="2111" ht="15.75" customHeight="1" x14ac:dyDescent="0.2"/>
    <row r="2113" ht="15.75" customHeight="1" x14ac:dyDescent="0.2"/>
    <row r="2114" ht="15.75" customHeight="1" x14ac:dyDescent="0.2"/>
    <row r="2115" ht="15.75" customHeight="1" x14ac:dyDescent="0.2"/>
    <row r="2116" ht="15.75" customHeight="1" x14ac:dyDescent="0.2"/>
    <row r="2117" ht="15.75" customHeight="1" x14ac:dyDescent="0.2"/>
    <row r="2118" ht="15.75" customHeight="1" x14ac:dyDescent="0.2"/>
    <row r="2119" ht="15.75" customHeight="1" x14ac:dyDescent="0.2"/>
    <row r="2120" ht="15.75" customHeight="1" x14ac:dyDescent="0.2"/>
    <row r="2121" ht="15.75" customHeight="1" x14ac:dyDescent="0.2"/>
    <row r="2123" ht="15.75" customHeight="1" x14ac:dyDescent="0.2"/>
    <row r="2124" ht="15.75" customHeight="1" x14ac:dyDescent="0.2"/>
    <row r="2125" ht="15.75" customHeight="1" x14ac:dyDescent="0.2"/>
    <row r="2126" ht="15.75" customHeight="1" x14ac:dyDescent="0.2"/>
    <row r="2127" ht="15.75" customHeight="1" x14ac:dyDescent="0.2"/>
    <row r="2128" ht="15.75" customHeight="1" x14ac:dyDescent="0.2"/>
    <row r="2129" ht="15.75" customHeight="1" x14ac:dyDescent="0.2"/>
    <row r="2131" ht="15.75" customHeight="1" x14ac:dyDescent="0.2"/>
    <row r="2133" ht="15.75" customHeight="1" x14ac:dyDescent="0.2"/>
    <row r="2134" ht="15.75" customHeight="1" x14ac:dyDescent="0.2"/>
    <row r="2135" ht="15.75" customHeight="1" x14ac:dyDescent="0.2"/>
    <row r="2136" ht="15.75" customHeight="1" x14ac:dyDescent="0.2"/>
    <row r="2137" ht="15.75" customHeight="1" x14ac:dyDescent="0.2"/>
    <row r="2138" ht="15.75" customHeight="1" x14ac:dyDescent="0.2"/>
    <row r="2140" ht="15.75" customHeight="1" x14ac:dyDescent="0.2"/>
    <row r="2142" ht="15.75" customHeight="1" x14ac:dyDescent="0.2"/>
    <row r="2143" ht="15.75" customHeight="1" x14ac:dyDescent="0.2"/>
    <row r="2144" ht="15.75" customHeight="1" x14ac:dyDescent="0.2"/>
    <row r="2145" ht="15.75" customHeight="1" x14ac:dyDescent="0.2"/>
    <row r="2146" ht="15.75" customHeight="1" x14ac:dyDescent="0.2"/>
    <row r="2147" ht="15.75" customHeight="1" x14ac:dyDescent="0.2"/>
    <row r="2148" ht="15.75" customHeight="1" x14ac:dyDescent="0.2"/>
    <row r="2149" ht="15.75" customHeight="1" x14ac:dyDescent="0.2"/>
    <row r="2150" ht="15.75" customHeight="1" x14ac:dyDescent="0.2"/>
    <row r="2151" ht="15.75" customHeight="1" x14ac:dyDescent="0.2"/>
    <row r="2152" ht="15.75" customHeight="1" x14ac:dyDescent="0.2"/>
    <row r="2153" ht="15.75" customHeight="1" x14ac:dyDescent="0.2"/>
    <row r="2154" ht="15.75" customHeight="1" x14ac:dyDescent="0.2"/>
    <row r="2155" ht="15.75" customHeight="1" x14ac:dyDescent="0.2"/>
    <row r="2156" ht="15.75" customHeight="1" x14ac:dyDescent="0.2"/>
    <row r="2157" ht="15.75" customHeight="1" x14ac:dyDescent="0.2"/>
    <row r="2159" ht="15.75" customHeight="1" x14ac:dyDescent="0.2"/>
    <row r="2161" ht="15.75" customHeight="1" x14ac:dyDescent="0.2"/>
    <row r="2162" ht="15.75" customHeight="1" x14ac:dyDescent="0.2"/>
    <row r="2163" ht="15.75" customHeight="1" x14ac:dyDescent="0.2"/>
    <row r="2164" ht="15.75" customHeight="1" x14ac:dyDescent="0.2"/>
    <row r="2165" ht="15.75" customHeight="1" x14ac:dyDescent="0.2"/>
    <row r="2166" ht="15.75" customHeight="1" x14ac:dyDescent="0.2"/>
    <row r="2168" ht="15.75" customHeight="1" x14ac:dyDescent="0.2"/>
    <row r="2170" ht="15.75" customHeight="1" x14ac:dyDescent="0.2"/>
    <row r="2171" ht="15.75" customHeight="1" x14ac:dyDescent="0.2"/>
    <row r="2172" ht="15.75" customHeight="1" x14ac:dyDescent="0.2"/>
    <row r="2173" ht="15.75" customHeight="1" x14ac:dyDescent="0.2"/>
    <row r="2174" ht="15.75" customHeight="1" x14ac:dyDescent="0.2"/>
    <row r="2175" ht="15.75" customHeight="1" x14ac:dyDescent="0.2"/>
    <row r="2176" ht="15.75" customHeight="1" x14ac:dyDescent="0.2"/>
    <row r="2178" ht="15.75" customHeight="1" x14ac:dyDescent="0.2"/>
    <row r="2180" ht="15.75" customHeight="1" x14ac:dyDescent="0.2"/>
    <row r="2181" ht="15.75" customHeight="1" x14ac:dyDescent="0.2"/>
    <row r="2182" ht="15.75" customHeight="1" x14ac:dyDescent="0.2"/>
    <row r="2183" ht="15.75" customHeight="1" x14ac:dyDescent="0.2"/>
    <row r="2184" ht="15.75" customHeight="1" x14ac:dyDescent="0.2"/>
    <row r="2185" ht="15.75" customHeight="1" x14ac:dyDescent="0.2"/>
    <row r="2187" ht="15.75" customHeight="1" x14ac:dyDescent="0.2"/>
    <row r="2190" ht="15.75" customHeight="1" x14ac:dyDescent="0.2"/>
    <row r="2219" ht="15.75" customHeight="1" x14ac:dyDescent="0.2"/>
    <row r="2247" ht="15.75" customHeight="1" x14ac:dyDescent="0.2"/>
    <row r="2248" ht="15.75" customHeight="1" x14ac:dyDescent="0.2"/>
    <row r="2249" ht="15.75" customHeight="1" x14ac:dyDescent="0.2"/>
    <row r="2250" ht="15.75" customHeight="1" x14ac:dyDescent="0.2"/>
    <row r="2251" ht="15.75" customHeight="1" x14ac:dyDescent="0.2"/>
    <row r="2254" ht="15.75" customHeight="1" x14ac:dyDescent="0.2"/>
    <row r="2283" ht="15.75" customHeight="1" x14ac:dyDescent="0.2"/>
    <row r="2311" ht="15.75" customHeight="1" x14ac:dyDescent="0.2"/>
    <row r="2312" ht="15.75" customHeight="1" x14ac:dyDescent="0.2"/>
    <row r="2313" ht="15.75" customHeight="1" x14ac:dyDescent="0.2"/>
    <row r="2314" ht="15.75" customHeight="1" x14ac:dyDescent="0.2"/>
    <row r="2315" ht="15.75" customHeight="1" x14ac:dyDescent="0.2"/>
    <row r="2317" ht="15.75" customHeight="1" x14ac:dyDescent="0.2"/>
    <row r="2319" ht="15.75" customHeight="1" x14ac:dyDescent="0.2"/>
    <row r="2320" ht="15.75" customHeight="1" x14ac:dyDescent="0.2"/>
    <row r="2321" ht="15.75" customHeight="1" x14ac:dyDescent="0.2"/>
    <row r="2322" ht="15.75" customHeight="1" x14ac:dyDescent="0.2"/>
    <row r="2323" ht="15.75" customHeight="1" x14ac:dyDescent="0.2"/>
    <row r="2324" ht="15.75" customHeight="1" x14ac:dyDescent="0.2"/>
    <row r="2325" ht="15.75" customHeight="1" x14ac:dyDescent="0.2"/>
    <row r="2326" ht="15.75" customHeight="1" x14ac:dyDescent="0.2"/>
    <row r="2327" ht="15.75" customHeight="1" x14ac:dyDescent="0.2"/>
    <row r="2328" ht="15.75" customHeight="1" x14ac:dyDescent="0.2"/>
    <row r="2329" ht="15.75" customHeight="1" x14ac:dyDescent="0.2"/>
    <row r="2330" ht="15.75" customHeight="1" x14ac:dyDescent="0.2"/>
    <row r="2331" ht="15.75" customHeight="1" x14ac:dyDescent="0.2"/>
    <row r="2332" ht="15.75" customHeight="1" x14ac:dyDescent="0.2"/>
    <row r="2333" ht="15.75" customHeight="1" x14ac:dyDescent="0.2"/>
    <row r="2334" ht="15.75" customHeight="1" x14ac:dyDescent="0.2"/>
    <row r="2335" ht="15.75" customHeight="1" x14ac:dyDescent="0.2"/>
    <row r="2336" ht="15.75" customHeight="1" x14ac:dyDescent="0.2"/>
    <row r="2337" ht="15.75" customHeight="1" x14ac:dyDescent="0.2"/>
    <row r="2338" ht="15.75" customHeight="1" x14ac:dyDescent="0.2"/>
    <row r="2341" ht="15.75" customHeight="1" x14ac:dyDescent="0.2"/>
    <row r="2342" ht="15.75" customHeight="1" x14ac:dyDescent="0.2"/>
    <row r="2343" ht="15.75" customHeight="1" x14ac:dyDescent="0.2"/>
    <row r="2346" ht="15.75" customHeight="1" x14ac:dyDescent="0.2"/>
    <row r="2347" ht="15.75" customHeight="1" x14ac:dyDescent="0.2"/>
    <row r="2348" ht="15.75" customHeight="1" x14ac:dyDescent="0.2"/>
    <row r="2349" ht="15.75" customHeight="1" x14ac:dyDescent="0.2"/>
    <row r="2353" ht="15.75" customHeight="1" x14ac:dyDescent="0.2"/>
    <row r="2354" ht="15.75" customHeight="1" x14ac:dyDescent="0.2"/>
    <row r="2355" ht="15.75" customHeight="1" x14ac:dyDescent="0.2"/>
    <row r="2356" ht="15.75" customHeight="1" x14ac:dyDescent="0.2"/>
    <row r="2360" ht="15.75" customHeight="1" x14ac:dyDescent="0.2"/>
    <row r="2361" ht="15.75" customHeight="1" x14ac:dyDescent="0.2"/>
    <row r="2362" ht="15.75" customHeight="1" x14ac:dyDescent="0.2"/>
    <row r="2363" ht="15.75" customHeight="1" x14ac:dyDescent="0.2"/>
    <row r="2364" ht="15.75" customHeight="1" x14ac:dyDescent="0.2"/>
    <row r="2368" ht="15.75" customHeight="1" x14ac:dyDescent="0.2"/>
    <row r="2369" ht="15.75" customHeight="1" x14ac:dyDescent="0.2"/>
    <row r="2370" ht="15.75" customHeight="1" x14ac:dyDescent="0.2"/>
    <row r="2371" ht="15.75" customHeight="1" x14ac:dyDescent="0.2"/>
    <row r="2372" ht="15.75" customHeight="1" x14ac:dyDescent="0.2"/>
    <row r="2373" ht="15.75" customHeight="1" x14ac:dyDescent="0.2"/>
    <row r="2374" ht="15.75" customHeight="1" x14ac:dyDescent="0.2"/>
    <row r="2375" ht="15.75" customHeight="1" x14ac:dyDescent="0.2"/>
    <row r="2376" ht="15.75" customHeight="1" x14ac:dyDescent="0.2"/>
    <row r="2377" ht="15.75" customHeight="1" x14ac:dyDescent="0.2"/>
    <row r="2378" ht="15.75" customHeight="1" x14ac:dyDescent="0.2"/>
    <row r="2379" ht="15.75" customHeight="1" x14ac:dyDescent="0.2"/>
    <row r="2380" ht="15.75" customHeight="1" x14ac:dyDescent="0.2"/>
    <row r="2381" ht="15.75" customHeight="1" x14ac:dyDescent="0.2"/>
    <row r="2382" ht="15.75" customHeight="1" x14ac:dyDescent="0.2"/>
    <row r="2383" ht="15.75" customHeight="1" x14ac:dyDescent="0.2"/>
    <row r="2384" ht="15.75" customHeight="1" x14ac:dyDescent="0.2"/>
    <row r="2385" ht="15.75" customHeight="1" x14ac:dyDescent="0.2"/>
    <row r="2386" ht="15.75" customHeight="1" x14ac:dyDescent="0.2"/>
    <row r="2387" ht="15.75" customHeight="1" x14ac:dyDescent="0.2"/>
    <row r="2388" ht="15.75" customHeight="1" x14ac:dyDescent="0.2"/>
    <row r="2389" ht="15.75" customHeight="1" x14ac:dyDescent="0.2"/>
    <row r="2390" ht="15.75" customHeight="1" x14ac:dyDescent="0.2"/>
    <row r="2391" ht="15.75" customHeight="1" x14ac:dyDescent="0.2"/>
    <row r="2392" ht="15.75" customHeight="1" x14ac:dyDescent="0.2"/>
    <row r="2393" ht="15.75" customHeight="1" x14ac:dyDescent="0.2"/>
    <row r="2394" ht="15.75" customHeight="1" x14ac:dyDescent="0.2"/>
    <row r="2395" ht="15.75" customHeight="1" x14ac:dyDescent="0.2"/>
    <row r="2396" ht="15.75" customHeight="1" x14ac:dyDescent="0.2"/>
    <row r="2399" ht="15.75" customHeight="1" x14ac:dyDescent="0.2"/>
    <row r="2400" ht="15.75" customHeight="1" x14ac:dyDescent="0.2"/>
    <row r="2401" ht="15.75" customHeight="1" x14ac:dyDescent="0.2"/>
    <row r="2402" ht="15.75" customHeight="1" x14ac:dyDescent="0.2"/>
    <row r="2403" ht="15.75" customHeight="1" x14ac:dyDescent="0.2"/>
    <row r="2404" ht="15.75" customHeight="1" x14ac:dyDescent="0.2"/>
    <row r="2407" ht="15.75" customHeight="1" x14ac:dyDescent="0.2"/>
    <row r="2408" ht="15.75" customHeight="1" x14ac:dyDescent="0.2"/>
    <row r="2409" ht="15.75" customHeight="1" x14ac:dyDescent="0.2"/>
    <row r="2410" ht="15.75" customHeight="1" x14ac:dyDescent="0.2"/>
    <row r="2414" ht="15.75" customHeight="1" x14ac:dyDescent="0.2"/>
    <row r="2415" ht="15.75" customHeight="1" x14ac:dyDescent="0.2"/>
    <row r="2416" ht="15.75" customHeight="1" x14ac:dyDescent="0.2"/>
    <row r="2417" ht="15.75" customHeight="1" x14ac:dyDescent="0.2"/>
    <row r="2421" ht="15.75" customHeight="1" x14ac:dyDescent="0.2"/>
    <row r="2422" ht="15.75" customHeight="1" x14ac:dyDescent="0.2"/>
    <row r="2423" ht="15.75" customHeight="1" x14ac:dyDescent="0.2"/>
    <row r="2424" ht="15.75" customHeight="1" x14ac:dyDescent="0.2"/>
    <row r="2428" ht="15.75" customHeight="1" x14ac:dyDescent="0.2"/>
    <row r="2429" ht="15.75" customHeight="1" x14ac:dyDescent="0.2"/>
    <row r="2430" ht="15.75" customHeight="1" x14ac:dyDescent="0.2"/>
    <row r="2431" ht="15.75" customHeight="1" x14ac:dyDescent="0.2"/>
    <row r="2435" ht="15.75" customHeight="1" x14ac:dyDescent="0.2"/>
    <row r="2436" ht="15.75" customHeight="1" x14ac:dyDescent="0.2"/>
    <row r="2437" ht="15.75" customHeight="1" x14ac:dyDescent="0.2"/>
    <row r="2438" ht="15.75" customHeight="1" x14ac:dyDescent="0.2"/>
    <row r="2439" ht="15.75" customHeight="1" x14ac:dyDescent="0.2"/>
    <row r="2443" ht="15.75" customHeight="1" x14ac:dyDescent="0.2"/>
    <row r="2444" ht="15.75" customHeight="1" x14ac:dyDescent="0.2"/>
    <row r="2445" ht="15.75" customHeight="1" x14ac:dyDescent="0.2"/>
    <row r="2446" ht="15.75" customHeight="1" x14ac:dyDescent="0.2"/>
    <row r="2447" ht="15.75" customHeight="1" x14ac:dyDescent="0.2"/>
    <row r="2452" ht="15.75" customHeight="1" x14ac:dyDescent="0.2"/>
    <row r="2453" ht="15.75" customHeight="1" x14ac:dyDescent="0.2"/>
    <row r="2454" ht="15.75" customHeight="1" x14ac:dyDescent="0.2"/>
    <row r="2455" ht="15.75" customHeight="1" x14ac:dyDescent="0.2"/>
    <row r="2459" ht="15.75" customHeight="1" x14ac:dyDescent="0.2"/>
    <row r="2460" ht="15.75" customHeight="1" x14ac:dyDescent="0.2"/>
    <row r="2461" ht="15.75" customHeight="1" x14ac:dyDescent="0.2"/>
    <row r="2462" ht="15.75" customHeight="1" x14ac:dyDescent="0.2"/>
    <row r="2463" ht="15.75" customHeight="1" x14ac:dyDescent="0.2"/>
    <row r="2467" ht="15.75" customHeight="1" x14ac:dyDescent="0.2"/>
    <row r="2468" ht="15.75" customHeight="1" x14ac:dyDescent="0.2"/>
    <row r="2469" ht="15.75" customHeight="1" x14ac:dyDescent="0.2"/>
    <row r="2470" ht="15.75" customHeight="1" x14ac:dyDescent="0.2"/>
    <row r="2471" ht="15.75" customHeight="1" x14ac:dyDescent="0.2"/>
    <row r="2472" ht="15.75" customHeight="1" x14ac:dyDescent="0.2"/>
    <row r="2476" ht="15.75" customHeight="1" x14ac:dyDescent="0.2"/>
    <row r="2477" ht="15.75" customHeight="1" x14ac:dyDescent="0.2"/>
    <row r="2478" ht="15.75" customHeight="1" x14ac:dyDescent="0.2"/>
    <row r="2479" ht="15.75" customHeight="1" x14ac:dyDescent="0.2"/>
    <row r="2480" ht="15.75" customHeight="1" x14ac:dyDescent="0.2"/>
    <row r="2481" ht="15.75" customHeight="1" x14ac:dyDescent="0.2"/>
    <row r="2482" ht="15.75" customHeight="1" x14ac:dyDescent="0.2"/>
    <row r="2483" ht="15.75" customHeight="1" x14ac:dyDescent="0.2"/>
    <row r="2484" ht="15.75" customHeight="1" x14ac:dyDescent="0.2"/>
    <row r="2485" ht="15.75" customHeight="1" x14ac:dyDescent="0.2"/>
    <row r="2486" ht="15.75" customHeight="1" x14ac:dyDescent="0.2"/>
    <row r="2487" ht="15.75" customHeight="1" x14ac:dyDescent="0.2"/>
    <row r="2488" ht="15.75" customHeight="1" x14ac:dyDescent="0.2"/>
    <row r="2490" ht="15.75" customHeight="1" x14ac:dyDescent="0.2"/>
    <row r="2491" ht="15.75" customHeight="1" x14ac:dyDescent="0.2"/>
    <row r="2492" ht="15.75" customHeight="1" x14ac:dyDescent="0.2"/>
    <row r="2493" ht="15.75" customHeight="1" x14ac:dyDescent="0.2"/>
    <row r="2494" ht="15.75" customHeight="1" x14ac:dyDescent="0.2"/>
    <row r="2495" ht="15.75" customHeight="1" x14ac:dyDescent="0.2"/>
    <row r="2496" ht="15.75" customHeight="1" x14ac:dyDescent="0.2"/>
    <row r="2497" ht="15.75" customHeight="1" x14ac:dyDescent="0.2"/>
    <row r="2501" ht="15.75" customHeight="1" x14ac:dyDescent="0.2"/>
    <row r="2502" ht="15.75" customHeight="1" x14ac:dyDescent="0.2"/>
    <row r="2503" ht="15.75" customHeight="1" x14ac:dyDescent="0.2"/>
    <row r="2504" ht="15.75" customHeight="1" x14ac:dyDescent="0.2"/>
    <row r="2508" ht="15.75" customHeight="1" x14ac:dyDescent="0.2"/>
    <row r="2509" ht="15.75" customHeight="1" x14ac:dyDescent="0.2"/>
    <row r="2510" ht="15.75" customHeight="1" x14ac:dyDescent="0.2"/>
    <row r="2513" ht="15.75" customHeight="1" x14ac:dyDescent="0.2"/>
    <row r="2514" ht="15.75" customHeight="1" x14ac:dyDescent="0.2"/>
    <row r="2515" ht="15.75" customHeight="1" x14ac:dyDescent="0.2"/>
    <row r="2516" ht="15.75" customHeight="1" x14ac:dyDescent="0.2"/>
    <row r="2517" ht="15.75" customHeight="1" x14ac:dyDescent="0.2"/>
    <row r="2518" ht="15.75" customHeight="1" x14ac:dyDescent="0.2"/>
    <row r="2519" ht="15.75" customHeight="1" x14ac:dyDescent="0.2"/>
    <row r="2520" ht="15.75" customHeight="1" x14ac:dyDescent="0.2"/>
    <row r="2521" ht="15.75" customHeight="1" x14ac:dyDescent="0.2"/>
    <row r="2522" ht="15.75" customHeight="1" x14ac:dyDescent="0.2"/>
    <row r="2523" ht="15.75" customHeight="1" x14ac:dyDescent="0.2"/>
    <row r="2524" ht="15.75" customHeight="1" x14ac:dyDescent="0.2"/>
    <row r="2525" ht="15.75" customHeight="1" x14ac:dyDescent="0.2"/>
    <row r="2526" ht="15.75" customHeight="1" x14ac:dyDescent="0.2"/>
    <row r="2527" ht="15.75" customHeight="1" x14ac:dyDescent="0.2"/>
    <row r="2528" ht="15.75" customHeight="1" x14ac:dyDescent="0.2"/>
    <row r="2529" ht="15.75" customHeight="1" x14ac:dyDescent="0.2"/>
    <row r="2530" ht="15.75" customHeight="1" x14ac:dyDescent="0.2"/>
    <row r="2531" ht="15.75" customHeight="1" x14ac:dyDescent="0.2"/>
    <row r="2532" ht="15.75" customHeight="1" x14ac:dyDescent="0.2"/>
    <row r="2533" ht="15.75" customHeight="1" x14ac:dyDescent="0.2"/>
    <row r="2534" ht="15.75" customHeight="1" x14ac:dyDescent="0.2"/>
    <row r="2535" ht="15.75" customHeight="1" x14ac:dyDescent="0.2"/>
    <row r="2536" ht="15.75" customHeight="1" x14ac:dyDescent="0.2"/>
    <row r="2537" ht="15.75" customHeight="1" x14ac:dyDescent="0.2"/>
    <row r="2538" ht="15.75" customHeight="1" x14ac:dyDescent="0.2"/>
    <row r="2539" ht="15.75" customHeight="1" x14ac:dyDescent="0.2"/>
    <row r="2540" ht="15.75" customHeight="1" x14ac:dyDescent="0.2"/>
    <row r="2541" ht="15.75" customHeight="1" x14ac:dyDescent="0.2"/>
    <row r="2542" ht="15.75" customHeight="1" x14ac:dyDescent="0.2"/>
    <row r="2543" ht="15.75" customHeight="1" x14ac:dyDescent="0.2"/>
    <row r="2544" ht="15.75" customHeight="1" x14ac:dyDescent="0.2"/>
    <row r="2545" ht="15.75" customHeight="1" x14ac:dyDescent="0.2"/>
    <row r="2546" ht="15.75" customHeight="1" x14ac:dyDescent="0.2"/>
    <row r="2547" ht="15.75" customHeight="1" x14ac:dyDescent="0.2"/>
    <row r="2548" ht="15.75" customHeight="1" x14ac:dyDescent="0.2"/>
    <row r="2549" ht="15.75" customHeight="1" x14ac:dyDescent="0.2"/>
    <row r="2550" ht="15.75" customHeight="1" x14ac:dyDescent="0.2"/>
    <row r="2551" ht="15.75" customHeight="1" x14ac:dyDescent="0.2"/>
    <row r="2552" ht="15.75" customHeight="1" x14ac:dyDescent="0.2"/>
    <row r="2554" ht="15.75" customHeight="1" x14ac:dyDescent="0.2"/>
    <row r="2555" ht="15.75" customHeight="1" x14ac:dyDescent="0.2"/>
    <row r="2556" ht="15.75" customHeight="1" x14ac:dyDescent="0.2"/>
    <row r="2557" ht="15.75" customHeight="1" x14ac:dyDescent="0.2"/>
    <row r="2558" ht="15.75" customHeight="1" x14ac:dyDescent="0.2"/>
    <row r="2560" ht="15.75" customHeight="1" x14ac:dyDescent="0.2"/>
    <row r="2561" ht="15.75" customHeight="1" x14ac:dyDescent="0.2"/>
    <row r="2562" ht="15.75" customHeight="1" x14ac:dyDescent="0.2"/>
    <row r="2563" ht="15.75" customHeight="1" x14ac:dyDescent="0.2"/>
    <row r="2564" ht="15.75" customHeight="1" x14ac:dyDescent="0.2"/>
    <row r="2566" ht="15.75" customHeight="1" x14ac:dyDescent="0.2"/>
    <row r="2567" ht="15.75" customHeight="1" x14ac:dyDescent="0.2"/>
    <row r="2568" ht="15.75" customHeight="1" x14ac:dyDescent="0.2"/>
    <row r="2569" ht="15.75" customHeight="1" x14ac:dyDescent="0.2"/>
    <row r="2570" ht="15.75" customHeight="1" x14ac:dyDescent="0.2"/>
    <row r="2572" ht="15.75" customHeight="1" x14ac:dyDescent="0.2"/>
    <row r="2573" ht="15.75" customHeight="1" x14ac:dyDescent="0.2"/>
    <row r="2574" ht="15.75" customHeight="1" x14ac:dyDescent="0.2"/>
    <row r="2575" ht="15.75" customHeight="1" x14ac:dyDescent="0.2"/>
    <row r="2576" ht="15.75" customHeight="1" x14ac:dyDescent="0.2"/>
    <row r="2578" ht="15.75" customHeight="1" x14ac:dyDescent="0.2"/>
    <row r="2579" ht="15.75" customHeight="1" x14ac:dyDescent="0.2"/>
    <row r="2580" ht="15.75" customHeight="1" x14ac:dyDescent="0.2"/>
    <row r="2581" ht="15.75" customHeight="1" x14ac:dyDescent="0.2"/>
    <row r="2582" ht="15.75" customHeight="1" x14ac:dyDescent="0.2"/>
    <row r="2584" ht="15.75" customHeight="1" x14ac:dyDescent="0.2"/>
    <row r="2585" ht="15.75" customHeight="1" x14ac:dyDescent="0.2"/>
    <row r="2586" ht="15.75" customHeight="1" x14ac:dyDescent="0.2"/>
    <row r="2587" ht="15.75" customHeight="1" x14ac:dyDescent="0.2"/>
    <row r="2588" ht="15.75" customHeight="1" x14ac:dyDescent="0.2"/>
    <row r="2590" ht="15.75" customHeight="1" x14ac:dyDescent="0.2"/>
    <row r="2591" ht="15.75" customHeight="1" x14ac:dyDescent="0.2"/>
    <row r="2592" ht="15.75" customHeight="1" x14ac:dyDescent="0.2"/>
    <row r="2593" ht="15.75" customHeight="1" x14ac:dyDescent="0.2"/>
    <row r="2594" ht="15.75" customHeight="1" x14ac:dyDescent="0.2"/>
    <row r="2596" ht="15.75" customHeight="1" x14ac:dyDescent="0.2"/>
    <row r="2597" ht="15.75" customHeight="1" x14ac:dyDescent="0.2"/>
    <row r="2598" ht="15.75" customHeight="1" x14ac:dyDescent="0.2"/>
    <row r="2599" ht="15.75" customHeight="1" x14ac:dyDescent="0.2"/>
    <row r="2600" ht="15.75" customHeight="1" x14ac:dyDescent="0.2"/>
    <row r="2602" ht="15.75" customHeight="1" x14ac:dyDescent="0.2"/>
    <row r="2603" ht="15.75" customHeight="1" x14ac:dyDescent="0.2"/>
    <row r="2604" ht="15.75" customHeight="1" x14ac:dyDescent="0.2"/>
    <row r="2605" ht="15.75" customHeight="1" x14ac:dyDescent="0.2"/>
    <row r="2606" ht="15.75" customHeight="1" x14ac:dyDescent="0.2"/>
    <row r="2608" ht="15.75" customHeight="1" x14ac:dyDescent="0.2"/>
    <row r="2609" ht="15.75" customHeight="1" x14ac:dyDescent="0.2"/>
    <row r="2610" ht="15.75" customHeight="1" x14ac:dyDescent="0.2"/>
    <row r="2611" ht="15.75" customHeight="1" x14ac:dyDescent="0.2"/>
    <row r="2612" ht="15.75" customHeight="1" x14ac:dyDescent="0.2"/>
    <row r="2613" ht="15.75" customHeight="1" x14ac:dyDescent="0.2"/>
    <row r="2614" ht="15.75" customHeight="1" x14ac:dyDescent="0.2"/>
    <row r="2615" ht="15.75" customHeight="1" x14ac:dyDescent="0.2"/>
    <row r="2616" ht="15.75" customHeight="1" x14ac:dyDescent="0.2"/>
    <row r="2617" ht="15.75" customHeight="1" x14ac:dyDescent="0.2"/>
    <row r="2618" ht="15.75" customHeight="1" x14ac:dyDescent="0.2"/>
    <row r="2619" ht="15.75" customHeight="1" x14ac:dyDescent="0.2"/>
    <row r="2620" ht="15.75" customHeight="1" x14ac:dyDescent="0.2"/>
    <row r="2621" ht="15.75" customHeight="1" x14ac:dyDescent="0.2"/>
    <row r="2622" ht="15.75" customHeight="1" x14ac:dyDescent="0.2"/>
    <row r="2623" ht="15.75" customHeight="1" x14ac:dyDescent="0.2"/>
    <row r="2624" ht="15.75" customHeight="1" x14ac:dyDescent="0.2"/>
    <row r="2625" ht="15.75" customHeight="1" x14ac:dyDescent="0.2"/>
    <row r="2626" ht="15.75" customHeight="1" x14ac:dyDescent="0.2"/>
    <row r="2627" ht="15.75" customHeight="1" x14ac:dyDescent="0.2"/>
    <row r="2628" ht="15.75" customHeight="1" x14ac:dyDescent="0.2"/>
    <row r="2629" ht="15.75" customHeight="1" x14ac:dyDescent="0.2"/>
    <row r="2630" ht="15.75" customHeight="1" x14ac:dyDescent="0.2"/>
    <row r="2631" ht="15.75" customHeight="1" x14ac:dyDescent="0.2"/>
    <row r="2632" ht="15.75" customHeight="1" x14ac:dyDescent="0.2"/>
    <row r="2633" ht="15.75" customHeight="1" x14ac:dyDescent="0.2"/>
    <row r="2634" ht="15.75" customHeight="1" x14ac:dyDescent="0.2"/>
    <row r="2635" ht="15.75" customHeight="1" x14ac:dyDescent="0.2"/>
    <row r="2636" ht="15.75" customHeight="1" x14ac:dyDescent="0.2"/>
    <row r="2637" ht="15.75" customHeight="1" x14ac:dyDescent="0.2"/>
    <row r="2638" ht="15.75" customHeight="1" x14ac:dyDescent="0.2"/>
    <row r="2639" ht="15.75" customHeight="1" x14ac:dyDescent="0.2"/>
    <row r="2640" ht="15.75" customHeight="1" x14ac:dyDescent="0.2"/>
    <row r="2642" ht="15.75" customHeight="1" x14ac:dyDescent="0.2"/>
    <row r="2643" ht="15.75" customHeight="1" x14ac:dyDescent="0.2"/>
    <row r="2644" ht="15.75" customHeight="1" x14ac:dyDescent="0.2"/>
    <row r="2645" ht="15.75" customHeight="1" x14ac:dyDescent="0.2"/>
    <row r="2646" ht="15.75" customHeight="1" x14ac:dyDescent="0.2"/>
    <row r="2648" ht="15.75" customHeight="1" x14ac:dyDescent="0.2"/>
    <row r="2649" ht="15.75" customHeight="1" x14ac:dyDescent="0.2"/>
    <row r="2650" ht="15.75" customHeight="1" x14ac:dyDescent="0.2"/>
    <row r="2651" ht="15.75" customHeight="1" x14ac:dyDescent="0.2"/>
    <row r="2652" ht="15.75" customHeight="1" x14ac:dyDescent="0.2"/>
    <row r="2654" ht="15.75" customHeight="1" x14ac:dyDescent="0.2"/>
    <row r="2655" ht="15.75" customHeight="1" x14ac:dyDescent="0.2"/>
    <row r="2656" ht="15.75" customHeight="1" x14ac:dyDescent="0.2"/>
    <row r="2657" ht="15.75" customHeight="1" x14ac:dyDescent="0.2"/>
    <row r="2658" ht="15.75" customHeight="1" x14ac:dyDescent="0.2"/>
    <row r="2660" ht="15.75" customHeight="1" x14ac:dyDescent="0.2"/>
    <row r="2661" ht="15.75" customHeight="1" x14ac:dyDescent="0.2"/>
    <row r="2662" ht="15.75" customHeight="1" x14ac:dyDescent="0.2"/>
    <row r="2663" ht="15.75" customHeight="1" x14ac:dyDescent="0.2"/>
    <row r="2664" ht="15.75" customHeight="1" x14ac:dyDescent="0.2"/>
    <row r="2666" ht="15.75" customHeight="1" x14ac:dyDescent="0.2"/>
    <row r="2667" ht="15.75" customHeight="1" x14ac:dyDescent="0.2"/>
    <row r="2668" ht="15.75" customHeight="1" x14ac:dyDescent="0.2"/>
    <row r="2669" ht="15.75" customHeight="1" x14ac:dyDescent="0.2"/>
    <row r="2670" ht="15.75" customHeight="1" x14ac:dyDescent="0.2"/>
    <row r="2672" ht="15.75" customHeight="1" x14ac:dyDescent="0.2"/>
    <row r="2673" ht="15.75" customHeight="1" x14ac:dyDescent="0.2"/>
    <row r="2674" ht="15.75" customHeight="1" x14ac:dyDescent="0.2"/>
    <row r="2675" ht="15.75" customHeight="1" x14ac:dyDescent="0.2"/>
    <row r="2676" ht="15.75" customHeight="1" x14ac:dyDescent="0.2"/>
    <row r="2678" ht="15.75" customHeight="1" x14ac:dyDescent="0.2"/>
    <row r="2679" ht="15.75" customHeight="1" x14ac:dyDescent="0.2"/>
    <row r="2680" ht="15.75" customHeight="1" x14ac:dyDescent="0.2"/>
    <row r="2681" ht="15.75" customHeight="1" x14ac:dyDescent="0.2"/>
    <row r="2682" ht="15.75" customHeight="1" x14ac:dyDescent="0.2"/>
    <row r="2684" ht="15.75" customHeight="1" x14ac:dyDescent="0.2"/>
    <row r="2685" ht="15.75" customHeight="1" x14ac:dyDescent="0.2"/>
    <row r="2686" ht="15.75" customHeight="1" x14ac:dyDescent="0.2"/>
    <row r="2687" ht="15.75" customHeight="1" x14ac:dyDescent="0.2"/>
    <row r="2688" ht="15.75" customHeight="1" x14ac:dyDescent="0.2"/>
    <row r="2690" ht="15.75" customHeight="1" x14ac:dyDescent="0.2"/>
    <row r="2691" ht="15.75" customHeight="1" x14ac:dyDescent="0.2"/>
    <row r="2692" ht="15.75" customHeight="1" x14ac:dyDescent="0.2"/>
    <row r="2693" ht="15.75" customHeight="1" x14ac:dyDescent="0.2"/>
    <row r="2694" ht="15.75" customHeight="1" x14ac:dyDescent="0.2"/>
    <row r="2696" ht="15.75" customHeight="1" x14ac:dyDescent="0.2"/>
    <row r="2697" ht="15.75" customHeight="1" x14ac:dyDescent="0.2"/>
    <row r="2698" ht="15.75" customHeight="1" x14ac:dyDescent="0.2"/>
    <row r="2699" ht="15.75" customHeight="1" x14ac:dyDescent="0.2"/>
    <row r="2700" ht="15.75" customHeight="1" x14ac:dyDescent="0.2"/>
    <row r="2702" ht="15.75" customHeight="1" x14ac:dyDescent="0.2"/>
    <row r="2703" ht="15.75" customHeight="1" x14ac:dyDescent="0.2"/>
    <row r="2704" ht="15.75" customHeight="1" x14ac:dyDescent="0.2"/>
    <row r="2705" ht="15.75" customHeight="1" x14ac:dyDescent="0.2"/>
    <row r="2706" ht="15.75" customHeight="1" x14ac:dyDescent="0.2"/>
    <row r="2708" ht="15.75" customHeight="1" x14ac:dyDescent="0.2"/>
    <row r="2709" ht="15.75" customHeight="1" x14ac:dyDescent="0.2"/>
    <row r="2710" ht="15.75" customHeight="1" x14ac:dyDescent="0.2"/>
    <row r="2711" ht="15.75" customHeight="1" x14ac:dyDescent="0.2"/>
    <row r="2712" ht="15.75" customHeight="1" x14ac:dyDescent="0.2"/>
    <row r="2713" ht="15.75" customHeight="1" x14ac:dyDescent="0.2"/>
    <row r="2714" ht="15.75" customHeight="1" x14ac:dyDescent="0.2"/>
    <row r="2715" ht="15.75" customHeight="1" x14ac:dyDescent="0.2"/>
    <row r="2716" ht="15.75" customHeight="1" x14ac:dyDescent="0.2"/>
    <row r="2717" ht="15.75" customHeight="1" x14ac:dyDescent="0.2"/>
    <row r="2718" ht="15.75" customHeight="1" x14ac:dyDescent="0.2"/>
    <row r="2719" ht="15.75" customHeight="1" x14ac:dyDescent="0.2"/>
    <row r="2720" ht="15.75" customHeight="1" x14ac:dyDescent="0.2"/>
    <row r="2721" ht="15.75" customHeight="1" x14ac:dyDescent="0.2"/>
    <row r="2722" ht="15.75" customHeight="1" x14ac:dyDescent="0.2"/>
    <row r="2723" ht="15.75" customHeight="1" x14ac:dyDescent="0.2"/>
    <row r="2724" ht="15.75" customHeight="1" x14ac:dyDescent="0.2"/>
    <row r="2725" ht="15.75" customHeight="1" x14ac:dyDescent="0.2"/>
    <row r="2726" ht="15.75" customHeight="1" x14ac:dyDescent="0.2"/>
    <row r="2727" ht="15.75" customHeight="1" x14ac:dyDescent="0.2"/>
    <row r="2728" ht="15.75" customHeight="1" x14ac:dyDescent="0.2"/>
    <row r="2729" ht="15.75" customHeight="1" x14ac:dyDescent="0.2"/>
    <row r="2730" ht="15.75" customHeight="1" x14ac:dyDescent="0.2"/>
    <row r="2731" ht="15.75" customHeight="1" x14ac:dyDescent="0.2"/>
    <row r="2732" ht="15.75" customHeight="1" x14ac:dyDescent="0.2"/>
    <row r="2733" ht="15.75" customHeight="1" x14ac:dyDescent="0.2"/>
    <row r="2734" ht="15.75" customHeight="1" x14ac:dyDescent="0.2"/>
    <row r="2735" ht="15.75" customHeight="1" x14ac:dyDescent="0.2"/>
    <row r="2736" ht="15.75" customHeight="1" x14ac:dyDescent="0.2"/>
    <row r="2737" ht="15.75" customHeight="1" x14ac:dyDescent="0.2"/>
    <row r="2738" ht="15.75" customHeight="1" x14ac:dyDescent="0.2"/>
    <row r="2739" ht="15.75" customHeight="1" x14ac:dyDescent="0.2"/>
    <row r="2740" ht="15.75" customHeight="1" x14ac:dyDescent="0.2"/>
    <row r="2741" ht="15.75" customHeight="1" x14ac:dyDescent="0.2"/>
    <row r="2742" ht="15.75" customHeight="1" x14ac:dyDescent="0.2"/>
    <row r="2743" ht="15.75" customHeight="1" x14ac:dyDescent="0.2"/>
    <row r="2744" ht="15.75" customHeight="1" x14ac:dyDescent="0.2"/>
    <row r="2745" ht="15.75" customHeight="1" x14ac:dyDescent="0.2"/>
    <row r="2746" ht="15.75" customHeight="1" x14ac:dyDescent="0.2"/>
    <row r="2747" ht="15.75" customHeight="1" x14ac:dyDescent="0.2"/>
    <row r="2748" ht="15.75" customHeight="1" x14ac:dyDescent="0.2"/>
    <row r="2749" ht="15.75" customHeight="1" x14ac:dyDescent="0.2"/>
    <row r="2750" ht="15.75" customHeight="1" x14ac:dyDescent="0.2"/>
    <row r="2751" ht="15.75" customHeight="1" x14ac:dyDescent="0.2"/>
  </sheetData>
  <mergeCells count="11">
    <mergeCell ref="C4:C48"/>
    <mergeCell ref="C50:C58"/>
    <mergeCell ref="B50:B58"/>
    <mergeCell ref="B4:B48"/>
    <mergeCell ref="D12:D16"/>
    <mergeCell ref="D17:D21"/>
    <mergeCell ref="D22:D28"/>
    <mergeCell ref="D29:D35"/>
    <mergeCell ref="D36:D43"/>
    <mergeCell ref="D46:D47"/>
    <mergeCell ref="D44:D45"/>
  </mergeCells>
  <conditionalFormatting sqref="O1:O58 Q1:Q58">
    <cfRule type="expression" dxfId="0" priority="1">
      <formula>COUNTIF(O:O, O1)&gt;1</formula>
    </cfRule>
  </conditionalFormatting>
  <dataValidations count="4">
    <dataValidation type="list" allowBlank="1" showErrorMessage="1" sqref="B4 B49:B50" xr:uid="{00000000-0002-0000-0000-000003000000}">
      <formula1>$T$1:$T$6</formula1>
    </dataValidation>
    <dataValidation type="list" allowBlank="1" showErrorMessage="1" sqref="F4:F58" xr:uid="{00000000-0002-0000-0000-000000000000}">
      <formula1>$U$1:$U$3</formula1>
    </dataValidation>
    <dataValidation type="list" allowBlank="1" showErrorMessage="1" sqref="G4:G58" xr:uid="{00000000-0002-0000-0000-000002000000}">
      <formula1>$V$1:$V$2</formula1>
    </dataValidation>
    <dataValidation type="list" allowBlank="1" showErrorMessage="1" sqref="H4:H58" xr:uid="{00000000-0002-0000-0000-000004000000}">
      <formula1>$S$1:$S$15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7"/>
  <sheetViews>
    <sheetView workbookViewId="0"/>
  </sheetViews>
  <sheetFormatPr defaultColWidth="14.42578125" defaultRowHeight="15" customHeight="1" x14ac:dyDescent="0.2"/>
  <sheetData>
    <row r="1" spans="1:12" x14ac:dyDescent="0.25">
      <c r="A1" s="50" t="s">
        <v>144</v>
      </c>
      <c r="B1" s="50" t="s">
        <v>145</v>
      </c>
      <c r="C1" s="56" t="s">
        <v>146</v>
      </c>
      <c r="D1" s="56" t="s">
        <v>144</v>
      </c>
      <c r="E1" s="56" t="s">
        <v>145</v>
      </c>
      <c r="F1" s="56" t="s">
        <v>147</v>
      </c>
      <c r="G1" s="56" t="s">
        <v>148</v>
      </c>
      <c r="H1" s="56" t="s">
        <v>149</v>
      </c>
      <c r="I1" s="56" t="s">
        <v>150</v>
      </c>
      <c r="J1" s="56" t="s">
        <v>145</v>
      </c>
      <c r="K1" s="56" t="s">
        <v>144</v>
      </c>
      <c r="L1" s="56" t="s">
        <v>151</v>
      </c>
    </row>
    <row r="2" spans="1:12" x14ac:dyDescent="0.25">
      <c r="A2" s="50" t="s">
        <v>152</v>
      </c>
      <c r="B2" s="50" t="s">
        <v>153</v>
      </c>
      <c r="C2" s="50" t="s">
        <v>146</v>
      </c>
      <c r="D2" s="50" t="s">
        <v>152</v>
      </c>
      <c r="E2" s="50" t="s">
        <v>153</v>
      </c>
      <c r="F2" s="50" t="s">
        <v>147</v>
      </c>
      <c r="G2" s="50" t="s">
        <v>154</v>
      </c>
      <c r="H2" s="50" t="s">
        <v>155</v>
      </c>
      <c r="I2" s="50" t="s">
        <v>150</v>
      </c>
      <c r="J2" s="50" t="s">
        <v>156</v>
      </c>
      <c r="K2" s="50" t="s">
        <v>157</v>
      </c>
      <c r="L2" s="50" t="s">
        <v>158</v>
      </c>
    </row>
    <row r="3" spans="1:12" x14ac:dyDescent="0.25">
      <c r="A3" s="50" t="s">
        <v>157</v>
      </c>
      <c r="B3" s="50" t="s">
        <v>156</v>
      </c>
      <c r="C3" s="50" t="s">
        <v>146</v>
      </c>
      <c r="D3" s="50" t="s">
        <v>157</v>
      </c>
      <c r="E3" s="50" t="s">
        <v>156</v>
      </c>
      <c r="F3" s="50" t="s">
        <v>147</v>
      </c>
      <c r="G3" s="50" t="s">
        <v>159</v>
      </c>
      <c r="H3" s="50" t="s">
        <v>160</v>
      </c>
      <c r="I3" s="50" t="s">
        <v>150</v>
      </c>
      <c r="J3" s="50" t="s">
        <v>161</v>
      </c>
      <c r="K3" s="50" t="s">
        <v>162</v>
      </c>
      <c r="L3" s="50" t="s">
        <v>163</v>
      </c>
    </row>
    <row r="4" spans="1:12" x14ac:dyDescent="0.25">
      <c r="A4" s="50" t="s">
        <v>164</v>
      </c>
      <c r="B4" s="50" t="s">
        <v>165</v>
      </c>
      <c r="C4" s="50" t="s">
        <v>146</v>
      </c>
      <c r="D4" s="50" t="s">
        <v>152</v>
      </c>
      <c r="E4" s="50" t="s">
        <v>153</v>
      </c>
      <c r="F4" s="50" t="s">
        <v>147</v>
      </c>
      <c r="G4" s="50" t="s">
        <v>166</v>
      </c>
      <c r="H4" s="50" t="s">
        <v>167</v>
      </c>
      <c r="I4" s="50" t="s">
        <v>150</v>
      </c>
      <c r="J4" s="50" t="s">
        <v>156</v>
      </c>
      <c r="K4" s="50" t="s">
        <v>157</v>
      </c>
      <c r="L4" s="50" t="s">
        <v>158</v>
      </c>
    </row>
    <row r="5" spans="1:12" x14ac:dyDescent="0.25">
      <c r="A5" s="50" t="s">
        <v>162</v>
      </c>
      <c r="B5" s="50" t="s">
        <v>161</v>
      </c>
      <c r="C5" s="50" t="s">
        <v>146</v>
      </c>
      <c r="D5" s="50" t="s">
        <v>157</v>
      </c>
      <c r="E5" s="50" t="s">
        <v>156</v>
      </c>
      <c r="F5" s="50" t="s">
        <v>147</v>
      </c>
      <c r="G5" s="50" t="s">
        <v>168</v>
      </c>
      <c r="H5" s="50" t="s">
        <v>169</v>
      </c>
      <c r="I5" s="50" t="s">
        <v>150</v>
      </c>
      <c r="J5" s="50" t="s">
        <v>161</v>
      </c>
      <c r="K5" s="50" t="s">
        <v>162</v>
      </c>
      <c r="L5" s="50" t="s">
        <v>163</v>
      </c>
    </row>
    <row r="6" spans="1:12" x14ac:dyDescent="0.25">
      <c r="A6" s="50" t="s">
        <v>170</v>
      </c>
      <c r="B6" s="50" t="s">
        <v>171</v>
      </c>
      <c r="C6" s="50" t="s">
        <v>146</v>
      </c>
      <c r="D6" s="50" t="s">
        <v>152</v>
      </c>
      <c r="E6" s="50" t="s">
        <v>153</v>
      </c>
      <c r="F6" s="50" t="s">
        <v>147</v>
      </c>
      <c r="G6" s="50" t="s">
        <v>172</v>
      </c>
      <c r="H6" s="50" t="s">
        <v>173</v>
      </c>
      <c r="I6" s="50" t="s">
        <v>150</v>
      </c>
      <c r="J6" s="50" t="s">
        <v>156</v>
      </c>
      <c r="K6" s="50" t="s">
        <v>157</v>
      </c>
      <c r="L6" s="50" t="s">
        <v>158</v>
      </c>
    </row>
    <row r="7" spans="1:12" x14ac:dyDescent="0.25">
      <c r="A7" s="50" t="s">
        <v>174</v>
      </c>
      <c r="B7" s="50" t="s">
        <v>175</v>
      </c>
      <c r="C7" s="50" t="s">
        <v>146</v>
      </c>
      <c r="D7" s="50" t="s">
        <v>157</v>
      </c>
      <c r="E7" s="50" t="s">
        <v>156</v>
      </c>
      <c r="F7" s="50" t="s">
        <v>147</v>
      </c>
      <c r="G7" s="50" t="s">
        <v>176</v>
      </c>
      <c r="H7" s="50" t="s">
        <v>177</v>
      </c>
      <c r="I7" s="50" t="s">
        <v>150</v>
      </c>
      <c r="J7" s="50" t="s">
        <v>161</v>
      </c>
      <c r="K7" s="50" t="s">
        <v>162</v>
      </c>
      <c r="L7" s="50" t="s">
        <v>163</v>
      </c>
    </row>
    <row r="8" spans="1:12" x14ac:dyDescent="0.25">
      <c r="A8" s="50" t="s">
        <v>178</v>
      </c>
      <c r="B8" s="50" t="s">
        <v>179</v>
      </c>
      <c r="C8" s="50" t="s">
        <v>146</v>
      </c>
      <c r="D8" s="50" t="s">
        <v>152</v>
      </c>
      <c r="E8" s="50" t="s">
        <v>153</v>
      </c>
      <c r="F8" s="50" t="s">
        <v>147</v>
      </c>
      <c r="G8" s="50" t="s">
        <v>180</v>
      </c>
      <c r="H8" s="50" t="s">
        <v>181</v>
      </c>
      <c r="I8" s="50" t="s">
        <v>150</v>
      </c>
      <c r="J8" s="50" t="s">
        <v>156</v>
      </c>
      <c r="K8" s="50" t="s">
        <v>157</v>
      </c>
      <c r="L8" s="50" t="s">
        <v>158</v>
      </c>
    </row>
    <row r="9" spans="1:12" x14ac:dyDescent="0.25">
      <c r="A9" s="50" t="s">
        <v>144</v>
      </c>
      <c r="B9" s="50" t="s">
        <v>145</v>
      </c>
      <c r="C9" s="50" t="s">
        <v>146</v>
      </c>
      <c r="D9" s="50" t="s">
        <v>157</v>
      </c>
      <c r="E9" s="50" t="s">
        <v>156</v>
      </c>
      <c r="F9" s="50" t="s">
        <v>147</v>
      </c>
      <c r="G9" s="50" t="s">
        <v>182</v>
      </c>
      <c r="H9" s="50" t="s">
        <v>183</v>
      </c>
      <c r="I9" s="50" t="s">
        <v>150</v>
      </c>
      <c r="J9" s="50" t="s">
        <v>161</v>
      </c>
      <c r="K9" s="50" t="s">
        <v>162</v>
      </c>
      <c r="L9" s="50" t="s">
        <v>163</v>
      </c>
    </row>
    <row r="10" spans="1:12" x14ac:dyDescent="0.25">
      <c r="A10" s="50" t="s">
        <v>152</v>
      </c>
      <c r="B10" s="50" t="s">
        <v>153</v>
      </c>
      <c r="C10" s="50" t="s">
        <v>146</v>
      </c>
      <c r="D10" s="50" t="s">
        <v>152</v>
      </c>
      <c r="E10" s="50" t="s">
        <v>153</v>
      </c>
      <c r="F10" s="50" t="s">
        <v>147</v>
      </c>
      <c r="G10" s="50" t="s">
        <v>184</v>
      </c>
      <c r="H10" s="50" t="s">
        <v>185</v>
      </c>
      <c r="I10" s="50" t="s">
        <v>150</v>
      </c>
      <c r="J10" s="50" t="s">
        <v>156</v>
      </c>
      <c r="K10" s="50" t="s">
        <v>157</v>
      </c>
      <c r="L10" s="50" t="s">
        <v>158</v>
      </c>
    </row>
    <row r="11" spans="1:12" x14ac:dyDescent="0.25">
      <c r="A11" s="50" t="s">
        <v>157</v>
      </c>
      <c r="B11" s="50" t="s">
        <v>156</v>
      </c>
      <c r="C11" s="50" t="s">
        <v>146</v>
      </c>
      <c r="D11" s="50" t="s">
        <v>157</v>
      </c>
      <c r="E11" s="50" t="s">
        <v>156</v>
      </c>
      <c r="F11" s="50" t="s">
        <v>147</v>
      </c>
      <c r="G11" s="50" t="s">
        <v>186</v>
      </c>
      <c r="H11" s="50" t="s">
        <v>187</v>
      </c>
      <c r="I11" s="50" t="s">
        <v>150</v>
      </c>
      <c r="J11" s="50" t="s">
        <v>161</v>
      </c>
      <c r="K11" s="50" t="s">
        <v>162</v>
      </c>
      <c r="L11" s="50" t="s">
        <v>163</v>
      </c>
    </row>
    <row r="12" spans="1:12" x14ac:dyDescent="0.25">
      <c r="A12" s="50" t="s">
        <v>164</v>
      </c>
      <c r="B12" s="50" t="s">
        <v>165</v>
      </c>
      <c r="C12" s="50" t="s">
        <v>146</v>
      </c>
      <c r="D12" s="50" t="s">
        <v>152</v>
      </c>
      <c r="E12" s="50" t="s">
        <v>153</v>
      </c>
      <c r="F12" s="50" t="s">
        <v>147</v>
      </c>
      <c r="G12" s="50" t="s">
        <v>188</v>
      </c>
      <c r="H12" s="50" t="s">
        <v>189</v>
      </c>
      <c r="I12" s="50" t="s">
        <v>150</v>
      </c>
      <c r="J12" s="50" t="s">
        <v>156</v>
      </c>
      <c r="K12" s="50" t="s">
        <v>157</v>
      </c>
      <c r="L12" s="50" t="s">
        <v>158</v>
      </c>
    </row>
    <row r="13" spans="1:12" x14ac:dyDescent="0.25">
      <c r="A13" s="50" t="s">
        <v>162</v>
      </c>
      <c r="B13" s="50" t="s">
        <v>161</v>
      </c>
      <c r="C13" s="50" t="s">
        <v>146</v>
      </c>
      <c r="D13" s="50" t="s">
        <v>152</v>
      </c>
      <c r="E13" s="50" t="s">
        <v>153</v>
      </c>
      <c r="F13" s="50" t="s">
        <v>147</v>
      </c>
      <c r="G13" s="50" t="s">
        <v>190</v>
      </c>
      <c r="H13" s="50" t="s">
        <v>191</v>
      </c>
      <c r="I13" s="50" t="s">
        <v>150</v>
      </c>
      <c r="J13" s="50" t="s">
        <v>156</v>
      </c>
      <c r="K13" s="50" t="s">
        <v>157</v>
      </c>
      <c r="L13" s="50" t="s">
        <v>158</v>
      </c>
    </row>
    <row r="14" spans="1:12" x14ac:dyDescent="0.25">
      <c r="A14" s="50" t="s">
        <v>170</v>
      </c>
      <c r="B14" s="50" t="s">
        <v>171</v>
      </c>
      <c r="C14" s="50" t="s">
        <v>146</v>
      </c>
      <c r="D14" s="50" t="s">
        <v>157</v>
      </c>
      <c r="E14" s="50" t="s">
        <v>156</v>
      </c>
      <c r="F14" s="50" t="s">
        <v>147</v>
      </c>
      <c r="G14" s="50" t="s">
        <v>192</v>
      </c>
      <c r="H14" s="50" t="s">
        <v>193</v>
      </c>
      <c r="I14" s="50" t="s">
        <v>150</v>
      </c>
      <c r="J14" s="50" t="s">
        <v>161</v>
      </c>
      <c r="K14" s="50" t="s">
        <v>162</v>
      </c>
      <c r="L14" s="50" t="s">
        <v>163</v>
      </c>
    </row>
    <row r="15" spans="1:12" x14ac:dyDescent="0.25">
      <c r="A15" s="50" t="s">
        <v>174</v>
      </c>
      <c r="B15" s="50" t="s">
        <v>175</v>
      </c>
      <c r="C15" s="50" t="s">
        <v>146</v>
      </c>
      <c r="D15" s="50" t="s">
        <v>152</v>
      </c>
      <c r="E15" s="50" t="s">
        <v>153</v>
      </c>
      <c r="F15" s="50" t="s">
        <v>147</v>
      </c>
      <c r="G15" s="50" t="s">
        <v>194</v>
      </c>
      <c r="H15" s="50" t="s">
        <v>195</v>
      </c>
      <c r="I15" s="50" t="s">
        <v>150</v>
      </c>
      <c r="J15" s="50" t="s">
        <v>156</v>
      </c>
      <c r="K15" s="50" t="s">
        <v>157</v>
      </c>
      <c r="L15" s="50" t="s">
        <v>158</v>
      </c>
    </row>
    <row r="16" spans="1:12" x14ac:dyDescent="0.25">
      <c r="A16" s="50" t="s">
        <v>178</v>
      </c>
      <c r="B16" s="50" t="s">
        <v>179</v>
      </c>
      <c r="C16" s="50" t="s">
        <v>146</v>
      </c>
      <c r="D16" s="50" t="s">
        <v>157</v>
      </c>
      <c r="E16" s="50" t="s">
        <v>156</v>
      </c>
      <c r="F16" s="50" t="s">
        <v>147</v>
      </c>
      <c r="G16" s="50" t="s">
        <v>196</v>
      </c>
      <c r="H16" s="50" t="s">
        <v>197</v>
      </c>
      <c r="I16" s="50" t="s">
        <v>150</v>
      </c>
      <c r="J16" s="50" t="s">
        <v>161</v>
      </c>
      <c r="K16" s="50" t="s">
        <v>162</v>
      </c>
      <c r="L16" s="50" t="s">
        <v>163</v>
      </c>
    </row>
    <row r="17" spans="1:12" x14ac:dyDescent="0.25">
      <c r="A17" s="50" t="s">
        <v>144</v>
      </c>
      <c r="B17" s="50" t="s">
        <v>145</v>
      </c>
      <c r="C17" s="50" t="s">
        <v>146</v>
      </c>
      <c r="D17" s="50" t="s">
        <v>152</v>
      </c>
      <c r="E17" s="50" t="s">
        <v>153</v>
      </c>
      <c r="F17" s="50" t="s">
        <v>147</v>
      </c>
      <c r="G17" s="50" t="s">
        <v>198</v>
      </c>
      <c r="H17" s="50" t="s">
        <v>199</v>
      </c>
      <c r="I17" s="50" t="s">
        <v>150</v>
      </c>
      <c r="J17" s="50" t="s">
        <v>156</v>
      </c>
      <c r="K17" s="50" t="s">
        <v>157</v>
      </c>
      <c r="L17" s="50" t="s">
        <v>158</v>
      </c>
    </row>
    <row r="18" spans="1:12" x14ac:dyDescent="0.25">
      <c r="A18" s="50" t="s">
        <v>152</v>
      </c>
      <c r="B18" s="50" t="s">
        <v>153</v>
      </c>
      <c r="C18" s="50" t="s">
        <v>146</v>
      </c>
      <c r="D18" s="50" t="s">
        <v>157</v>
      </c>
      <c r="E18" s="50" t="s">
        <v>156</v>
      </c>
      <c r="F18" s="50" t="s">
        <v>147</v>
      </c>
      <c r="G18" s="50" t="s">
        <v>200</v>
      </c>
      <c r="H18" s="50" t="s">
        <v>201</v>
      </c>
      <c r="I18" s="50" t="s">
        <v>150</v>
      </c>
      <c r="J18" s="50" t="s">
        <v>161</v>
      </c>
      <c r="K18" s="50" t="s">
        <v>162</v>
      </c>
      <c r="L18" s="50" t="s">
        <v>163</v>
      </c>
    </row>
    <row r="19" spans="1:12" x14ac:dyDescent="0.25">
      <c r="A19" s="50" t="s">
        <v>157</v>
      </c>
      <c r="B19" s="50" t="s">
        <v>156</v>
      </c>
      <c r="C19" s="50" t="s">
        <v>146</v>
      </c>
      <c r="D19" s="50" t="s">
        <v>152</v>
      </c>
      <c r="E19" s="50" t="s">
        <v>153</v>
      </c>
      <c r="F19" s="50" t="s">
        <v>147</v>
      </c>
      <c r="G19" s="50" t="s">
        <v>202</v>
      </c>
      <c r="H19" s="50" t="s">
        <v>203</v>
      </c>
      <c r="I19" s="50" t="s">
        <v>150</v>
      </c>
      <c r="J19" s="50" t="s">
        <v>156</v>
      </c>
      <c r="K19" s="50" t="s">
        <v>157</v>
      </c>
      <c r="L19" s="50" t="s">
        <v>158</v>
      </c>
    </row>
    <row r="20" spans="1:12" x14ac:dyDescent="0.25">
      <c r="A20" s="50" t="s">
        <v>164</v>
      </c>
      <c r="B20" s="50" t="s">
        <v>165</v>
      </c>
    </row>
    <row r="21" spans="1:12" x14ac:dyDescent="0.25">
      <c r="A21" s="50" t="s">
        <v>162</v>
      </c>
      <c r="B21" s="50" t="s">
        <v>161</v>
      </c>
    </row>
    <row r="22" spans="1:12" x14ac:dyDescent="0.25">
      <c r="A22" s="50" t="s">
        <v>170</v>
      </c>
      <c r="B22" s="50" t="s">
        <v>171</v>
      </c>
    </row>
    <row r="23" spans="1:12" x14ac:dyDescent="0.25">
      <c r="A23" s="50" t="s">
        <v>174</v>
      </c>
      <c r="B23" s="50" t="s">
        <v>175</v>
      </c>
    </row>
    <row r="24" spans="1:12" x14ac:dyDescent="0.25">
      <c r="A24" s="50" t="s">
        <v>178</v>
      </c>
      <c r="B24" s="50" t="s">
        <v>179</v>
      </c>
    </row>
    <row r="25" spans="1:12" x14ac:dyDescent="0.25">
      <c r="A25" s="50" t="s">
        <v>144</v>
      </c>
      <c r="B25" s="50" t="s">
        <v>145</v>
      </c>
    </row>
    <row r="26" spans="1:12" x14ac:dyDescent="0.25">
      <c r="A26" s="50" t="s">
        <v>152</v>
      </c>
      <c r="B26" s="50" t="s">
        <v>153</v>
      </c>
    </row>
    <row r="27" spans="1:12" x14ac:dyDescent="0.25">
      <c r="A27" s="50" t="s">
        <v>157</v>
      </c>
      <c r="B27" s="50" t="s">
        <v>156</v>
      </c>
    </row>
    <row r="28" spans="1:12" x14ac:dyDescent="0.25">
      <c r="A28" s="50" t="s">
        <v>164</v>
      </c>
      <c r="B28" s="50" t="s">
        <v>165</v>
      </c>
    </row>
    <row r="29" spans="1:12" x14ac:dyDescent="0.25">
      <c r="A29" s="50" t="s">
        <v>162</v>
      </c>
      <c r="B29" s="50" t="s">
        <v>161</v>
      </c>
    </row>
    <row r="30" spans="1:12" x14ac:dyDescent="0.25">
      <c r="A30" s="50" t="s">
        <v>170</v>
      </c>
      <c r="B30" s="50" t="s">
        <v>171</v>
      </c>
    </row>
    <row r="31" spans="1:12" x14ac:dyDescent="0.25">
      <c r="A31" s="50" t="s">
        <v>174</v>
      </c>
      <c r="B31" s="50" t="s">
        <v>175</v>
      </c>
    </row>
    <row r="32" spans="1:12" x14ac:dyDescent="0.25">
      <c r="A32" s="50" t="s">
        <v>178</v>
      </c>
      <c r="B32" s="50" t="s">
        <v>179</v>
      </c>
    </row>
    <row r="33" spans="1:2" x14ac:dyDescent="0.25">
      <c r="A33" s="50" t="s">
        <v>144</v>
      </c>
      <c r="B33" s="50" t="s">
        <v>145</v>
      </c>
    </row>
    <row r="34" spans="1:2" x14ac:dyDescent="0.25">
      <c r="A34" s="50" t="s">
        <v>152</v>
      </c>
      <c r="B34" s="50" t="s">
        <v>153</v>
      </c>
    </row>
    <row r="35" spans="1:2" x14ac:dyDescent="0.25">
      <c r="A35" s="50" t="s">
        <v>157</v>
      </c>
      <c r="B35" s="50" t="s">
        <v>156</v>
      </c>
    </row>
    <row r="36" spans="1:2" x14ac:dyDescent="0.25">
      <c r="A36" s="50" t="s">
        <v>164</v>
      </c>
      <c r="B36" s="50" t="s">
        <v>165</v>
      </c>
    </row>
    <row r="37" spans="1:2" x14ac:dyDescent="0.25">
      <c r="A37" s="50" t="s">
        <v>162</v>
      </c>
      <c r="B37" s="50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2025-07-18T09:27:40Z</dcterms:created>
  <dcterms:modified xsi:type="dcterms:W3CDTF">2025-07-18T09:27:40Z</dcterms:modified>
</cp:coreProperties>
</file>