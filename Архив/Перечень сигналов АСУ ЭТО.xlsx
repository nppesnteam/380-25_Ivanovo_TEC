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1868D11E-9707-4041-A187-C572F06E9A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2" i="1" l="1"/>
  <c r="M242" i="1"/>
  <c r="L242" i="1"/>
  <c r="K242" i="1"/>
  <c r="J242" i="1"/>
  <c r="I242" i="1"/>
  <c r="N241" i="1"/>
  <c r="M241" i="1"/>
  <c r="L241" i="1"/>
  <c r="K241" i="1"/>
  <c r="J241" i="1"/>
  <c r="I241" i="1"/>
  <c r="N240" i="1"/>
  <c r="M240" i="1"/>
  <c r="L240" i="1"/>
  <c r="K240" i="1"/>
  <c r="J240" i="1"/>
  <c r="I240" i="1"/>
  <c r="N239" i="1"/>
  <c r="M239" i="1"/>
  <c r="L239" i="1"/>
  <c r="K239" i="1"/>
  <c r="J239" i="1"/>
  <c r="I239" i="1"/>
  <c r="N238" i="1"/>
  <c r="M238" i="1"/>
  <c r="L238" i="1"/>
  <c r="K238" i="1"/>
  <c r="J238" i="1"/>
  <c r="I238" i="1"/>
  <c r="N237" i="1"/>
  <c r="M237" i="1"/>
  <c r="L237" i="1"/>
  <c r="K237" i="1"/>
  <c r="J237" i="1"/>
  <c r="I237" i="1"/>
  <c r="N236" i="1"/>
  <c r="M236" i="1"/>
  <c r="L236" i="1"/>
  <c r="K236" i="1"/>
  <c r="J236" i="1"/>
  <c r="I236" i="1"/>
  <c r="N235" i="1"/>
  <c r="M235" i="1"/>
  <c r="L235" i="1"/>
  <c r="K235" i="1"/>
  <c r="J235" i="1"/>
  <c r="I235" i="1"/>
  <c r="N234" i="1"/>
  <c r="M234" i="1"/>
  <c r="L234" i="1"/>
  <c r="K234" i="1"/>
  <c r="J234" i="1"/>
  <c r="I234" i="1"/>
  <c r="N233" i="1"/>
  <c r="M233" i="1"/>
  <c r="L233" i="1"/>
  <c r="K233" i="1"/>
  <c r="J233" i="1"/>
  <c r="I233" i="1"/>
  <c r="N232" i="1"/>
  <c r="M232" i="1"/>
  <c r="L232" i="1"/>
  <c r="K232" i="1"/>
  <c r="J232" i="1"/>
  <c r="I232" i="1"/>
  <c r="N231" i="1"/>
  <c r="M231" i="1"/>
  <c r="L231" i="1"/>
  <c r="K231" i="1"/>
  <c r="J231" i="1"/>
  <c r="I231" i="1"/>
  <c r="N230" i="1"/>
  <c r="M230" i="1"/>
  <c r="L230" i="1"/>
  <c r="K230" i="1"/>
  <c r="J230" i="1"/>
  <c r="I230" i="1"/>
  <c r="N229" i="1"/>
  <c r="M229" i="1"/>
  <c r="L229" i="1"/>
  <c r="K229" i="1"/>
  <c r="J229" i="1"/>
  <c r="I229" i="1"/>
  <c r="N228" i="1"/>
  <c r="M228" i="1"/>
  <c r="L228" i="1"/>
  <c r="K228" i="1"/>
  <c r="J228" i="1"/>
  <c r="I228" i="1"/>
  <c r="N227" i="1"/>
  <c r="M227" i="1"/>
  <c r="L227" i="1"/>
  <c r="K227" i="1"/>
  <c r="J227" i="1"/>
  <c r="I227" i="1"/>
  <c r="N226" i="1"/>
  <c r="M226" i="1"/>
  <c r="L226" i="1"/>
  <c r="K226" i="1"/>
  <c r="J226" i="1"/>
  <c r="I226" i="1"/>
  <c r="N225" i="1"/>
  <c r="M225" i="1"/>
  <c r="L225" i="1"/>
  <c r="K225" i="1"/>
  <c r="J225" i="1"/>
  <c r="I225" i="1"/>
  <c r="N224" i="1"/>
  <c r="M224" i="1"/>
  <c r="L224" i="1"/>
  <c r="K224" i="1"/>
  <c r="J224" i="1"/>
  <c r="I224" i="1"/>
  <c r="N223" i="1"/>
  <c r="M223" i="1"/>
  <c r="L223" i="1"/>
  <c r="K223" i="1"/>
  <c r="J223" i="1"/>
  <c r="I223" i="1"/>
  <c r="N222" i="1"/>
  <c r="M222" i="1"/>
  <c r="L222" i="1"/>
  <c r="K222" i="1"/>
  <c r="J222" i="1"/>
  <c r="I222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N219" i="1"/>
  <c r="M219" i="1"/>
  <c r="L219" i="1"/>
  <c r="K219" i="1"/>
  <c r="J219" i="1"/>
  <c r="I219" i="1"/>
  <c r="N218" i="1"/>
  <c r="M218" i="1"/>
  <c r="L218" i="1"/>
  <c r="K218" i="1"/>
  <c r="J218" i="1"/>
  <c r="I218" i="1"/>
  <c r="N217" i="1"/>
  <c r="M217" i="1"/>
  <c r="L217" i="1"/>
  <c r="K217" i="1"/>
  <c r="J217" i="1"/>
  <c r="I217" i="1"/>
  <c r="N216" i="1"/>
  <c r="M216" i="1"/>
  <c r="L216" i="1"/>
  <c r="K216" i="1"/>
  <c r="J216" i="1"/>
  <c r="I216" i="1"/>
  <c r="N215" i="1"/>
  <c r="M215" i="1"/>
  <c r="L215" i="1"/>
  <c r="K215" i="1"/>
  <c r="J215" i="1"/>
  <c r="I215" i="1"/>
  <c r="N214" i="1"/>
  <c r="M214" i="1"/>
  <c r="L214" i="1"/>
  <c r="K214" i="1"/>
  <c r="J214" i="1"/>
  <c r="I214" i="1"/>
  <c r="N213" i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M203" i="1"/>
  <c r="L203" i="1"/>
  <c r="K203" i="1"/>
  <c r="J203" i="1"/>
  <c r="I203" i="1"/>
  <c r="M202" i="1"/>
  <c r="L202" i="1"/>
  <c r="K202" i="1"/>
  <c r="J202" i="1"/>
  <c r="I202" i="1"/>
  <c r="M201" i="1"/>
  <c r="L201" i="1"/>
  <c r="K201" i="1"/>
  <c r="J201" i="1"/>
  <c r="I201" i="1"/>
  <c r="M200" i="1"/>
  <c r="L200" i="1"/>
  <c r="K200" i="1"/>
  <c r="J200" i="1"/>
  <c r="I200" i="1"/>
  <c r="N199" i="1"/>
  <c r="N200" i="1" s="1"/>
  <c r="N201" i="1" s="1"/>
  <c r="N202" i="1" s="1"/>
  <c r="N203" i="1" s="1"/>
  <c r="M199" i="1"/>
  <c r="L199" i="1"/>
  <c r="K199" i="1"/>
  <c r="J199" i="1"/>
  <c r="I199" i="1"/>
  <c r="M198" i="1"/>
  <c r="L198" i="1"/>
  <c r="K198" i="1"/>
  <c r="J198" i="1"/>
  <c r="I198" i="1"/>
  <c r="M197" i="1"/>
  <c r="L197" i="1"/>
  <c r="K197" i="1"/>
  <c r="J197" i="1"/>
  <c r="I197" i="1"/>
  <c r="M196" i="1"/>
  <c r="L196" i="1"/>
  <c r="K196" i="1"/>
  <c r="J196" i="1"/>
  <c r="I196" i="1"/>
  <c r="M195" i="1"/>
  <c r="L195" i="1"/>
  <c r="K195" i="1"/>
  <c r="J195" i="1"/>
  <c r="I195" i="1"/>
  <c r="M194" i="1"/>
  <c r="L194" i="1"/>
  <c r="K194" i="1"/>
  <c r="J194" i="1"/>
  <c r="I194" i="1"/>
  <c r="N193" i="1"/>
  <c r="N194" i="1" s="1"/>
  <c r="N195" i="1" s="1"/>
  <c r="N196" i="1" s="1"/>
  <c r="N197" i="1" s="1"/>
  <c r="M193" i="1"/>
  <c r="L193" i="1"/>
  <c r="K193" i="1"/>
  <c r="J193" i="1"/>
  <c r="I193" i="1"/>
  <c r="M192" i="1"/>
  <c r="L192" i="1"/>
  <c r="K192" i="1"/>
  <c r="J192" i="1"/>
  <c r="I192" i="1"/>
  <c r="M191" i="1"/>
  <c r="L191" i="1"/>
  <c r="K191" i="1"/>
  <c r="J191" i="1"/>
  <c r="I191" i="1"/>
  <c r="M190" i="1"/>
  <c r="L190" i="1"/>
  <c r="K190" i="1"/>
  <c r="J190" i="1"/>
  <c r="I190" i="1"/>
  <c r="M189" i="1"/>
  <c r="L189" i="1"/>
  <c r="K189" i="1"/>
  <c r="J189" i="1"/>
  <c r="I189" i="1"/>
  <c r="M188" i="1"/>
  <c r="L188" i="1"/>
  <c r="K188" i="1"/>
  <c r="J188" i="1"/>
  <c r="I188" i="1"/>
  <c r="N187" i="1"/>
  <c r="N188" i="1" s="1"/>
  <c r="N189" i="1" s="1"/>
  <c r="N190" i="1" s="1"/>
  <c r="N191" i="1" s="1"/>
  <c r="M187" i="1"/>
  <c r="L187" i="1"/>
  <c r="K187" i="1"/>
  <c r="J187" i="1"/>
  <c r="I187" i="1"/>
  <c r="M186" i="1"/>
  <c r="L186" i="1"/>
  <c r="K186" i="1"/>
  <c r="J186" i="1"/>
  <c r="I186" i="1"/>
  <c r="M185" i="1"/>
  <c r="L185" i="1"/>
  <c r="K185" i="1"/>
  <c r="J185" i="1"/>
  <c r="I185" i="1"/>
  <c r="M184" i="1"/>
  <c r="L184" i="1"/>
  <c r="K184" i="1"/>
  <c r="J184" i="1"/>
  <c r="I184" i="1"/>
  <c r="M183" i="1"/>
  <c r="L183" i="1"/>
  <c r="K183" i="1"/>
  <c r="J183" i="1"/>
  <c r="I183" i="1"/>
  <c r="M182" i="1"/>
  <c r="L182" i="1"/>
  <c r="K182" i="1"/>
  <c r="J182" i="1"/>
  <c r="I182" i="1"/>
  <c r="N181" i="1"/>
  <c r="N182" i="1" s="1"/>
  <c r="N183" i="1" s="1"/>
  <c r="N184" i="1" s="1"/>
  <c r="N185" i="1" s="1"/>
  <c r="M181" i="1"/>
  <c r="L181" i="1"/>
  <c r="K181" i="1"/>
  <c r="J181" i="1"/>
  <c r="I181" i="1"/>
  <c r="M180" i="1"/>
  <c r="L180" i="1"/>
  <c r="K180" i="1"/>
  <c r="J180" i="1"/>
  <c r="I180" i="1"/>
  <c r="M179" i="1"/>
  <c r="L179" i="1"/>
  <c r="K179" i="1"/>
  <c r="J179" i="1"/>
  <c r="I179" i="1"/>
  <c r="M178" i="1"/>
  <c r="L178" i="1"/>
  <c r="K178" i="1"/>
  <c r="J178" i="1"/>
  <c r="I178" i="1"/>
  <c r="M177" i="1"/>
  <c r="L177" i="1"/>
  <c r="K177" i="1"/>
  <c r="J177" i="1"/>
  <c r="I177" i="1"/>
  <c r="N176" i="1"/>
  <c r="N177" i="1" s="1"/>
  <c r="N178" i="1" s="1"/>
  <c r="N179" i="1" s="1"/>
  <c r="M176" i="1"/>
  <c r="L176" i="1"/>
  <c r="K176" i="1"/>
  <c r="J176" i="1"/>
  <c r="I176" i="1"/>
  <c r="N175" i="1"/>
  <c r="M175" i="1"/>
  <c r="L175" i="1"/>
  <c r="K175" i="1"/>
  <c r="J175" i="1"/>
  <c r="I175" i="1"/>
  <c r="M174" i="1"/>
  <c r="L174" i="1"/>
  <c r="K174" i="1"/>
  <c r="J174" i="1"/>
  <c r="I174" i="1"/>
  <c r="M173" i="1"/>
  <c r="L173" i="1"/>
  <c r="K173" i="1"/>
  <c r="J173" i="1"/>
  <c r="I173" i="1"/>
  <c r="M172" i="1"/>
  <c r="L172" i="1"/>
  <c r="K172" i="1"/>
  <c r="J172" i="1"/>
  <c r="I172" i="1"/>
  <c r="M171" i="1"/>
  <c r="L171" i="1"/>
  <c r="K171" i="1"/>
  <c r="J171" i="1"/>
  <c r="I171" i="1"/>
  <c r="M170" i="1"/>
  <c r="L170" i="1"/>
  <c r="K170" i="1"/>
  <c r="J170" i="1"/>
  <c r="I170" i="1"/>
  <c r="N169" i="1"/>
  <c r="N170" i="1" s="1"/>
  <c r="N171" i="1" s="1"/>
  <c r="N172" i="1" s="1"/>
  <c r="N173" i="1" s="1"/>
  <c r="M169" i="1"/>
  <c r="L169" i="1"/>
  <c r="K169" i="1"/>
  <c r="J169" i="1"/>
  <c r="I169" i="1"/>
  <c r="M168" i="1"/>
  <c r="L168" i="1"/>
  <c r="K168" i="1"/>
  <c r="J168" i="1"/>
  <c r="I168" i="1"/>
  <c r="M167" i="1"/>
  <c r="L167" i="1"/>
  <c r="K167" i="1"/>
  <c r="J167" i="1"/>
  <c r="I167" i="1"/>
  <c r="M166" i="1"/>
  <c r="L166" i="1"/>
  <c r="K166" i="1"/>
  <c r="J166" i="1"/>
  <c r="I166" i="1"/>
  <c r="M165" i="1"/>
  <c r="L165" i="1"/>
  <c r="K165" i="1"/>
  <c r="J165" i="1"/>
  <c r="I165" i="1"/>
  <c r="M164" i="1"/>
  <c r="L164" i="1"/>
  <c r="K164" i="1"/>
  <c r="J164" i="1"/>
  <c r="I164" i="1"/>
  <c r="N163" i="1"/>
  <c r="N164" i="1" s="1"/>
  <c r="N165" i="1" s="1"/>
  <c r="N166" i="1" s="1"/>
  <c r="N167" i="1" s="1"/>
  <c r="M163" i="1"/>
  <c r="L163" i="1"/>
  <c r="K163" i="1"/>
  <c r="J163" i="1"/>
  <c r="I163" i="1"/>
  <c r="M162" i="1"/>
  <c r="L162" i="1"/>
  <c r="K162" i="1"/>
  <c r="J162" i="1"/>
  <c r="I162" i="1"/>
  <c r="M161" i="1"/>
  <c r="L161" i="1"/>
  <c r="K161" i="1"/>
  <c r="J161" i="1"/>
  <c r="I161" i="1"/>
  <c r="M160" i="1"/>
  <c r="L160" i="1"/>
  <c r="K160" i="1"/>
  <c r="J160" i="1"/>
  <c r="I160" i="1"/>
  <c r="M159" i="1"/>
  <c r="L159" i="1"/>
  <c r="K159" i="1"/>
  <c r="J159" i="1"/>
  <c r="I159" i="1"/>
  <c r="M158" i="1"/>
  <c r="L158" i="1"/>
  <c r="K158" i="1"/>
  <c r="J158" i="1"/>
  <c r="I158" i="1"/>
  <c r="N157" i="1"/>
  <c r="N158" i="1" s="1"/>
  <c r="N159" i="1" s="1"/>
  <c r="N160" i="1" s="1"/>
  <c r="N161" i="1" s="1"/>
  <c r="M157" i="1"/>
  <c r="L157" i="1"/>
  <c r="K157" i="1"/>
  <c r="J157" i="1"/>
  <c r="I157" i="1"/>
  <c r="M156" i="1"/>
  <c r="L156" i="1"/>
  <c r="K156" i="1"/>
  <c r="J156" i="1"/>
  <c r="I156" i="1"/>
  <c r="M155" i="1"/>
  <c r="L155" i="1"/>
  <c r="K155" i="1"/>
  <c r="J155" i="1"/>
  <c r="I155" i="1"/>
  <c r="M154" i="1"/>
  <c r="L154" i="1"/>
  <c r="K154" i="1"/>
  <c r="J154" i="1"/>
  <c r="I154" i="1"/>
  <c r="M153" i="1"/>
  <c r="L153" i="1"/>
  <c r="K153" i="1"/>
  <c r="J153" i="1"/>
  <c r="I153" i="1"/>
  <c r="N152" i="1"/>
  <c r="N153" i="1" s="1"/>
  <c r="N154" i="1" s="1"/>
  <c r="N155" i="1" s="1"/>
  <c r="M152" i="1"/>
  <c r="L152" i="1"/>
  <c r="K152" i="1"/>
  <c r="J152" i="1"/>
  <c r="I152" i="1"/>
  <c r="N151" i="1"/>
  <c r="M151" i="1"/>
  <c r="L151" i="1"/>
  <c r="K151" i="1"/>
  <c r="J151" i="1"/>
  <c r="I151" i="1"/>
  <c r="M150" i="1"/>
  <c r="L150" i="1"/>
  <c r="K150" i="1"/>
  <c r="J150" i="1"/>
  <c r="I150" i="1"/>
  <c r="M149" i="1"/>
  <c r="L149" i="1"/>
  <c r="K149" i="1"/>
  <c r="J149" i="1"/>
  <c r="I149" i="1"/>
  <c r="M148" i="1"/>
  <c r="L148" i="1"/>
  <c r="K148" i="1"/>
  <c r="J148" i="1"/>
  <c r="I148" i="1"/>
  <c r="M147" i="1"/>
  <c r="L147" i="1"/>
  <c r="K147" i="1"/>
  <c r="J147" i="1"/>
  <c r="I147" i="1"/>
  <c r="M146" i="1"/>
  <c r="L146" i="1"/>
  <c r="K146" i="1"/>
  <c r="J146" i="1"/>
  <c r="I146" i="1"/>
  <c r="N145" i="1"/>
  <c r="N146" i="1" s="1"/>
  <c r="N147" i="1" s="1"/>
  <c r="N148" i="1" s="1"/>
  <c r="N149" i="1" s="1"/>
  <c r="M145" i="1"/>
  <c r="L145" i="1"/>
  <c r="K145" i="1"/>
  <c r="J145" i="1"/>
  <c r="I145" i="1"/>
  <c r="M144" i="1"/>
  <c r="L144" i="1"/>
  <c r="K144" i="1"/>
  <c r="J144" i="1"/>
  <c r="I144" i="1"/>
  <c r="M143" i="1"/>
  <c r="L143" i="1"/>
  <c r="K143" i="1"/>
  <c r="J143" i="1"/>
  <c r="I143" i="1"/>
  <c r="M142" i="1"/>
  <c r="L142" i="1"/>
  <c r="K142" i="1"/>
  <c r="J142" i="1"/>
  <c r="I142" i="1"/>
  <c r="M141" i="1"/>
  <c r="L141" i="1"/>
  <c r="K141" i="1"/>
  <c r="J141" i="1"/>
  <c r="I141" i="1"/>
  <c r="M140" i="1"/>
  <c r="L140" i="1"/>
  <c r="K140" i="1"/>
  <c r="J140" i="1"/>
  <c r="I140" i="1"/>
  <c r="N139" i="1"/>
  <c r="N140" i="1" s="1"/>
  <c r="N141" i="1" s="1"/>
  <c r="N142" i="1" s="1"/>
  <c r="N143" i="1" s="1"/>
  <c r="M139" i="1"/>
  <c r="L139" i="1"/>
  <c r="K139" i="1"/>
  <c r="J139" i="1"/>
  <c r="I139" i="1"/>
  <c r="M138" i="1"/>
  <c r="L138" i="1"/>
  <c r="K138" i="1"/>
  <c r="J138" i="1"/>
  <c r="I138" i="1"/>
  <c r="M137" i="1"/>
  <c r="L137" i="1"/>
  <c r="K137" i="1"/>
  <c r="J137" i="1"/>
  <c r="I137" i="1"/>
  <c r="M136" i="1"/>
  <c r="L136" i="1"/>
  <c r="K136" i="1"/>
  <c r="J136" i="1"/>
  <c r="I136" i="1"/>
  <c r="N135" i="1"/>
  <c r="N136" i="1" s="1"/>
  <c r="N137" i="1" s="1"/>
  <c r="M135" i="1"/>
  <c r="L135" i="1"/>
  <c r="K135" i="1"/>
  <c r="J135" i="1"/>
  <c r="I135" i="1"/>
  <c r="M134" i="1"/>
  <c r="L134" i="1"/>
  <c r="K134" i="1"/>
  <c r="J134" i="1"/>
  <c r="I134" i="1"/>
  <c r="N133" i="1"/>
  <c r="N134" i="1" s="1"/>
  <c r="M133" i="1"/>
  <c r="L133" i="1"/>
  <c r="K133" i="1"/>
  <c r="J133" i="1"/>
  <c r="I133" i="1"/>
  <c r="M132" i="1"/>
  <c r="L132" i="1"/>
  <c r="K132" i="1"/>
  <c r="J132" i="1"/>
  <c r="I132" i="1"/>
  <c r="M131" i="1"/>
  <c r="L131" i="1"/>
  <c r="K131" i="1"/>
  <c r="J131" i="1"/>
  <c r="I131" i="1"/>
  <c r="M130" i="1"/>
  <c r="L130" i="1"/>
  <c r="K130" i="1"/>
  <c r="J130" i="1"/>
  <c r="I130" i="1"/>
  <c r="M129" i="1"/>
  <c r="L129" i="1"/>
  <c r="K129" i="1"/>
  <c r="J129" i="1"/>
  <c r="I129" i="1"/>
  <c r="M128" i="1"/>
  <c r="L128" i="1"/>
  <c r="K128" i="1"/>
  <c r="J128" i="1"/>
  <c r="I128" i="1"/>
  <c r="N127" i="1"/>
  <c r="N128" i="1" s="1"/>
  <c r="N129" i="1" s="1"/>
  <c r="N130" i="1" s="1"/>
  <c r="N131" i="1" s="1"/>
  <c r="M127" i="1"/>
  <c r="L127" i="1"/>
  <c r="K127" i="1"/>
  <c r="J127" i="1"/>
  <c r="I127" i="1"/>
  <c r="M126" i="1"/>
  <c r="L126" i="1"/>
  <c r="K126" i="1"/>
  <c r="J126" i="1"/>
  <c r="I126" i="1"/>
  <c r="M125" i="1"/>
  <c r="L125" i="1"/>
  <c r="K125" i="1"/>
  <c r="J125" i="1"/>
  <c r="I125" i="1"/>
  <c r="M124" i="1"/>
  <c r="L124" i="1"/>
  <c r="K124" i="1"/>
  <c r="J124" i="1"/>
  <c r="I124" i="1"/>
  <c r="M123" i="1"/>
  <c r="L123" i="1"/>
  <c r="K123" i="1"/>
  <c r="J123" i="1"/>
  <c r="I123" i="1"/>
  <c r="M122" i="1"/>
  <c r="L122" i="1"/>
  <c r="K122" i="1"/>
  <c r="J122" i="1"/>
  <c r="I122" i="1"/>
  <c r="N121" i="1"/>
  <c r="N122" i="1" s="1"/>
  <c r="N123" i="1" s="1"/>
  <c r="N124" i="1" s="1"/>
  <c r="N125" i="1" s="1"/>
  <c r="M121" i="1"/>
  <c r="L121" i="1"/>
  <c r="K121" i="1"/>
  <c r="J121" i="1"/>
  <c r="I121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N114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M97" i="1"/>
  <c r="L97" i="1"/>
  <c r="K97" i="1"/>
  <c r="J97" i="1"/>
  <c r="I97" i="1"/>
  <c r="M96" i="1"/>
  <c r="L96" i="1"/>
  <c r="K96" i="1"/>
  <c r="J96" i="1"/>
  <c r="I96" i="1"/>
  <c r="M95" i="1"/>
  <c r="L95" i="1"/>
  <c r="K95" i="1"/>
  <c r="J95" i="1"/>
  <c r="I95" i="1"/>
  <c r="M94" i="1"/>
  <c r="L94" i="1"/>
  <c r="K94" i="1"/>
  <c r="J94" i="1"/>
  <c r="I94" i="1"/>
  <c r="N93" i="1"/>
  <c r="N94" i="1" s="1"/>
  <c r="N95" i="1" s="1"/>
  <c r="N96" i="1" s="1"/>
  <c r="N97" i="1" s="1"/>
  <c r="M93" i="1"/>
  <c r="L93" i="1"/>
  <c r="K93" i="1"/>
  <c r="J93" i="1"/>
  <c r="I93" i="1"/>
  <c r="M92" i="1"/>
  <c r="L92" i="1"/>
  <c r="K92" i="1"/>
  <c r="J92" i="1"/>
  <c r="I92" i="1"/>
  <c r="M91" i="1"/>
  <c r="L91" i="1"/>
  <c r="K91" i="1"/>
  <c r="J91" i="1"/>
  <c r="I91" i="1"/>
  <c r="M90" i="1"/>
  <c r="L90" i="1"/>
  <c r="K90" i="1"/>
  <c r="J90" i="1"/>
  <c r="I90" i="1"/>
  <c r="M89" i="1"/>
  <c r="L89" i="1"/>
  <c r="K89" i="1"/>
  <c r="J89" i="1"/>
  <c r="I89" i="1"/>
  <c r="M88" i="1"/>
  <c r="L88" i="1"/>
  <c r="K88" i="1"/>
  <c r="J88" i="1"/>
  <c r="I88" i="1"/>
  <c r="N87" i="1"/>
  <c r="N88" i="1" s="1"/>
  <c r="N89" i="1" s="1"/>
  <c r="N90" i="1" s="1"/>
  <c r="N91" i="1" s="1"/>
  <c r="M87" i="1"/>
  <c r="L87" i="1"/>
  <c r="K87" i="1"/>
  <c r="J87" i="1"/>
  <c r="I87" i="1"/>
  <c r="M86" i="1"/>
  <c r="L86" i="1"/>
  <c r="K86" i="1"/>
  <c r="J86" i="1"/>
  <c r="I86" i="1"/>
  <c r="M85" i="1"/>
  <c r="L85" i="1"/>
  <c r="K85" i="1"/>
  <c r="J85" i="1"/>
  <c r="I85" i="1"/>
  <c r="M84" i="1"/>
  <c r="L84" i="1"/>
  <c r="K84" i="1"/>
  <c r="J84" i="1"/>
  <c r="I84" i="1"/>
  <c r="M83" i="1"/>
  <c r="L83" i="1"/>
  <c r="K83" i="1"/>
  <c r="J83" i="1"/>
  <c r="I83" i="1"/>
  <c r="M82" i="1"/>
  <c r="L82" i="1"/>
  <c r="K82" i="1"/>
  <c r="J82" i="1"/>
  <c r="I82" i="1"/>
  <c r="N81" i="1"/>
  <c r="N82" i="1" s="1"/>
  <c r="N83" i="1" s="1"/>
  <c r="N84" i="1" s="1"/>
  <c r="N85" i="1" s="1"/>
  <c r="M81" i="1"/>
  <c r="L81" i="1"/>
  <c r="K81" i="1"/>
  <c r="J81" i="1"/>
  <c r="I81" i="1"/>
  <c r="M80" i="1"/>
  <c r="L80" i="1"/>
  <c r="K80" i="1"/>
  <c r="J80" i="1"/>
  <c r="I80" i="1"/>
  <c r="M79" i="1"/>
  <c r="L79" i="1"/>
  <c r="K79" i="1"/>
  <c r="J79" i="1"/>
  <c r="I79" i="1"/>
  <c r="M78" i="1"/>
  <c r="L78" i="1"/>
  <c r="K78" i="1"/>
  <c r="J78" i="1"/>
  <c r="I78" i="1"/>
  <c r="M77" i="1"/>
  <c r="L77" i="1"/>
  <c r="K77" i="1"/>
  <c r="J77" i="1"/>
  <c r="I77" i="1"/>
  <c r="M76" i="1"/>
  <c r="L76" i="1"/>
  <c r="K76" i="1"/>
  <c r="J76" i="1"/>
  <c r="I76" i="1"/>
  <c r="N75" i="1"/>
  <c r="N76" i="1" s="1"/>
  <c r="N77" i="1" s="1"/>
  <c r="N78" i="1" s="1"/>
  <c r="N79" i="1" s="1"/>
  <c r="M75" i="1"/>
  <c r="L75" i="1"/>
  <c r="K75" i="1"/>
  <c r="J75" i="1"/>
  <c r="I75" i="1"/>
  <c r="M74" i="1"/>
  <c r="L74" i="1"/>
  <c r="K74" i="1"/>
  <c r="J74" i="1"/>
  <c r="I74" i="1"/>
  <c r="M73" i="1"/>
  <c r="L73" i="1"/>
  <c r="K73" i="1"/>
  <c r="J73" i="1"/>
  <c r="I73" i="1"/>
  <c r="M72" i="1"/>
  <c r="L72" i="1"/>
  <c r="K72" i="1"/>
  <c r="J72" i="1"/>
  <c r="I72" i="1"/>
  <c r="M71" i="1"/>
  <c r="L71" i="1"/>
  <c r="K71" i="1"/>
  <c r="J71" i="1"/>
  <c r="I71" i="1"/>
  <c r="M70" i="1"/>
  <c r="L70" i="1"/>
  <c r="K70" i="1"/>
  <c r="J70" i="1"/>
  <c r="I70" i="1"/>
  <c r="N69" i="1"/>
  <c r="N70" i="1" s="1"/>
  <c r="N71" i="1" s="1"/>
  <c r="N72" i="1" s="1"/>
  <c r="N73" i="1" s="1"/>
  <c r="M69" i="1"/>
  <c r="L69" i="1"/>
  <c r="K69" i="1"/>
  <c r="J69" i="1"/>
  <c r="I69" i="1"/>
  <c r="M68" i="1"/>
  <c r="L68" i="1"/>
  <c r="K68" i="1"/>
  <c r="J68" i="1"/>
  <c r="I68" i="1"/>
  <c r="M67" i="1"/>
  <c r="L67" i="1"/>
  <c r="K67" i="1"/>
  <c r="J67" i="1"/>
  <c r="I67" i="1"/>
  <c r="M66" i="1"/>
  <c r="L66" i="1"/>
  <c r="K66" i="1"/>
  <c r="J66" i="1"/>
  <c r="I66" i="1"/>
  <c r="M65" i="1"/>
  <c r="L65" i="1"/>
  <c r="K65" i="1"/>
  <c r="J65" i="1"/>
  <c r="I65" i="1"/>
  <c r="M64" i="1"/>
  <c r="L64" i="1"/>
  <c r="K64" i="1"/>
  <c r="J64" i="1"/>
  <c r="I64" i="1"/>
  <c r="N63" i="1"/>
  <c r="N64" i="1" s="1"/>
  <c r="N65" i="1" s="1"/>
  <c r="N66" i="1" s="1"/>
  <c r="N67" i="1" s="1"/>
  <c r="M63" i="1"/>
  <c r="L63" i="1"/>
  <c r="K63" i="1"/>
  <c r="J63" i="1"/>
  <c r="I63" i="1"/>
  <c r="M62" i="1"/>
  <c r="L62" i="1"/>
  <c r="K62" i="1"/>
  <c r="J62" i="1"/>
  <c r="I62" i="1"/>
  <c r="M61" i="1"/>
  <c r="L61" i="1"/>
  <c r="K61" i="1"/>
  <c r="J61" i="1"/>
  <c r="I61" i="1"/>
  <c r="M60" i="1"/>
  <c r="L60" i="1"/>
  <c r="K60" i="1"/>
  <c r="J60" i="1"/>
  <c r="I60" i="1"/>
  <c r="M59" i="1"/>
  <c r="L59" i="1"/>
  <c r="K59" i="1"/>
  <c r="J59" i="1"/>
  <c r="I59" i="1"/>
  <c r="M58" i="1"/>
  <c r="L58" i="1"/>
  <c r="K58" i="1"/>
  <c r="J58" i="1"/>
  <c r="I58" i="1"/>
  <c r="N57" i="1"/>
  <c r="N58" i="1" s="1"/>
  <c r="N59" i="1" s="1"/>
  <c r="N60" i="1" s="1"/>
  <c r="N61" i="1" s="1"/>
  <c r="M57" i="1"/>
  <c r="L57" i="1"/>
  <c r="K57" i="1"/>
  <c r="J57" i="1"/>
  <c r="I57" i="1"/>
  <c r="M56" i="1"/>
  <c r="L56" i="1"/>
  <c r="K56" i="1"/>
  <c r="J56" i="1"/>
  <c r="I56" i="1"/>
  <c r="M55" i="1"/>
  <c r="L55" i="1"/>
  <c r="K55" i="1"/>
  <c r="J55" i="1"/>
  <c r="I55" i="1"/>
  <c r="M54" i="1"/>
  <c r="L54" i="1"/>
  <c r="K54" i="1"/>
  <c r="J54" i="1"/>
  <c r="I54" i="1"/>
  <c r="M53" i="1"/>
  <c r="L53" i="1"/>
  <c r="K53" i="1"/>
  <c r="J53" i="1"/>
  <c r="I53" i="1"/>
  <c r="M52" i="1"/>
  <c r="L52" i="1"/>
  <c r="K52" i="1"/>
  <c r="J52" i="1"/>
  <c r="I52" i="1"/>
  <c r="N51" i="1"/>
  <c r="N52" i="1" s="1"/>
  <c r="N53" i="1" s="1"/>
  <c r="N54" i="1" s="1"/>
  <c r="N55" i="1" s="1"/>
  <c r="M51" i="1"/>
  <c r="L51" i="1"/>
  <c r="K51" i="1"/>
  <c r="J51" i="1"/>
  <c r="I51" i="1"/>
  <c r="M50" i="1"/>
  <c r="L50" i="1"/>
  <c r="K50" i="1"/>
  <c r="J50" i="1"/>
  <c r="I50" i="1"/>
  <c r="M49" i="1"/>
  <c r="L49" i="1"/>
  <c r="K49" i="1"/>
  <c r="J49" i="1"/>
  <c r="I49" i="1"/>
  <c r="M48" i="1"/>
  <c r="L48" i="1"/>
  <c r="K48" i="1"/>
  <c r="J48" i="1"/>
  <c r="I48" i="1"/>
  <c r="M47" i="1"/>
  <c r="L47" i="1"/>
  <c r="K47" i="1"/>
  <c r="J47" i="1"/>
  <c r="I47" i="1"/>
  <c r="M46" i="1"/>
  <c r="L46" i="1"/>
  <c r="K46" i="1"/>
  <c r="J46" i="1"/>
  <c r="I46" i="1"/>
  <c r="N45" i="1"/>
  <c r="N46" i="1" s="1"/>
  <c r="N47" i="1" s="1"/>
  <c r="N48" i="1" s="1"/>
  <c r="N49" i="1" s="1"/>
  <c r="M45" i="1"/>
  <c r="L45" i="1"/>
  <c r="K45" i="1"/>
  <c r="J45" i="1"/>
  <c r="I45" i="1"/>
  <c r="M44" i="1"/>
  <c r="L44" i="1"/>
  <c r="K44" i="1"/>
  <c r="J44" i="1"/>
  <c r="I44" i="1"/>
  <c r="M43" i="1"/>
  <c r="L43" i="1"/>
  <c r="K43" i="1"/>
  <c r="J43" i="1"/>
  <c r="I43" i="1"/>
  <c r="M42" i="1"/>
  <c r="L42" i="1"/>
  <c r="K42" i="1"/>
  <c r="J42" i="1"/>
  <c r="I42" i="1"/>
  <c r="M41" i="1"/>
  <c r="L41" i="1"/>
  <c r="K41" i="1"/>
  <c r="J41" i="1"/>
  <c r="I41" i="1"/>
  <c r="M40" i="1"/>
  <c r="L40" i="1"/>
  <c r="K40" i="1"/>
  <c r="J40" i="1"/>
  <c r="I40" i="1"/>
  <c r="N39" i="1"/>
  <c r="N40" i="1" s="1"/>
  <c r="N41" i="1" s="1"/>
  <c r="N42" i="1" s="1"/>
  <c r="N43" i="1" s="1"/>
  <c r="M39" i="1"/>
  <c r="L39" i="1"/>
  <c r="K39" i="1"/>
  <c r="J39" i="1"/>
  <c r="I39" i="1"/>
  <c r="M38" i="1"/>
  <c r="L38" i="1"/>
  <c r="K38" i="1"/>
  <c r="J38" i="1"/>
  <c r="I38" i="1"/>
  <c r="M37" i="1"/>
  <c r="L37" i="1"/>
  <c r="K37" i="1"/>
  <c r="J37" i="1"/>
  <c r="I37" i="1"/>
  <c r="M36" i="1"/>
  <c r="L36" i="1"/>
  <c r="K36" i="1"/>
  <c r="J36" i="1"/>
  <c r="I36" i="1"/>
  <c r="M35" i="1"/>
  <c r="L35" i="1"/>
  <c r="K35" i="1"/>
  <c r="J35" i="1"/>
  <c r="I35" i="1"/>
  <c r="M34" i="1"/>
  <c r="L34" i="1"/>
  <c r="K34" i="1"/>
  <c r="J34" i="1"/>
  <c r="I34" i="1"/>
  <c r="N33" i="1"/>
  <c r="N34" i="1" s="1"/>
  <c r="N35" i="1" s="1"/>
  <c r="N36" i="1" s="1"/>
  <c r="N37" i="1" s="1"/>
  <c r="M33" i="1"/>
  <c r="L33" i="1"/>
  <c r="K33" i="1"/>
  <c r="J33" i="1"/>
  <c r="I33" i="1"/>
  <c r="M32" i="1"/>
  <c r="L32" i="1"/>
  <c r="K32" i="1"/>
  <c r="J32" i="1"/>
  <c r="I32" i="1"/>
  <c r="M31" i="1"/>
  <c r="L31" i="1"/>
  <c r="K31" i="1"/>
  <c r="J31" i="1"/>
  <c r="I31" i="1"/>
  <c r="M30" i="1"/>
  <c r="M1" i="1" s="1"/>
  <c r="L30" i="1"/>
  <c r="K30" i="1"/>
  <c r="J30" i="1"/>
  <c r="I30" i="1"/>
  <c r="M29" i="1"/>
  <c r="L29" i="1"/>
  <c r="K29" i="1"/>
  <c r="J29" i="1"/>
  <c r="I29" i="1"/>
  <c r="M28" i="1"/>
  <c r="L28" i="1"/>
  <c r="K28" i="1"/>
  <c r="J28" i="1"/>
  <c r="I28" i="1"/>
  <c r="M27" i="1"/>
  <c r="L27" i="1"/>
  <c r="K27" i="1"/>
  <c r="J27" i="1"/>
  <c r="I27" i="1"/>
  <c r="M26" i="1"/>
  <c r="L26" i="1"/>
  <c r="K26" i="1"/>
  <c r="J26" i="1"/>
  <c r="I26" i="1"/>
  <c r="N25" i="1"/>
  <c r="N26" i="1" s="1"/>
  <c r="N27" i="1" s="1"/>
  <c r="N28" i="1" s="1"/>
  <c r="N29" i="1" s="1"/>
  <c r="N30" i="1" s="1"/>
  <c r="N31" i="1" s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L1" i="1" s="1"/>
  <c r="K4" i="1"/>
  <c r="K1" i="1" s="1"/>
  <c r="J4" i="1"/>
  <c r="J1" i="1" s="1"/>
  <c r="I4" i="1"/>
  <c r="I1" i="1" s="1"/>
  <c r="G1" i="1" l="1"/>
  <c r="N1" i="1" l="1"/>
</calcChain>
</file>

<file path=xl/sharedStrings.xml><?xml version="1.0" encoding="utf-8"?>
<sst xmlns="http://schemas.openxmlformats.org/spreadsheetml/2006/main" count="1302" uniqueCount="168">
  <si>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</si>
  <si>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</si>
  <si>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</si>
  <si>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</si>
  <si>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</si>
  <si>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</si>
  <si>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</si>
  <si>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</si>
  <si>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</si>
  <si>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</si>
  <si>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</si>
  <si>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</si>
  <si>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</si>
  <si>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</si>
  <si>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</si>
  <si>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</si>
  <si>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</si>
  <si>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</si>
  <si>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</si>
  <si>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</si>
  <si>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</si>
  <si>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</si>
  <si>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</si>
  <si>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</si>
  <si>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</si>
  <si>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</si>
  <si>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</si>
  <si>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</si>
  <si>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</si>
  <si>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</si>
  <si>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50П</t>
  </si>
  <si>
    <t>АСУ Зд теплообменников</t>
  </si>
  <si>
    <t>=24В</t>
  </si>
  <si>
    <t>АСУ ТП НАБ</t>
  </si>
  <si>
    <t>220В, 50Гц</t>
  </si>
  <si>
    <t>АСУ ЭТО</t>
  </si>
  <si>
    <t>100П, 4-х пр.</t>
  </si>
  <si>
    <t>Eth MODBUS TCP</t>
  </si>
  <si>
    <t>Eth МЭК-104</t>
  </si>
  <si>
    <t>Eth OPC UA</t>
  </si>
  <si>
    <t>R</t>
  </si>
  <si>
    <t>?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</si>
  <si>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</si>
  <si>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</si>
  <si>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</si>
  <si>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</si>
  <si>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</si>
  <si>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</si>
  <si>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</si>
  <si>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</si>
  <si>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</si>
  <si>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</si>
  <si>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Здание РУСН</t>
  </si>
  <si>
    <t>Силовой трансформатор Т-1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</si>
  <si>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</si>
  <si>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</si>
  <si>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</si>
  <si>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</si>
  <si>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</si>
  <si>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</si>
  <si>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</si>
  <si>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</si>
  <si>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</si>
  <si>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</si>
  <si>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</si>
  <si>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Силовой трансформатор Т-2</t>
  </si>
  <si>
    <t>РУ-6 кВ, ячейка 5 (Ввод 1)</t>
  </si>
  <si>
    <t>вв включить</t>
  </si>
  <si>
    <t>вв выключить</t>
  </si>
  <si>
    <t>вв включен</t>
  </si>
  <si>
    <t>вв выключен</t>
  </si>
  <si>
    <t>заземляющие ножи выставлены</t>
  </si>
  <si>
    <t>заземляющие ножи убраны</t>
  </si>
  <si>
    <t>РУ-6 кВ, ячейка 8 (Ввод 2)</t>
  </si>
  <si>
    <t>РУ-6 кВ, ячейка 1 (Ввод 1 к ТСН-35 2ТП-1000/6/0,4 кВ аккумулирующей насосной)</t>
  </si>
  <si>
    <t>РУ-6 кВ, ячейка 2 (Ввод 1 к РУ-6 кВ здания расположения теплообменников)</t>
  </si>
  <si>
    <t>РУ-6 кВ, ячейка 3 (Ввод 1 к Т-1 2ТП-3200/6/0,4 кВ здания РУСН)</t>
  </si>
  <si>
    <t>РУ-6 кВ, ячейка 4 (Ввод к ТСН-1 здания РУСН)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</si>
  <si>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</si>
  <si>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</si>
  <si>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9 (Ввод к ТСН-2 здания РУСН)</t>
  </si>
  <si>
    <t>РУ-6 кВ, ячейка 10 (Ввод 2 к Т-2 2ТП-3200/6/0,4 кВ здания РУСН)</t>
  </si>
  <si>
    <t>РУ-6 кВ, ячейка 11 (Ввод 2 к РУ-6 кВ здания расположения теплообменников)</t>
  </si>
  <si>
    <t>РУ-6 кВ, ячейка 12 (Ввод 2 к ТСН-36 2ТП-1000/6/0,4 кВ аккумулирующей насосной)</t>
  </si>
  <si>
    <t>Здание расположения теплообменников</t>
  </si>
  <si>
    <t xml:space="preserve"> 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</si>
  <si>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</si>
  <si>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</si>
  <si>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</si>
  <si>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</si>
  <si>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</si>
  <si>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</si>
  <si>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</si>
  <si>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</si>
  <si>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</si>
  <si>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</si>
  <si>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</si>
  <si>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</si>
  <si>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</si>
  <si>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</si>
  <si>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</si>
  <si>
    <t>Аккумулирующая насосная</t>
  </si>
  <si>
    <t>Встроенная трансформаторная подстанция КТП СН НАБ ТЦ. Силовой трансформатор ТСН-35</t>
  </si>
  <si>
    <t>температура обмоток с высокой стороны высока – звуковой сигнал</t>
  </si>
  <si>
    <t>температура обмоток с низкой стороны высока – звуковой сигнал</t>
  </si>
  <si>
    <t>температура обмотки недопустима – авария (останов)</t>
  </si>
  <si>
    <t>температура обмотки недопустима –– звуковой сигнал</t>
  </si>
  <si>
    <t>Встроенная трансформаторная подстанция КТП СН НАБ ТЦ. Силовой трансформатор ТСН-36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</si>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</sst>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8" fillId="0" borderId="17" xfId="0" applyFont="1" applyBorder="1" applyAlignment="1">
      <alignment horizontal="left"/>
    </xf>
    <xf numFmtId="0" fontId="6" fillId="0" borderId="9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20"/>
  <sheetViews>
    <sheetView tabSelected="1" workbookViewId="0">
      <pane ySplit="2" topLeftCell="A3" activePane="bottomLeft" state="frozen"/>
      <selection pane="bottomLeft" activeCell="B4" sqref="B4:B97"/>
    </sheetView>
  </sheetViews>
  <sheetFormatPr defaultColWidth="14.42578125" defaultRowHeight="15" customHeight="1" x14ac:dyDescent="0.2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customWidth="1"/>
    <col min="18" max="18" width="22.7109375" customWidth="1"/>
    <col min="19" max="19" width="22.28515625" customWidth="1"/>
    <col min="20" max="20" width="29.28515625" customWidth="1"/>
    <col min="21" max="21" width="13.7109375" customWidth="1"/>
    <col min="22" max="22" width="12.85546875" customWidth="1"/>
  </cols>
  <sheetData>
    <row r="1" spans="1:22" ht="33" customHeight="1" x14ac:dyDescent="0.2">
      <c r="A1" s="1" t="s">
        <v>0</v>
      </c>
      <c r="B1" s="2"/>
      <c r="C1" s="2"/>
      <c r="D1" s="1"/>
      <c r="E1" s="1" t="s">
        <v>1</v>
      </c>
      <c r="F1" s="1"/>
      <c r="G1" s="3">
        <f>SUM(I1:L1)</f>
        <v>83</v>
      </c>
      <c r="H1" s="1"/>
      <c r="I1" s="4">
        <f>SUM(I4:I3748)</f>
        <v>11</v>
      </c>
      <c r="J1" s="4">
        <f>SUM(J4:J3791)</f>
        <v>6</v>
      </c>
      <c r="K1" s="4">
        <f>SUM(K4:K3748)</f>
        <v>66</v>
      </c>
      <c r="L1" s="4">
        <f>SUM(L4:L3748)</f>
        <v>0</v>
      </c>
      <c r="M1" s="4">
        <f>SUM(M4:M3748)</f>
        <v>156</v>
      </c>
      <c r="N1" s="4">
        <f>SUM(N4:N3748)</f>
        <v>26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 spans="1:22" ht="45" x14ac:dyDescent="0.2">
      <c r="A2" s="6" t="s">
        <v>10</v>
      </c>
      <c r="B2" s="6"/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spans="1:22" ht="15.75" customHeight="1" thickBot="1" x14ac:dyDescent="0.3">
      <c r="A3" s="11"/>
      <c r="B3" s="12"/>
      <c r="C3" s="13"/>
      <c r="D3" s="14"/>
      <c r="E3" s="15"/>
      <c r="F3" s="15"/>
      <c r="G3" s="15"/>
      <c r="H3" s="16"/>
      <c r="I3" s="12"/>
      <c r="J3" s="12"/>
      <c r="K3" s="12"/>
      <c r="L3" s="12"/>
      <c r="M3" s="12"/>
      <c r="N3" s="12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spans="1:22" ht="15.75" customHeight="1" x14ac:dyDescent="0.2">
      <c r="A4" s="17"/>
      <c r="B4" s="49" t="s">
        <v>35</v>
      </c>
      <c r="C4" s="48" t="s">
        <v>52</v>
      </c>
      <c r="D4" s="50" t="s">
        <v>53</v>
      </c>
      <c r="E4" s="20" t="s">
        <v>54</v>
      </c>
      <c r="F4" s="19" t="s">
        <v>25</v>
      </c>
      <c r="G4" s="19" t="s">
        <v>9</v>
      </c>
      <c r="H4" s="20" t="s">
        <v>6</v>
      </c>
      <c r="I4" s="21">
        <f t="shared" ref="I4:I16" si="0">IF(AND(F4="дискретный", G4="входящий"),1, )</f>
        <v>0</v>
      </c>
      <c r="J4" s="21">
        <f t="shared" ref="J4:J16" si="1">IF(AND(F4="дискретный", G4="исходящий"),1, )</f>
        <v>0</v>
      </c>
      <c r="K4" s="21">
        <f t="shared" ref="K4:K16" si="2">IF(AND(F4="аналоговый", G4="входящий"),1, )</f>
        <v>1</v>
      </c>
      <c r="L4" s="21">
        <f t="shared" ref="L4:L16" si="3">IF(AND(F4="аналоговый", G4="исходящий"),1, )</f>
        <v>0</v>
      </c>
      <c r="M4" s="21">
        <f t="shared" ref="M4:M16" si="4">IF(F4="цифровой",1, )</f>
        <v>0</v>
      </c>
      <c r="N4" s="22">
        <f>IF(F4="цифровой",IF(AND(#REF!="цифровой",OR(#REF!=1,#REF!="")),"",1),0)</f>
        <v>0</v>
      </c>
      <c r="O4" s="40"/>
      <c r="P4" s="40"/>
      <c r="Q4" s="40"/>
      <c r="R4" s="40"/>
      <c r="S4" s="5" t="s">
        <v>30</v>
      </c>
      <c r="T4" s="5" t="s">
        <v>31</v>
      </c>
      <c r="U4" s="5"/>
      <c r="V4" s="5"/>
    </row>
    <row r="5" spans="1:22" ht="15.75" customHeight="1" x14ac:dyDescent="0.2">
      <c r="A5" s="24"/>
      <c r="B5" s="46"/>
      <c r="C5" s="46"/>
      <c r="D5" s="46"/>
      <c r="E5" s="27" t="s">
        <v>55</v>
      </c>
      <c r="F5" s="26" t="s">
        <v>25</v>
      </c>
      <c r="G5" s="26" t="s">
        <v>9</v>
      </c>
      <c r="H5" s="27" t="s">
        <v>6</v>
      </c>
      <c r="I5" s="28">
        <f t="shared" si="0"/>
        <v>0</v>
      </c>
      <c r="J5" s="28">
        <f t="shared" si="1"/>
        <v>0</v>
      </c>
      <c r="K5" s="28">
        <f t="shared" si="2"/>
        <v>1</v>
      </c>
      <c r="L5" s="28">
        <f t="shared" si="3"/>
        <v>0</v>
      </c>
      <c r="M5" s="28">
        <f t="shared" si="4"/>
        <v>0</v>
      </c>
      <c r="N5" s="29">
        <f>IF(F5="цифровой",IF(AND(#REF!="цифровой",OR(#REF!=1,#REF!="")),"",1),0)</f>
        <v>0</v>
      </c>
      <c r="O5" s="40"/>
      <c r="P5" s="40"/>
      <c r="Q5" s="40"/>
      <c r="R5" s="40"/>
      <c r="S5" s="23" t="s">
        <v>32</v>
      </c>
      <c r="T5" s="5" t="s">
        <v>33</v>
      </c>
      <c r="U5" s="5"/>
      <c r="V5" s="5"/>
    </row>
    <row r="6" spans="1:22" ht="15.75" customHeight="1" x14ac:dyDescent="0.2">
      <c r="A6" s="24"/>
      <c r="B6" s="46"/>
      <c r="C6" s="46"/>
      <c r="D6" s="46"/>
      <c r="E6" s="27" t="s">
        <v>56</v>
      </c>
      <c r="F6" s="26" t="s">
        <v>25</v>
      </c>
      <c r="G6" s="26" t="s">
        <v>9</v>
      </c>
      <c r="H6" s="27" t="s">
        <v>6</v>
      </c>
      <c r="I6" s="28">
        <f t="shared" si="0"/>
        <v>0</v>
      </c>
      <c r="J6" s="28">
        <f t="shared" si="1"/>
        <v>0</v>
      </c>
      <c r="K6" s="28">
        <f t="shared" si="2"/>
        <v>1</v>
      </c>
      <c r="L6" s="28">
        <f t="shared" si="3"/>
        <v>0</v>
      </c>
      <c r="M6" s="28">
        <f t="shared" si="4"/>
        <v>0</v>
      </c>
      <c r="N6" s="29">
        <f t="shared" ref="N6:N8" si="5">IF(F6="цифровой",IF(AND(F4="цифровой",OR(N4=1,N4="")),"",1),0)</f>
        <v>0</v>
      </c>
      <c r="O6" s="40"/>
      <c r="P6" s="40"/>
      <c r="Q6" s="40"/>
      <c r="R6" s="40"/>
      <c r="S6" s="5" t="s">
        <v>34</v>
      </c>
      <c r="T6" s="5" t="s">
        <v>35</v>
      </c>
      <c r="U6" s="5"/>
      <c r="V6" s="5"/>
    </row>
    <row r="7" spans="1:22" ht="15.75" customHeight="1" x14ac:dyDescent="0.2">
      <c r="A7" s="24"/>
      <c r="B7" s="46"/>
      <c r="C7" s="46"/>
      <c r="D7" s="46"/>
      <c r="E7" s="27" t="s">
        <v>57</v>
      </c>
      <c r="F7" s="26" t="s">
        <v>25</v>
      </c>
      <c r="G7" s="26" t="s">
        <v>9</v>
      </c>
      <c r="H7" s="27" t="s">
        <v>6</v>
      </c>
      <c r="I7" s="28">
        <f t="shared" si="0"/>
        <v>0</v>
      </c>
      <c r="J7" s="28">
        <f t="shared" si="1"/>
        <v>0</v>
      </c>
      <c r="K7" s="28">
        <f t="shared" si="2"/>
        <v>1</v>
      </c>
      <c r="L7" s="28">
        <f t="shared" si="3"/>
        <v>0</v>
      </c>
      <c r="M7" s="28">
        <f t="shared" si="4"/>
        <v>0</v>
      </c>
      <c r="N7" s="29">
        <f t="shared" si="5"/>
        <v>0</v>
      </c>
      <c r="O7" s="40"/>
      <c r="P7" s="40"/>
      <c r="Q7" s="40"/>
      <c r="R7" s="40"/>
      <c r="S7" s="5" t="s">
        <v>36</v>
      </c>
      <c r="T7" s="5"/>
      <c r="U7" s="5"/>
      <c r="V7" s="5"/>
    </row>
    <row r="8" spans="1:22" ht="15.75" customHeight="1" x14ac:dyDescent="0.2">
      <c r="A8" s="24"/>
      <c r="B8" s="46"/>
      <c r="C8" s="46"/>
      <c r="D8" s="46"/>
      <c r="E8" s="27" t="s">
        <v>58</v>
      </c>
      <c r="F8" s="26" t="s">
        <v>25</v>
      </c>
      <c r="G8" s="26" t="s">
        <v>9</v>
      </c>
      <c r="H8" s="27" t="s">
        <v>6</v>
      </c>
      <c r="I8" s="28">
        <f t="shared" si="0"/>
        <v>0</v>
      </c>
      <c r="J8" s="28">
        <f t="shared" si="1"/>
        <v>0</v>
      </c>
      <c r="K8" s="28">
        <f t="shared" si="2"/>
        <v>1</v>
      </c>
      <c r="L8" s="28">
        <f t="shared" si="3"/>
        <v>0</v>
      </c>
      <c r="M8" s="28">
        <f t="shared" si="4"/>
        <v>0</v>
      </c>
      <c r="N8" s="29">
        <f t="shared" si="5"/>
        <v>0</v>
      </c>
      <c r="O8" s="40"/>
      <c r="P8" s="40"/>
      <c r="Q8" s="40"/>
      <c r="R8" s="40"/>
      <c r="S8" s="5" t="s">
        <v>37</v>
      </c>
      <c r="T8" s="5"/>
      <c r="U8" s="5"/>
      <c r="V8" s="5"/>
    </row>
    <row r="9" spans="1:22" ht="15.75" customHeight="1" x14ac:dyDescent="0.2">
      <c r="A9" s="24"/>
      <c r="B9" s="46"/>
      <c r="C9" s="46"/>
      <c r="D9" s="46"/>
      <c r="E9" s="27" t="s">
        <v>59</v>
      </c>
      <c r="F9" s="26" t="s">
        <v>25</v>
      </c>
      <c r="G9" s="26" t="s">
        <v>9</v>
      </c>
      <c r="H9" s="27" t="s">
        <v>6</v>
      </c>
      <c r="I9" s="28">
        <f t="shared" si="0"/>
        <v>0</v>
      </c>
      <c r="J9" s="28">
        <f t="shared" si="1"/>
        <v>0</v>
      </c>
      <c r="K9" s="28">
        <f t="shared" si="2"/>
        <v>1</v>
      </c>
      <c r="L9" s="28">
        <f t="shared" si="3"/>
        <v>0</v>
      </c>
      <c r="M9" s="28">
        <f t="shared" si="4"/>
        <v>0</v>
      </c>
      <c r="N9" s="29">
        <f>IF(F9="цифровой",IF(AND(F8="цифровой",OR(N8=1,N8="")),"",1),0)</f>
        <v>0</v>
      </c>
      <c r="O9" s="40"/>
      <c r="P9" s="40"/>
      <c r="Q9" s="40"/>
      <c r="R9" s="40"/>
      <c r="S9" s="5" t="s">
        <v>38</v>
      </c>
      <c r="T9" s="5"/>
      <c r="U9" s="5"/>
      <c r="V9" s="5"/>
    </row>
    <row r="10" spans="1:22" x14ac:dyDescent="0.2">
      <c r="A10" s="24"/>
      <c r="B10" s="46"/>
      <c r="C10" s="46"/>
      <c r="D10" s="46"/>
      <c r="E10" s="43" t="s">
        <v>60</v>
      </c>
      <c r="F10" s="26" t="s">
        <v>25</v>
      </c>
      <c r="G10" s="26" t="s">
        <v>9</v>
      </c>
      <c r="H10" s="27" t="s">
        <v>6</v>
      </c>
      <c r="I10" s="28">
        <f t="shared" si="0"/>
        <v>0</v>
      </c>
      <c r="J10" s="28">
        <f t="shared" si="1"/>
        <v>0</v>
      </c>
      <c r="K10" s="28">
        <f t="shared" si="2"/>
        <v>1</v>
      </c>
      <c r="L10" s="28">
        <f t="shared" si="3"/>
        <v>0</v>
      </c>
      <c r="M10" s="28">
        <f t="shared" si="4"/>
        <v>0</v>
      </c>
      <c r="N10" s="29">
        <f>IF(F10="цифровой",IF(AND(#REF!="цифровой",OR(#REF!=1,#REF!="")),"",1),0)</f>
        <v>0</v>
      </c>
      <c r="O10" s="40"/>
      <c r="P10" s="40"/>
      <c r="Q10" s="40"/>
      <c r="R10" s="40"/>
      <c r="S10" s="5" t="s">
        <v>39</v>
      </c>
      <c r="T10" s="5"/>
      <c r="U10" s="5"/>
      <c r="V10" s="5"/>
    </row>
    <row r="11" spans="1:22" x14ac:dyDescent="0.2">
      <c r="A11" s="24"/>
      <c r="B11" s="46"/>
      <c r="C11" s="46"/>
      <c r="D11" s="46"/>
      <c r="E11" s="43" t="s">
        <v>61</v>
      </c>
      <c r="F11" s="26" t="s">
        <v>25</v>
      </c>
      <c r="G11" s="26" t="s">
        <v>9</v>
      </c>
      <c r="H11" s="27" t="s">
        <v>6</v>
      </c>
      <c r="I11" s="28">
        <f t="shared" si="0"/>
        <v>0</v>
      </c>
      <c r="J11" s="28">
        <f t="shared" si="1"/>
        <v>0</v>
      </c>
      <c r="K11" s="28">
        <f t="shared" si="2"/>
        <v>1</v>
      </c>
      <c r="L11" s="28">
        <f t="shared" si="3"/>
        <v>0</v>
      </c>
      <c r="M11" s="28">
        <f t="shared" si="4"/>
        <v>0</v>
      </c>
      <c r="N11" s="29">
        <f t="shared" ref="N11:N14" si="6">IF(F11="цифровой",IF(AND(F10="цифровой",OR(N10=1,N10="")),"",1),0)</f>
        <v>0</v>
      </c>
      <c r="O11" s="40"/>
      <c r="P11" s="40"/>
      <c r="Q11" s="40"/>
      <c r="R11" s="40"/>
      <c r="S11" s="5" t="s">
        <v>40</v>
      </c>
      <c r="T11" s="5"/>
      <c r="U11" s="5"/>
      <c r="V11" s="5"/>
    </row>
    <row r="12" spans="1:22" ht="15.75" customHeight="1" x14ac:dyDescent="0.2">
      <c r="A12" s="24"/>
      <c r="B12" s="46"/>
      <c r="C12" s="46"/>
      <c r="D12" s="46"/>
      <c r="E12" s="43" t="s">
        <v>62</v>
      </c>
      <c r="F12" s="26" t="s">
        <v>25</v>
      </c>
      <c r="G12" s="26" t="s">
        <v>9</v>
      </c>
      <c r="H12" s="27" t="s">
        <v>6</v>
      </c>
      <c r="I12" s="28">
        <f t="shared" si="0"/>
        <v>0</v>
      </c>
      <c r="J12" s="28">
        <f t="shared" si="1"/>
        <v>0</v>
      </c>
      <c r="K12" s="28">
        <f t="shared" si="2"/>
        <v>1</v>
      </c>
      <c r="L12" s="28">
        <f t="shared" si="3"/>
        <v>0</v>
      </c>
      <c r="M12" s="28">
        <f t="shared" si="4"/>
        <v>0</v>
      </c>
      <c r="N12" s="29">
        <f t="shared" si="6"/>
        <v>0</v>
      </c>
      <c r="O12" s="40"/>
      <c r="P12" s="40"/>
      <c r="Q12" s="40"/>
      <c r="R12" s="40"/>
      <c r="S12" s="5" t="s">
        <v>41</v>
      </c>
      <c r="T12" s="5"/>
      <c r="U12" s="5"/>
      <c r="V12" s="5"/>
    </row>
    <row r="13" spans="1:22" ht="15.75" customHeight="1" x14ac:dyDescent="0.2">
      <c r="A13" s="24"/>
      <c r="B13" s="46"/>
      <c r="C13" s="46"/>
      <c r="D13" s="46"/>
      <c r="E13" s="43" t="s">
        <v>63</v>
      </c>
      <c r="F13" s="26" t="s">
        <v>25</v>
      </c>
      <c r="G13" s="26" t="s">
        <v>9</v>
      </c>
      <c r="H13" s="27" t="s">
        <v>6</v>
      </c>
      <c r="I13" s="28">
        <f t="shared" si="0"/>
        <v>0</v>
      </c>
      <c r="J13" s="28">
        <f t="shared" si="1"/>
        <v>0</v>
      </c>
      <c r="K13" s="28">
        <f t="shared" si="2"/>
        <v>1</v>
      </c>
      <c r="L13" s="28">
        <f t="shared" si="3"/>
        <v>0</v>
      </c>
      <c r="M13" s="28">
        <f t="shared" si="4"/>
        <v>0</v>
      </c>
      <c r="N13" s="29">
        <f t="shared" si="6"/>
        <v>0</v>
      </c>
      <c r="O13" s="40"/>
      <c r="P13" s="40"/>
      <c r="Q13" s="40"/>
      <c r="R13" s="40"/>
      <c r="S13" s="5"/>
      <c r="T13" s="5"/>
      <c r="U13" s="5"/>
      <c r="V13" s="5"/>
    </row>
    <row r="14" spans="1:22" ht="15.75" thickBot="1" x14ac:dyDescent="0.25">
      <c r="A14" s="24"/>
      <c r="B14" s="46"/>
      <c r="C14" s="46"/>
      <c r="D14" s="47"/>
      <c r="E14" s="44" t="s">
        <v>64</v>
      </c>
      <c r="F14" s="32" t="s">
        <v>25</v>
      </c>
      <c r="G14" s="32" t="s">
        <v>9</v>
      </c>
      <c r="H14" s="33" t="s">
        <v>6</v>
      </c>
      <c r="I14" s="34">
        <f t="shared" si="0"/>
        <v>0</v>
      </c>
      <c r="J14" s="34">
        <f t="shared" si="1"/>
        <v>0</v>
      </c>
      <c r="K14" s="34">
        <f t="shared" si="2"/>
        <v>1</v>
      </c>
      <c r="L14" s="34">
        <f t="shared" si="3"/>
        <v>0</v>
      </c>
      <c r="M14" s="34">
        <f t="shared" si="4"/>
        <v>0</v>
      </c>
      <c r="N14" s="35">
        <f t="shared" si="6"/>
        <v>0</v>
      </c>
      <c r="O14" s="40"/>
      <c r="P14" s="40"/>
      <c r="Q14" s="40"/>
      <c r="R14" s="40"/>
      <c r="S14" s="5"/>
      <c r="T14" s="5"/>
      <c r="U14" s="5"/>
      <c r="V14" s="5"/>
    </row>
    <row r="15" spans="1:22" x14ac:dyDescent="0.2">
      <c r="A15" s="24"/>
      <c r="B15" s="46"/>
      <c r="C15" s="46"/>
      <c r="D15" s="50" t="s">
        <v>65</v>
      </c>
      <c r="E15" s="20" t="s">
        <v>54</v>
      </c>
      <c r="F15" s="19" t="s">
        <v>25</v>
      </c>
      <c r="G15" s="19" t="s">
        <v>9</v>
      </c>
      <c r="H15" s="20" t="s">
        <v>6</v>
      </c>
      <c r="I15" s="21">
        <f t="shared" si="0"/>
        <v>0</v>
      </c>
      <c r="J15" s="21">
        <f t="shared" si="1"/>
        <v>0</v>
      </c>
      <c r="K15" s="21">
        <f t="shared" si="2"/>
        <v>1</v>
      </c>
      <c r="L15" s="21">
        <f t="shared" si="3"/>
        <v>0</v>
      </c>
      <c r="M15" s="21">
        <f t="shared" si="4"/>
        <v>0</v>
      </c>
      <c r="N15" s="22">
        <f>IF(F15="цифровой",IF(AND(#REF!="цифровой",OR(#REF!=1,#REF!="")),"",1),0)</f>
        <v>0</v>
      </c>
      <c r="O15" s="40"/>
      <c r="P15" s="40"/>
      <c r="Q15" s="40"/>
      <c r="R15" s="40"/>
      <c r="S15" s="5"/>
      <c r="T15" s="5"/>
      <c r="U15" s="5"/>
      <c r="V15" s="5"/>
    </row>
    <row r="16" spans="1:22" ht="15.75" customHeight="1" x14ac:dyDescent="0.2">
      <c r="A16" s="24"/>
      <c r="B16" s="46"/>
      <c r="C16" s="46"/>
      <c r="D16" s="46"/>
      <c r="E16" s="27" t="s">
        <v>55</v>
      </c>
      <c r="F16" s="26" t="s">
        <v>25</v>
      </c>
      <c r="G16" s="26" t="s">
        <v>9</v>
      </c>
      <c r="H16" s="27" t="s">
        <v>6</v>
      </c>
      <c r="I16" s="28">
        <f t="shared" si="0"/>
        <v>0</v>
      </c>
      <c r="J16" s="28">
        <f t="shared" si="1"/>
        <v>0</v>
      </c>
      <c r="K16" s="28">
        <f t="shared" si="2"/>
        <v>1</v>
      </c>
      <c r="L16" s="28">
        <f t="shared" si="3"/>
        <v>0</v>
      </c>
      <c r="M16" s="28">
        <f t="shared" si="4"/>
        <v>0</v>
      </c>
      <c r="N16" s="29">
        <f>IF(F16="цифровой",IF(AND(#REF!="цифровой",OR(#REF!=1,#REF!="")),"",1),0)</f>
        <v>0</v>
      </c>
      <c r="O16" s="40"/>
      <c r="P16" s="40"/>
      <c r="Q16" s="40"/>
      <c r="R16" s="40"/>
      <c r="S16" s="5"/>
      <c r="T16" s="5"/>
      <c r="U16" s="5"/>
      <c r="V16" s="5"/>
    </row>
    <row r="17" spans="1:22" ht="15.75" customHeight="1" x14ac:dyDescent="0.2">
      <c r="A17" s="24"/>
      <c r="B17" s="46"/>
      <c r="C17" s="46"/>
      <c r="D17" s="46"/>
      <c r="E17" s="27" t="s">
        <v>56</v>
      </c>
      <c r="F17" s="26" t="s">
        <v>25</v>
      </c>
      <c r="G17" s="26" t="s">
        <v>9</v>
      </c>
      <c r="H17" s="27" t="s">
        <v>6</v>
      </c>
      <c r="I17" s="28">
        <f t="shared" ref="I17:I242" si="7">IF(AND(F17="дискретный", G17="входящий"),1, )</f>
        <v>0</v>
      </c>
      <c r="J17" s="28">
        <f t="shared" ref="J17:J242" si="8">IF(AND(F17="дискретный", G17="исходящий"),1, )</f>
        <v>0</v>
      </c>
      <c r="K17" s="28">
        <f t="shared" ref="K17:K242" si="9">IF(AND(F17="аналоговый", G17="входящий"),1, )</f>
        <v>1</v>
      </c>
      <c r="L17" s="28">
        <f t="shared" ref="L17:L242" si="10">IF(AND(F17="аналоговый", G17="исходящий"),1, )</f>
        <v>0</v>
      </c>
      <c r="M17" s="28">
        <f t="shared" ref="M17:M242" si="11">IF(F17="цифровой",1, )</f>
        <v>0</v>
      </c>
      <c r="N17" s="29">
        <f t="shared" ref="N17:N19" si="12">IF(F17="цифровой",IF(AND(F15="цифровой",OR(N15=1,N15="")),"",1),0)</f>
        <v>0</v>
      </c>
      <c r="O17" s="40"/>
      <c r="P17" s="40"/>
      <c r="Q17" s="40"/>
      <c r="R17" s="40"/>
      <c r="S17" s="5"/>
      <c r="T17" s="5"/>
      <c r="U17" s="5"/>
      <c r="V17" s="5"/>
    </row>
    <row r="18" spans="1:22" ht="15.75" customHeight="1" x14ac:dyDescent="0.2">
      <c r="A18" s="24"/>
      <c r="B18" s="46"/>
      <c r="C18" s="46"/>
      <c r="D18" s="46"/>
      <c r="E18" s="27" t="s">
        <v>57</v>
      </c>
      <c r="F18" s="26" t="s">
        <v>25</v>
      </c>
      <c r="G18" s="26" t="s">
        <v>9</v>
      </c>
      <c r="H18" s="27" t="s">
        <v>6</v>
      </c>
      <c r="I18" s="28">
        <f t="shared" si="7"/>
        <v>0</v>
      </c>
      <c r="J18" s="28">
        <f t="shared" si="8"/>
        <v>0</v>
      </c>
      <c r="K18" s="28">
        <f t="shared" si="9"/>
        <v>1</v>
      </c>
      <c r="L18" s="28">
        <f t="shared" si="10"/>
        <v>0</v>
      </c>
      <c r="M18" s="28">
        <f t="shared" si="11"/>
        <v>0</v>
      </c>
      <c r="N18" s="29">
        <f t="shared" si="12"/>
        <v>0</v>
      </c>
      <c r="O18" s="40"/>
      <c r="P18" s="40"/>
      <c r="Q18" s="40"/>
      <c r="R18" s="40"/>
      <c r="S18" s="5"/>
      <c r="T18" s="5"/>
      <c r="U18" s="5"/>
      <c r="V18" s="5"/>
    </row>
    <row r="19" spans="1:22" ht="15.75" customHeight="1" x14ac:dyDescent="0.2">
      <c r="A19" s="24"/>
      <c r="B19" s="46"/>
      <c r="C19" s="46"/>
      <c r="D19" s="46"/>
      <c r="E19" s="27" t="s">
        <v>58</v>
      </c>
      <c r="F19" s="26" t="s">
        <v>25</v>
      </c>
      <c r="G19" s="26" t="s">
        <v>9</v>
      </c>
      <c r="H19" s="27" t="s">
        <v>6</v>
      </c>
      <c r="I19" s="28">
        <f t="shared" si="7"/>
        <v>0</v>
      </c>
      <c r="J19" s="28">
        <f t="shared" si="8"/>
        <v>0</v>
      </c>
      <c r="K19" s="28">
        <f t="shared" si="9"/>
        <v>1</v>
      </c>
      <c r="L19" s="28">
        <f t="shared" si="10"/>
        <v>0</v>
      </c>
      <c r="M19" s="28">
        <f t="shared" si="11"/>
        <v>0</v>
      </c>
      <c r="N19" s="29">
        <f t="shared" si="12"/>
        <v>0</v>
      </c>
      <c r="O19" s="40"/>
      <c r="P19" s="40"/>
      <c r="Q19" s="40"/>
      <c r="R19" s="40"/>
      <c r="S19" s="5"/>
      <c r="T19" s="5"/>
      <c r="U19" s="5"/>
      <c r="V19" s="5"/>
    </row>
    <row r="20" spans="1:22" ht="15.75" customHeight="1" x14ac:dyDescent="0.2">
      <c r="A20" s="24"/>
      <c r="B20" s="46"/>
      <c r="C20" s="46"/>
      <c r="D20" s="46"/>
      <c r="E20" s="27" t="s">
        <v>59</v>
      </c>
      <c r="F20" s="26" t="s">
        <v>25</v>
      </c>
      <c r="G20" s="26" t="s">
        <v>9</v>
      </c>
      <c r="H20" s="27" t="s">
        <v>6</v>
      </c>
      <c r="I20" s="28">
        <f t="shared" si="7"/>
        <v>0</v>
      </c>
      <c r="J20" s="28">
        <f t="shared" si="8"/>
        <v>0</v>
      </c>
      <c r="K20" s="28">
        <f t="shared" si="9"/>
        <v>1</v>
      </c>
      <c r="L20" s="28">
        <f t="shared" si="10"/>
        <v>0</v>
      </c>
      <c r="M20" s="28">
        <f t="shared" si="11"/>
        <v>0</v>
      </c>
      <c r="N20" s="29">
        <f>IF(F20="цифровой",IF(AND(F19="цифровой",OR(N19=1,N19="")),"",1),0)</f>
        <v>0</v>
      </c>
      <c r="O20" s="40"/>
      <c r="P20" s="40"/>
      <c r="Q20" s="40"/>
      <c r="R20" s="40"/>
      <c r="S20" s="5"/>
      <c r="T20" s="5"/>
      <c r="U20" s="5"/>
      <c r="V20" s="5"/>
    </row>
    <row r="21" spans="1:22" ht="15.75" customHeight="1" x14ac:dyDescent="0.2">
      <c r="A21" s="24"/>
      <c r="B21" s="46"/>
      <c r="C21" s="46"/>
      <c r="D21" s="46"/>
      <c r="E21" s="43" t="s">
        <v>60</v>
      </c>
      <c r="F21" s="26" t="s">
        <v>25</v>
      </c>
      <c r="G21" s="26" t="s">
        <v>9</v>
      </c>
      <c r="H21" s="27" t="s">
        <v>6</v>
      </c>
      <c r="I21" s="28">
        <f t="shared" si="7"/>
        <v>0</v>
      </c>
      <c r="J21" s="28">
        <f t="shared" si="8"/>
        <v>0</v>
      </c>
      <c r="K21" s="28">
        <f t="shared" si="9"/>
        <v>1</v>
      </c>
      <c r="L21" s="28">
        <f t="shared" si="10"/>
        <v>0</v>
      </c>
      <c r="M21" s="28">
        <f t="shared" si="11"/>
        <v>0</v>
      </c>
      <c r="N21" s="29">
        <f>IF(F21="цифровой",IF(AND(#REF!="цифровой",OR(#REF!=1,#REF!="")),"",1),0)</f>
        <v>0</v>
      </c>
      <c r="O21" s="40"/>
      <c r="P21" s="40"/>
      <c r="Q21" s="40"/>
      <c r="R21" s="40"/>
      <c r="S21" s="5"/>
      <c r="T21" s="5"/>
      <c r="U21" s="5"/>
      <c r="V21" s="5"/>
    </row>
    <row r="22" spans="1:22" ht="15.75" customHeight="1" x14ac:dyDescent="0.2">
      <c r="A22" s="24"/>
      <c r="B22" s="46"/>
      <c r="C22" s="46"/>
      <c r="D22" s="46"/>
      <c r="E22" s="43" t="s">
        <v>61</v>
      </c>
      <c r="F22" s="26" t="s">
        <v>25</v>
      </c>
      <c r="G22" s="26" t="s">
        <v>9</v>
      </c>
      <c r="H22" s="27" t="s">
        <v>6</v>
      </c>
      <c r="I22" s="28">
        <f t="shared" si="7"/>
        <v>0</v>
      </c>
      <c r="J22" s="28">
        <f t="shared" si="8"/>
        <v>0</v>
      </c>
      <c r="K22" s="28">
        <f t="shared" si="9"/>
        <v>1</v>
      </c>
      <c r="L22" s="28">
        <f t="shared" si="10"/>
        <v>0</v>
      </c>
      <c r="M22" s="28">
        <f t="shared" si="11"/>
        <v>0</v>
      </c>
      <c r="N22" s="29">
        <f t="shared" ref="N22:N31" si="13">IF(F22="цифровой",IF(AND(F21="цифровой",OR(N21=1,N21="")),"",1),0)</f>
        <v>0</v>
      </c>
      <c r="O22" s="40"/>
      <c r="P22" s="40"/>
      <c r="Q22" s="40"/>
      <c r="R22" s="40"/>
      <c r="S22" s="5"/>
      <c r="T22" s="5"/>
      <c r="U22" s="5"/>
      <c r="V22" s="5"/>
    </row>
    <row r="23" spans="1:22" ht="15.75" customHeight="1" x14ac:dyDescent="0.2">
      <c r="A23" s="24"/>
      <c r="B23" s="46"/>
      <c r="C23" s="46"/>
      <c r="D23" s="46"/>
      <c r="E23" s="43" t="s">
        <v>62</v>
      </c>
      <c r="F23" s="26" t="s">
        <v>25</v>
      </c>
      <c r="G23" s="26" t="s">
        <v>9</v>
      </c>
      <c r="H23" s="27" t="s">
        <v>6</v>
      </c>
      <c r="I23" s="28">
        <f t="shared" si="7"/>
        <v>0</v>
      </c>
      <c r="J23" s="28">
        <f t="shared" si="8"/>
        <v>0</v>
      </c>
      <c r="K23" s="28">
        <f t="shared" si="9"/>
        <v>1</v>
      </c>
      <c r="L23" s="28">
        <f t="shared" si="10"/>
        <v>0</v>
      </c>
      <c r="M23" s="28">
        <f t="shared" si="11"/>
        <v>0</v>
      </c>
      <c r="N23" s="29">
        <f t="shared" si="13"/>
        <v>0</v>
      </c>
      <c r="O23" s="40"/>
      <c r="P23" s="40"/>
      <c r="Q23" s="40"/>
      <c r="R23" s="40"/>
      <c r="S23" s="5"/>
      <c r="T23" s="5"/>
      <c r="U23" s="5"/>
      <c r="V23" s="5"/>
    </row>
    <row r="24" spans="1:22" ht="15.75" customHeight="1" x14ac:dyDescent="0.2">
      <c r="A24" s="24"/>
      <c r="B24" s="46"/>
      <c r="C24" s="46"/>
      <c r="D24" s="46"/>
      <c r="E24" s="43" t="s">
        <v>63</v>
      </c>
      <c r="F24" s="26" t="s">
        <v>25</v>
      </c>
      <c r="G24" s="26" t="s">
        <v>9</v>
      </c>
      <c r="H24" s="27" t="s">
        <v>6</v>
      </c>
      <c r="I24" s="28">
        <f t="shared" si="7"/>
        <v>0</v>
      </c>
      <c r="J24" s="28">
        <f t="shared" si="8"/>
        <v>0</v>
      </c>
      <c r="K24" s="28">
        <f t="shared" si="9"/>
        <v>1</v>
      </c>
      <c r="L24" s="28">
        <f t="shared" si="10"/>
        <v>0</v>
      </c>
      <c r="M24" s="28">
        <f t="shared" si="11"/>
        <v>0</v>
      </c>
      <c r="N24" s="29">
        <f t="shared" si="13"/>
        <v>0</v>
      </c>
      <c r="O24" s="40"/>
      <c r="P24" s="40"/>
      <c r="Q24" s="40"/>
      <c r="R24" s="40"/>
      <c r="S24" s="5"/>
      <c r="T24" s="5"/>
      <c r="U24" s="5"/>
      <c r="V24" s="5"/>
    </row>
    <row r="25" spans="1:22" ht="15.75" customHeight="1" thickBot="1" x14ac:dyDescent="0.25">
      <c r="A25" s="24"/>
      <c r="B25" s="46"/>
      <c r="C25" s="46"/>
      <c r="D25" s="47"/>
      <c r="E25" s="44" t="s">
        <v>64</v>
      </c>
      <c r="F25" s="32" t="s">
        <v>25</v>
      </c>
      <c r="G25" s="32" t="s">
        <v>9</v>
      </c>
      <c r="H25" s="33" t="s">
        <v>6</v>
      </c>
      <c r="I25" s="34">
        <f t="shared" si="7"/>
        <v>0</v>
      </c>
      <c r="J25" s="34">
        <f t="shared" si="8"/>
        <v>0</v>
      </c>
      <c r="K25" s="34">
        <f t="shared" si="9"/>
        <v>1</v>
      </c>
      <c r="L25" s="34">
        <f t="shared" si="10"/>
        <v>0</v>
      </c>
      <c r="M25" s="34">
        <f t="shared" si="11"/>
        <v>0</v>
      </c>
      <c r="N25" s="35">
        <f t="shared" si="13"/>
        <v>0</v>
      </c>
      <c r="O25" s="40"/>
      <c r="P25" s="40"/>
      <c r="Q25" s="40"/>
      <c r="R25" s="40"/>
      <c r="S25" s="5"/>
      <c r="T25" s="5"/>
      <c r="U25" s="5"/>
      <c r="V25" s="5"/>
    </row>
    <row r="26" spans="1:22" ht="15.75" customHeight="1" x14ac:dyDescent="0.2">
      <c r="A26" s="24"/>
      <c r="B26" s="46"/>
      <c r="C26" s="46"/>
      <c r="D26" s="50" t="s">
        <v>66</v>
      </c>
      <c r="E26" s="19" t="s">
        <v>67</v>
      </c>
      <c r="F26" s="19" t="s">
        <v>29</v>
      </c>
      <c r="G26" s="19" t="s">
        <v>26</v>
      </c>
      <c r="H26" s="20" t="s">
        <v>38</v>
      </c>
      <c r="I26" s="21">
        <f t="shared" si="7"/>
        <v>0</v>
      </c>
      <c r="J26" s="21">
        <f t="shared" si="8"/>
        <v>0</v>
      </c>
      <c r="K26" s="21">
        <f t="shared" si="9"/>
        <v>0</v>
      </c>
      <c r="L26" s="21">
        <f t="shared" si="10"/>
        <v>0</v>
      </c>
      <c r="M26" s="21">
        <f t="shared" si="11"/>
        <v>1</v>
      </c>
      <c r="N26" s="22">
        <f t="shared" si="13"/>
        <v>1</v>
      </c>
      <c r="O26" s="40"/>
      <c r="P26" s="40"/>
      <c r="Q26" s="40"/>
      <c r="R26" s="40"/>
      <c r="S26" s="5"/>
      <c r="T26" s="5"/>
      <c r="U26" s="5"/>
      <c r="V26" s="5"/>
    </row>
    <row r="27" spans="1:22" ht="15.75" customHeight="1" x14ac:dyDescent="0.2">
      <c r="A27" s="24"/>
      <c r="B27" s="46"/>
      <c r="C27" s="46"/>
      <c r="D27" s="46"/>
      <c r="E27" s="26" t="s">
        <v>68</v>
      </c>
      <c r="F27" s="26" t="s">
        <v>29</v>
      </c>
      <c r="G27" s="26" t="s">
        <v>26</v>
      </c>
      <c r="H27" s="27" t="s">
        <v>38</v>
      </c>
      <c r="I27" s="28">
        <f t="shared" si="7"/>
        <v>0</v>
      </c>
      <c r="J27" s="28">
        <f t="shared" si="8"/>
        <v>0</v>
      </c>
      <c r="K27" s="28">
        <f t="shared" si="9"/>
        <v>0</v>
      </c>
      <c r="L27" s="28">
        <f t="shared" si="10"/>
        <v>0</v>
      </c>
      <c r="M27" s="28">
        <f t="shared" si="11"/>
        <v>1</v>
      </c>
      <c r="N27" s="29" t="str">
        <f t="shared" si="13"/>
        <v/>
      </c>
      <c r="O27" s="40"/>
      <c r="P27" s="40"/>
      <c r="Q27" s="40"/>
      <c r="R27" s="40"/>
      <c r="S27" s="5"/>
      <c r="T27" s="5"/>
      <c r="U27" s="5"/>
      <c r="V27" s="5"/>
    </row>
    <row r="28" spans="1:22" ht="15.75" customHeight="1" x14ac:dyDescent="0.2">
      <c r="A28" s="24"/>
      <c r="B28" s="46"/>
      <c r="C28" s="46"/>
      <c r="D28" s="46"/>
      <c r="E28" s="26" t="s">
        <v>69</v>
      </c>
      <c r="F28" s="26" t="s">
        <v>29</v>
      </c>
      <c r="G28" s="26" t="s">
        <v>9</v>
      </c>
      <c r="H28" s="27" t="s">
        <v>38</v>
      </c>
      <c r="I28" s="28">
        <f t="shared" si="7"/>
        <v>0</v>
      </c>
      <c r="J28" s="28">
        <f t="shared" si="8"/>
        <v>0</v>
      </c>
      <c r="K28" s="28">
        <f t="shared" si="9"/>
        <v>0</v>
      </c>
      <c r="L28" s="28">
        <f t="shared" si="10"/>
        <v>0</v>
      </c>
      <c r="M28" s="28">
        <f t="shared" si="11"/>
        <v>1</v>
      </c>
      <c r="N28" s="29" t="str">
        <f t="shared" si="13"/>
        <v/>
      </c>
      <c r="O28" s="40"/>
      <c r="P28" s="40"/>
      <c r="Q28" s="40"/>
      <c r="R28" s="40"/>
      <c r="S28" s="5"/>
      <c r="T28" s="5"/>
      <c r="U28" s="5"/>
      <c r="V28" s="5"/>
    </row>
    <row r="29" spans="1:22" ht="15.75" customHeight="1" x14ac:dyDescent="0.2">
      <c r="A29" s="24"/>
      <c r="B29" s="46"/>
      <c r="C29" s="46"/>
      <c r="D29" s="46"/>
      <c r="E29" s="26" t="s">
        <v>70</v>
      </c>
      <c r="F29" s="26" t="s">
        <v>29</v>
      </c>
      <c r="G29" s="26" t="s">
        <v>9</v>
      </c>
      <c r="H29" s="27" t="s">
        <v>38</v>
      </c>
      <c r="I29" s="28">
        <f t="shared" si="7"/>
        <v>0</v>
      </c>
      <c r="J29" s="28">
        <f t="shared" si="8"/>
        <v>0</v>
      </c>
      <c r="K29" s="28">
        <f t="shared" si="9"/>
        <v>0</v>
      </c>
      <c r="L29" s="28">
        <f t="shared" si="10"/>
        <v>0</v>
      </c>
      <c r="M29" s="28">
        <f t="shared" si="11"/>
        <v>1</v>
      </c>
      <c r="N29" s="29" t="str">
        <f t="shared" si="13"/>
        <v/>
      </c>
      <c r="O29" s="40"/>
      <c r="P29" s="40"/>
      <c r="Q29" s="40"/>
      <c r="R29" s="40"/>
      <c r="S29" s="5"/>
      <c r="T29" s="5"/>
      <c r="U29" s="5"/>
      <c r="V29" s="5"/>
    </row>
    <row r="30" spans="1:22" ht="15.75" customHeight="1" x14ac:dyDescent="0.2">
      <c r="A30" s="24"/>
      <c r="B30" s="46"/>
      <c r="C30" s="46"/>
      <c r="D30" s="46"/>
      <c r="E30" s="26" t="s">
        <v>71</v>
      </c>
      <c r="F30" s="26" t="s">
        <v>29</v>
      </c>
      <c r="G30" s="26" t="s">
        <v>9</v>
      </c>
      <c r="H30" s="27" t="s">
        <v>38</v>
      </c>
      <c r="I30" s="28">
        <f t="shared" si="7"/>
        <v>0</v>
      </c>
      <c r="J30" s="28">
        <f t="shared" si="8"/>
        <v>0</v>
      </c>
      <c r="K30" s="28">
        <f t="shared" si="9"/>
        <v>0</v>
      </c>
      <c r="L30" s="28">
        <f t="shared" si="10"/>
        <v>0</v>
      </c>
      <c r="M30" s="28">
        <f t="shared" si="11"/>
        <v>1</v>
      </c>
      <c r="N30" s="29" t="str">
        <f t="shared" si="13"/>
        <v/>
      </c>
      <c r="O30" s="40"/>
      <c r="P30" s="40"/>
      <c r="Q30" s="40"/>
      <c r="R30" s="40"/>
      <c r="S30" s="5"/>
      <c r="T30" s="5"/>
      <c r="U30" s="5"/>
      <c r="V30" s="5"/>
    </row>
    <row r="31" spans="1:22" ht="15.75" customHeight="1" thickBot="1" x14ac:dyDescent="0.25">
      <c r="A31" s="24"/>
      <c r="B31" s="46"/>
      <c r="C31" s="46"/>
      <c r="D31" s="47"/>
      <c r="E31" s="32" t="s">
        <v>72</v>
      </c>
      <c r="F31" s="32" t="s">
        <v>29</v>
      </c>
      <c r="G31" s="32" t="s">
        <v>9</v>
      </c>
      <c r="H31" s="33" t="s">
        <v>38</v>
      </c>
      <c r="I31" s="34">
        <f t="shared" si="7"/>
        <v>0</v>
      </c>
      <c r="J31" s="34">
        <f t="shared" si="8"/>
        <v>0</v>
      </c>
      <c r="K31" s="34">
        <f t="shared" si="9"/>
        <v>0</v>
      </c>
      <c r="L31" s="34">
        <f t="shared" si="10"/>
        <v>0</v>
      </c>
      <c r="M31" s="34">
        <f t="shared" si="11"/>
        <v>1</v>
      </c>
      <c r="N31" s="35" t="str">
        <f t="shared" si="13"/>
        <v/>
      </c>
      <c r="O31" s="40"/>
      <c r="P31" s="40"/>
      <c r="Q31" s="40"/>
      <c r="R31" s="40"/>
      <c r="S31" s="5"/>
      <c r="T31" s="5"/>
      <c r="U31" s="5"/>
      <c r="V31" s="5"/>
    </row>
    <row r="32" spans="1:22" ht="15.75" customHeight="1" x14ac:dyDescent="0.2">
      <c r="A32" s="24"/>
      <c r="B32" s="46"/>
      <c r="C32" s="46"/>
      <c r="D32" s="50" t="s">
        <v>73</v>
      </c>
      <c r="E32" s="19" t="s">
        <v>67</v>
      </c>
      <c r="F32" s="19" t="s">
        <v>29</v>
      </c>
      <c r="G32" s="19" t="s">
        <v>26</v>
      </c>
      <c r="H32" s="20" t="s">
        <v>38</v>
      </c>
      <c r="I32" s="21">
        <f t="shared" si="7"/>
        <v>0</v>
      </c>
      <c r="J32" s="21">
        <f t="shared" si="8"/>
        <v>0</v>
      </c>
      <c r="K32" s="21">
        <f t="shared" si="9"/>
        <v>0</v>
      </c>
      <c r="L32" s="21">
        <f t="shared" si="10"/>
        <v>0</v>
      </c>
      <c r="M32" s="21">
        <f t="shared" si="11"/>
        <v>1</v>
      </c>
      <c r="N32" s="22">
        <v>1</v>
      </c>
      <c r="O32" s="40"/>
      <c r="P32" s="40"/>
      <c r="Q32" s="40"/>
      <c r="R32" s="40"/>
      <c r="S32" s="5"/>
      <c r="T32" s="5"/>
      <c r="U32" s="5"/>
      <c r="V32" s="5"/>
    </row>
    <row r="33" spans="1:18" ht="15" customHeight="1" x14ac:dyDescent="0.2">
      <c r="A33" s="24"/>
      <c r="B33" s="46"/>
      <c r="C33" s="46"/>
      <c r="D33" s="46"/>
      <c r="E33" s="26" t="s">
        <v>68</v>
      </c>
      <c r="F33" s="26" t="s">
        <v>29</v>
      </c>
      <c r="G33" s="26" t="s">
        <v>26</v>
      </c>
      <c r="H33" s="27" t="s">
        <v>38</v>
      </c>
      <c r="I33" s="28">
        <f t="shared" si="7"/>
        <v>0</v>
      </c>
      <c r="J33" s="28">
        <f t="shared" si="8"/>
        <v>0</v>
      </c>
      <c r="K33" s="28">
        <f t="shared" si="9"/>
        <v>0</v>
      </c>
      <c r="L33" s="28">
        <f t="shared" si="10"/>
        <v>0</v>
      </c>
      <c r="M33" s="28">
        <f t="shared" si="11"/>
        <v>1</v>
      </c>
      <c r="N33" s="29" t="str">
        <f t="shared" ref="N33:N37" si="14">IF(F33="цифровой",IF(AND(F32="цифровой",OR(N32=1,N32="")),"",1),0)</f>
        <v/>
      </c>
      <c r="O33" s="40"/>
      <c r="P33" s="40"/>
      <c r="Q33" s="40"/>
      <c r="R33" s="40"/>
    </row>
    <row r="34" spans="1:18" ht="15.75" customHeight="1" x14ac:dyDescent="0.2">
      <c r="A34" s="24"/>
      <c r="B34" s="46"/>
      <c r="C34" s="46"/>
      <c r="D34" s="46"/>
      <c r="E34" s="26" t="s">
        <v>69</v>
      </c>
      <c r="F34" s="26" t="s">
        <v>29</v>
      </c>
      <c r="G34" s="26" t="s">
        <v>9</v>
      </c>
      <c r="H34" s="27" t="s">
        <v>38</v>
      </c>
      <c r="I34" s="28">
        <f t="shared" si="7"/>
        <v>0</v>
      </c>
      <c r="J34" s="28">
        <f t="shared" si="8"/>
        <v>0</v>
      </c>
      <c r="K34" s="28">
        <f t="shared" si="9"/>
        <v>0</v>
      </c>
      <c r="L34" s="28">
        <f t="shared" si="10"/>
        <v>0</v>
      </c>
      <c r="M34" s="28">
        <f t="shared" si="11"/>
        <v>1</v>
      </c>
      <c r="N34" s="29" t="str">
        <f t="shared" si="14"/>
        <v/>
      </c>
      <c r="O34" s="40"/>
      <c r="P34" s="40"/>
      <c r="Q34" s="40"/>
      <c r="R34" s="40"/>
    </row>
    <row r="35" spans="1:18" ht="15.75" customHeight="1" x14ac:dyDescent="0.2">
      <c r="A35" s="24"/>
      <c r="B35" s="46"/>
      <c r="C35" s="46"/>
      <c r="D35" s="46"/>
      <c r="E35" s="26" t="s">
        <v>70</v>
      </c>
      <c r="F35" s="26" t="s">
        <v>29</v>
      </c>
      <c r="G35" s="26" t="s">
        <v>9</v>
      </c>
      <c r="H35" s="27" t="s">
        <v>38</v>
      </c>
      <c r="I35" s="28">
        <f t="shared" si="7"/>
        <v>0</v>
      </c>
      <c r="J35" s="28">
        <f t="shared" si="8"/>
        <v>0</v>
      </c>
      <c r="K35" s="28">
        <f t="shared" si="9"/>
        <v>0</v>
      </c>
      <c r="L35" s="28">
        <f t="shared" si="10"/>
        <v>0</v>
      </c>
      <c r="M35" s="28">
        <f t="shared" si="11"/>
        <v>1</v>
      </c>
      <c r="N35" s="29" t="str">
        <f t="shared" si="14"/>
        <v/>
      </c>
      <c r="O35" s="40"/>
      <c r="P35" s="40"/>
      <c r="Q35" s="40"/>
      <c r="R35" s="40"/>
    </row>
    <row r="36" spans="1:18" ht="15.75" customHeight="1" x14ac:dyDescent="0.2">
      <c r="A36" s="24"/>
      <c r="B36" s="46"/>
      <c r="C36" s="46"/>
      <c r="D36" s="46"/>
      <c r="E36" s="26" t="s">
        <v>71</v>
      </c>
      <c r="F36" s="26" t="s">
        <v>29</v>
      </c>
      <c r="G36" s="26" t="s">
        <v>9</v>
      </c>
      <c r="H36" s="27" t="s">
        <v>38</v>
      </c>
      <c r="I36" s="28">
        <f t="shared" si="7"/>
        <v>0</v>
      </c>
      <c r="J36" s="28">
        <f t="shared" si="8"/>
        <v>0</v>
      </c>
      <c r="K36" s="28">
        <f t="shared" si="9"/>
        <v>0</v>
      </c>
      <c r="L36" s="28">
        <f t="shared" si="10"/>
        <v>0</v>
      </c>
      <c r="M36" s="28">
        <f t="shared" si="11"/>
        <v>1</v>
      </c>
      <c r="N36" s="29" t="str">
        <f t="shared" si="14"/>
        <v/>
      </c>
      <c r="O36" s="40"/>
      <c r="P36" s="40"/>
      <c r="Q36" s="40"/>
      <c r="R36" s="40"/>
    </row>
    <row r="37" spans="1:18" ht="15.75" customHeight="1" thickBot="1" x14ac:dyDescent="0.25">
      <c r="A37" s="24"/>
      <c r="B37" s="46"/>
      <c r="C37" s="46"/>
      <c r="D37" s="47"/>
      <c r="E37" s="32" t="s">
        <v>72</v>
      </c>
      <c r="F37" s="32" t="s">
        <v>29</v>
      </c>
      <c r="G37" s="32" t="s">
        <v>9</v>
      </c>
      <c r="H37" s="33" t="s">
        <v>38</v>
      </c>
      <c r="I37" s="34">
        <f t="shared" si="7"/>
        <v>0</v>
      </c>
      <c r="J37" s="34">
        <f t="shared" si="8"/>
        <v>0</v>
      </c>
      <c r="K37" s="34">
        <f t="shared" si="9"/>
        <v>0</v>
      </c>
      <c r="L37" s="34">
        <f t="shared" si="10"/>
        <v>0</v>
      </c>
      <c r="M37" s="34">
        <f t="shared" si="11"/>
        <v>1</v>
      </c>
      <c r="N37" s="35" t="str">
        <f t="shared" si="14"/>
        <v/>
      </c>
      <c r="O37" s="40"/>
      <c r="P37" s="40"/>
      <c r="Q37" s="40"/>
      <c r="R37" s="40"/>
    </row>
    <row r="38" spans="1:18" ht="15.75" customHeight="1" x14ac:dyDescent="0.2">
      <c r="A38" s="24"/>
      <c r="B38" s="46"/>
      <c r="C38" s="46"/>
      <c r="D38" s="50" t="s">
        <v>74</v>
      </c>
      <c r="E38" s="19" t="s">
        <v>67</v>
      </c>
      <c r="F38" s="19" t="s">
        <v>29</v>
      </c>
      <c r="G38" s="19" t="s">
        <v>26</v>
      </c>
      <c r="H38" s="20" t="s">
        <v>38</v>
      </c>
      <c r="I38" s="21">
        <f t="shared" si="7"/>
        <v>0</v>
      </c>
      <c r="J38" s="21">
        <f t="shared" si="8"/>
        <v>0</v>
      </c>
      <c r="K38" s="21">
        <f t="shared" si="9"/>
        <v>0</v>
      </c>
      <c r="L38" s="21">
        <f t="shared" si="10"/>
        <v>0</v>
      </c>
      <c r="M38" s="21">
        <f t="shared" si="11"/>
        <v>1</v>
      </c>
      <c r="N38" s="22">
        <v>1</v>
      </c>
      <c r="O38" s="40"/>
      <c r="P38" s="40"/>
      <c r="Q38" s="40"/>
      <c r="R38" s="40"/>
    </row>
    <row r="39" spans="1:18" ht="15.75" customHeight="1" x14ac:dyDescent="0.2">
      <c r="A39" s="24"/>
      <c r="B39" s="46"/>
      <c r="C39" s="46"/>
      <c r="D39" s="46"/>
      <c r="E39" s="26" t="s">
        <v>68</v>
      </c>
      <c r="F39" s="26" t="s">
        <v>29</v>
      </c>
      <c r="G39" s="26" t="s">
        <v>26</v>
      </c>
      <c r="H39" s="27" t="s">
        <v>38</v>
      </c>
      <c r="I39" s="28">
        <f t="shared" si="7"/>
        <v>0</v>
      </c>
      <c r="J39" s="28">
        <f t="shared" si="8"/>
        <v>0</v>
      </c>
      <c r="K39" s="28">
        <f t="shared" si="9"/>
        <v>0</v>
      </c>
      <c r="L39" s="28">
        <f t="shared" si="10"/>
        <v>0</v>
      </c>
      <c r="M39" s="28">
        <f t="shared" si="11"/>
        <v>1</v>
      </c>
      <c r="N39" s="29" t="str">
        <f t="shared" ref="N39:N43" si="15">IF(F39="цифровой",IF(AND(F38="цифровой",OR(N38=1,N38="")),"",1),0)</f>
        <v/>
      </c>
      <c r="O39" s="40"/>
      <c r="P39" s="40"/>
      <c r="Q39" s="40"/>
      <c r="R39" s="40"/>
    </row>
    <row r="40" spans="1:18" ht="15.75" customHeight="1" x14ac:dyDescent="0.2">
      <c r="A40" s="24"/>
      <c r="B40" s="46"/>
      <c r="C40" s="46"/>
      <c r="D40" s="46"/>
      <c r="E40" s="26" t="s">
        <v>69</v>
      </c>
      <c r="F40" s="26" t="s">
        <v>29</v>
      </c>
      <c r="G40" s="26" t="s">
        <v>9</v>
      </c>
      <c r="H40" s="27" t="s">
        <v>38</v>
      </c>
      <c r="I40" s="28">
        <f t="shared" si="7"/>
        <v>0</v>
      </c>
      <c r="J40" s="28">
        <f t="shared" si="8"/>
        <v>0</v>
      </c>
      <c r="K40" s="28">
        <f t="shared" si="9"/>
        <v>0</v>
      </c>
      <c r="L40" s="28">
        <f t="shared" si="10"/>
        <v>0</v>
      </c>
      <c r="M40" s="28">
        <f t="shared" si="11"/>
        <v>1</v>
      </c>
      <c r="N40" s="29" t="str">
        <f t="shared" si="15"/>
        <v/>
      </c>
      <c r="O40" s="40"/>
      <c r="P40" s="40"/>
      <c r="Q40" s="40"/>
      <c r="R40" s="40"/>
    </row>
    <row r="41" spans="1:18" ht="15.75" customHeight="1" x14ac:dyDescent="0.2">
      <c r="A41" s="24"/>
      <c r="B41" s="46"/>
      <c r="C41" s="46"/>
      <c r="D41" s="46"/>
      <c r="E41" s="26" t="s">
        <v>70</v>
      </c>
      <c r="F41" s="26" t="s">
        <v>29</v>
      </c>
      <c r="G41" s="26" t="s">
        <v>9</v>
      </c>
      <c r="H41" s="27" t="s">
        <v>38</v>
      </c>
      <c r="I41" s="28">
        <f t="shared" si="7"/>
        <v>0</v>
      </c>
      <c r="J41" s="28">
        <f t="shared" si="8"/>
        <v>0</v>
      </c>
      <c r="K41" s="28">
        <f t="shared" si="9"/>
        <v>0</v>
      </c>
      <c r="L41" s="28">
        <f t="shared" si="10"/>
        <v>0</v>
      </c>
      <c r="M41" s="28">
        <f t="shared" si="11"/>
        <v>1</v>
      </c>
      <c r="N41" s="29" t="str">
        <f t="shared" si="15"/>
        <v/>
      </c>
      <c r="O41" s="40"/>
      <c r="P41" s="40"/>
      <c r="Q41" s="40"/>
      <c r="R41" s="40"/>
    </row>
    <row r="42" spans="1:18" ht="15.75" customHeight="1" x14ac:dyDescent="0.2">
      <c r="A42" s="24"/>
      <c r="B42" s="46"/>
      <c r="C42" s="46"/>
      <c r="D42" s="46"/>
      <c r="E42" s="26" t="s">
        <v>71</v>
      </c>
      <c r="F42" s="26" t="s">
        <v>29</v>
      </c>
      <c r="G42" s="26" t="s">
        <v>9</v>
      </c>
      <c r="H42" s="27" t="s">
        <v>38</v>
      </c>
      <c r="I42" s="28">
        <f t="shared" si="7"/>
        <v>0</v>
      </c>
      <c r="J42" s="28">
        <f t="shared" si="8"/>
        <v>0</v>
      </c>
      <c r="K42" s="28">
        <f t="shared" si="9"/>
        <v>0</v>
      </c>
      <c r="L42" s="28">
        <f t="shared" si="10"/>
        <v>0</v>
      </c>
      <c r="M42" s="28">
        <f t="shared" si="11"/>
        <v>1</v>
      </c>
      <c r="N42" s="29" t="str">
        <f t="shared" si="15"/>
        <v/>
      </c>
      <c r="O42" s="40"/>
      <c r="P42" s="40"/>
      <c r="Q42" s="40"/>
      <c r="R42" s="40"/>
    </row>
    <row r="43" spans="1:18" ht="15.75" customHeight="1" thickBot="1" x14ac:dyDescent="0.25">
      <c r="A43" s="24"/>
      <c r="B43" s="46"/>
      <c r="C43" s="46"/>
      <c r="D43" s="47"/>
      <c r="E43" s="32" t="s">
        <v>72</v>
      </c>
      <c r="F43" s="32" t="s">
        <v>29</v>
      </c>
      <c r="G43" s="32" t="s">
        <v>9</v>
      </c>
      <c r="H43" s="33" t="s">
        <v>38</v>
      </c>
      <c r="I43" s="34">
        <f t="shared" si="7"/>
        <v>0</v>
      </c>
      <c r="J43" s="34">
        <f t="shared" si="8"/>
        <v>0</v>
      </c>
      <c r="K43" s="34">
        <f t="shared" si="9"/>
        <v>0</v>
      </c>
      <c r="L43" s="34">
        <f t="shared" si="10"/>
        <v>0</v>
      </c>
      <c r="M43" s="34">
        <f t="shared" si="11"/>
        <v>1</v>
      </c>
      <c r="N43" s="35" t="str">
        <f t="shared" si="15"/>
        <v/>
      </c>
      <c r="O43" s="40"/>
      <c r="P43" s="40"/>
      <c r="Q43" s="40"/>
      <c r="R43" s="40"/>
    </row>
    <row r="44" spans="1:18" ht="15.75" customHeight="1" x14ac:dyDescent="0.2">
      <c r="A44" s="24"/>
      <c r="B44" s="46"/>
      <c r="C44" s="46"/>
      <c r="D44" s="50" t="s">
        <v>75</v>
      </c>
      <c r="E44" s="19" t="s">
        <v>67</v>
      </c>
      <c r="F44" s="19" t="s">
        <v>29</v>
      </c>
      <c r="G44" s="19" t="s">
        <v>26</v>
      </c>
      <c r="H44" s="20" t="s">
        <v>38</v>
      </c>
      <c r="I44" s="21">
        <f t="shared" si="7"/>
        <v>0</v>
      </c>
      <c r="J44" s="21">
        <f t="shared" si="8"/>
        <v>0</v>
      </c>
      <c r="K44" s="21">
        <f t="shared" si="9"/>
        <v>0</v>
      </c>
      <c r="L44" s="21">
        <f t="shared" si="10"/>
        <v>0</v>
      </c>
      <c r="M44" s="21">
        <f t="shared" si="11"/>
        <v>1</v>
      </c>
      <c r="N44" s="22">
        <v>1</v>
      </c>
      <c r="O44" s="40"/>
      <c r="P44" s="40"/>
      <c r="Q44" s="40"/>
      <c r="R44" s="40"/>
    </row>
    <row r="45" spans="1:18" ht="15.75" customHeight="1" x14ac:dyDescent="0.2">
      <c r="A45" s="24"/>
      <c r="B45" s="46"/>
      <c r="C45" s="46"/>
      <c r="D45" s="46"/>
      <c r="E45" s="26" t="s">
        <v>68</v>
      </c>
      <c r="F45" s="26" t="s">
        <v>29</v>
      </c>
      <c r="G45" s="26" t="s">
        <v>26</v>
      </c>
      <c r="H45" s="27" t="s">
        <v>38</v>
      </c>
      <c r="I45" s="28">
        <f t="shared" si="7"/>
        <v>0</v>
      </c>
      <c r="J45" s="28">
        <f t="shared" si="8"/>
        <v>0</v>
      </c>
      <c r="K45" s="28">
        <f t="shared" si="9"/>
        <v>0</v>
      </c>
      <c r="L45" s="28">
        <f t="shared" si="10"/>
        <v>0</v>
      </c>
      <c r="M45" s="28">
        <f t="shared" si="11"/>
        <v>1</v>
      </c>
      <c r="N45" s="29" t="str">
        <f t="shared" ref="N45:N49" si="16">IF(F45="цифровой",IF(AND(F44="цифровой",OR(N44=1,N44="")),"",1),0)</f>
        <v/>
      </c>
      <c r="O45" s="40"/>
      <c r="P45" s="40"/>
      <c r="Q45" s="40"/>
      <c r="R45" s="40"/>
    </row>
    <row r="46" spans="1:18" ht="15.75" customHeight="1" x14ac:dyDescent="0.2">
      <c r="A46" s="24"/>
      <c r="B46" s="46"/>
      <c r="C46" s="46"/>
      <c r="D46" s="46"/>
      <c r="E46" s="26" t="s">
        <v>69</v>
      </c>
      <c r="F46" s="26" t="s">
        <v>29</v>
      </c>
      <c r="G46" s="26" t="s">
        <v>9</v>
      </c>
      <c r="H46" s="27" t="s">
        <v>38</v>
      </c>
      <c r="I46" s="28">
        <f t="shared" si="7"/>
        <v>0</v>
      </c>
      <c r="J46" s="28">
        <f t="shared" si="8"/>
        <v>0</v>
      </c>
      <c r="K46" s="28">
        <f t="shared" si="9"/>
        <v>0</v>
      </c>
      <c r="L46" s="28">
        <f t="shared" si="10"/>
        <v>0</v>
      </c>
      <c r="M46" s="28">
        <f t="shared" si="11"/>
        <v>1</v>
      </c>
      <c r="N46" s="29" t="str">
        <f t="shared" si="16"/>
        <v/>
      </c>
      <c r="O46" s="40"/>
      <c r="P46" s="40"/>
      <c r="Q46" s="40"/>
      <c r="R46" s="40"/>
    </row>
    <row r="47" spans="1:18" ht="15.75" customHeight="1" x14ac:dyDescent="0.2">
      <c r="A47" s="24"/>
      <c r="B47" s="46"/>
      <c r="C47" s="46"/>
      <c r="D47" s="46"/>
      <c r="E47" s="26" t="s">
        <v>70</v>
      </c>
      <c r="F47" s="26" t="s">
        <v>29</v>
      </c>
      <c r="G47" s="26" t="s">
        <v>9</v>
      </c>
      <c r="H47" s="27" t="s">
        <v>38</v>
      </c>
      <c r="I47" s="28">
        <f t="shared" si="7"/>
        <v>0</v>
      </c>
      <c r="J47" s="28">
        <f t="shared" si="8"/>
        <v>0</v>
      </c>
      <c r="K47" s="28">
        <f t="shared" si="9"/>
        <v>0</v>
      </c>
      <c r="L47" s="28">
        <f t="shared" si="10"/>
        <v>0</v>
      </c>
      <c r="M47" s="28">
        <f t="shared" si="11"/>
        <v>1</v>
      </c>
      <c r="N47" s="29" t="str">
        <f t="shared" si="16"/>
        <v/>
      </c>
      <c r="O47" s="40"/>
      <c r="P47" s="40"/>
      <c r="Q47" s="40"/>
      <c r="R47" s="40"/>
    </row>
    <row r="48" spans="1:18" ht="15.75" customHeight="1" x14ac:dyDescent="0.2">
      <c r="A48" s="24"/>
      <c r="B48" s="46"/>
      <c r="C48" s="46"/>
      <c r="D48" s="46"/>
      <c r="E48" s="26" t="s">
        <v>71</v>
      </c>
      <c r="F48" s="26" t="s">
        <v>29</v>
      </c>
      <c r="G48" s="26" t="s">
        <v>9</v>
      </c>
      <c r="H48" s="27" t="s">
        <v>38</v>
      </c>
      <c r="I48" s="28">
        <f t="shared" si="7"/>
        <v>0</v>
      </c>
      <c r="J48" s="28">
        <f t="shared" si="8"/>
        <v>0</v>
      </c>
      <c r="K48" s="28">
        <f t="shared" si="9"/>
        <v>0</v>
      </c>
      <c r="L48" s="28">
        <f t="shared" si="10"/>
        <v>0</v>
      </c>
      <c r="M48" s="28">
        <f t="shared" si="11"/>
        <v>1</v>
      </c>
      <c r="N48" s="29" t="str">
        <f t="shared" si="16"/>
        <v/>
      </c>
      <c r="O48" s="40"/>
      <c r="P48" s="40"/>
      <c r="Q48" s="40"/>
      <c r="R48" s="40"/>
    </row>
    <row r="49" spans="1:18" ht="15.75" customHeight="1" thickBot="1" x14ac:dyDescent="0.25">
      <c r="A49" s="24"/>
      <c r="B49" s="46"/>
      <c r="C49" s="46"/>
      <c r="D49" s="47"/>
      <c r="E49" s="32" t="s">
        <v>72</v>
      </c>
      <c r="F49" s="32" t="s">
        <v>29</v>
      </c>
      <c r="G49" s="32" t="s">
        <v>9</v>
      </c>
      <c r="H49" s="33" t="s">
        <v>38</v>
      </c>
      <c r="I49" s="34">
        <f t="shared" si="7"/>
        <v>0</v>
      </c>
      <c r="J49" s="34">
        <f t="shared" si="8"/>
        <v>0</v>
      </c>
      <c r="K49" s="34">
        <f t="shared" si="9"/>
        <v>0</v>
      </c>
      <c r="L49" s="34">
        <f t="shared" si="10"/>
        <v>0</v>
      </c>
      <c r="M49" s="34">
        <f t="shared" si="11"/>
        <v>1</v>
      </c>
      <c r="N49" s="35" t="str">
        <f t="shared" si="16"/>
        <v/>
      </c>
      <c r="O49" s="40"/>
      <c r="P49" s="40"/>
      <c r="Q49" s="40"/>
      <c r="R49" s="40"/>
    </row>
    <row r="50" spans="1:18" ht="15.75" customHeight="1" x14ac:dyDescent="0.2">
      <c r="A50" s="24"/>
      <c r="B50" s="46"/>
      <c r="C50" s="46"/>
      <c r="D50" s="50" t="s">
        <v>76</v>
      </c>
      <c r="E50" s="19" t="s">
        <v>67</v>
      </c>
      <c r="F50" s="19" t="s">
        <v>29</v>
      </c>
      <c r="G50" s="19" t="s">
        <v>26</v>
      </c>
      <c r="H50" s="20" t="s">
        <v>38</v>
      </c>
      <c r="I50" s="21">
        <f t="shared" si="7"/>
        <v>0</v>
      </c>
      <c r="J50" s="21">
        <f t="shared" si="8"/>
        <v>0</v>
      </c>
      <c r="K50" s="21">
        <f t="shared" si="9"/>
        <v>0</v>
      </c>
      <c r="L50" s="21">
        <f t="shared" si="10"/>
        <v>0</v>
      </c>
      <c r="M50" s="21">
        <f t="shared" si="11"/>
        <v>1</v>
      </c>
      <c r="N50" s="22">
        <v>1</v>
      </c>
      <c r="O50" s="40"/>
      <c r="P50" s="40"/>
      <c r="Q50" s="40"/>
      <c r="R50" s="40"/>
    </row>
    <row r="51" spans="1:18" ht="15.75" customHeight="1" x14ac:dyDescent="0.2">
      <c r="A51" s="24"/>
      <c r="B51" s="46"/>
      <c r="C51" s="46"/>
      <c r="D51" s="46"/>
      <c r="E51" s="26" t="s">
        <v>68</v>
      </c>
      <c r="F51" s="26" t="s">
        <v>29</v>
      </c>
      <c r="G51" s="26" t="s">
        <v>26</v>
      </c>
      <c r="H51" s="27" t="s">
        <v>38</v>
      </c>
      <c r="I51" s="28">
        <f t="shared" si="7"/>
        <v>0</v>
      </c>
      <c r="J51" s="28">
        <f t="shared" si="8"/>
        <v>0</v>
      </c>
      <c r="K51" s="28">
        <f t="shared" si="9"/>
        <v>0</v>
      </c>
      <c r="L51" s="28">
        <f t="shared" si="10"/>
        <v>0</v>
      </c>
      <c r="M51" s="28">
        <f t="shared" si="11"/>
        <v>1</v>
      </c>
      <c r="N51" s="29" t="str">
        <f t="shared" ref="N51:N55" si="17">IF(F51="цифровой",IF(AND(F50="цифровой",OR(N50=1,N50="")),"",1),0)</f>
        <v/>
      </c>
      <c r="O51" s="40"/>
      <c r="P51" s="40"/>
      <c r="Q51" s="40"/>
      <c r="R51" s="40"/>
    </row>
    <row r="52" spans="1:18" ht="15.75" customHeight="1" x14ac:dyDescent="0.2">
      <c r="A52" s="24"/>
      <c r="B52" s="46"/>
      <c r="C52" s="46"/>
      <c r="D52" s="46"/>
      <c r="E52" s="26" t="s">
        <v>69</v>
      </c>
      <c r="F52" s="26" t="s">
        <v>29</v>
      </c>
      <c r="G52" s="26" t="s">
        <v>9</v>
      </c>
      <c r="H52" s="27" t="s">
        <v>38</v>
      </c>
      <c r="I52" s="28">
        <f t="shared" si="7"/>
        <v>0</v>
      </c>
      <c r="J52" s="28">
        <f t="shared" si="8"/>
        <v>0</v>
      </c>
      <c r="K52" s="28">
        <f t="shared" si="9"/>
        <v>0</v>
      </c>
      <c r="L52" s="28">
        <f t="shared" si="10"/>
        <v>0</v>
      </c>
      <c r="M52" s="28">
        <f t="shared" si="11"/>
        <v>1</v>
      </c>
      <c r="N52" s="29" t="str">
        <f t="shared" si="17"/>
        <v/>
      </c>
      <c r="O52" s="40"/>
      <c r="P52" s="40"/>
      <c r="Q52" s="40"/>
      <c r="R52" s="40"/>
    </row>
    <row r="53" spans="1:18" ht="15.75" customHeight="1" x14ac:dyDescent="0.2">
      <c r="A53" s="24"/>
      <c r="B53" s="46"/>
      <c r="C53" s="46"/>
      <c r="D53" s="46"/>
      <c r="E53" s="26" t="s">
        <v>70</v>
      </c>
      <c r="F53" s="26" t="s">
        <v>29</v>
      </c>
      <c r="G53" s="26" t="s">
        <v>9</v>
      </c>
      <c r="H53" s="27" t="s">
        <v>38</v>
      </c>
      <c r="I53" s="28">
        <f t="shared" si="7"/>
        <v>0</v>
      </c>
      <c r="J53" s="28">
        <f t="shared" si="8"/>
        <v>0</v>
      </c>
      <c r="K53" s="28">
        <f t="shared" si="9"/>
        <v>0</v>
      </c>
      <c r="L53" s="28">
        <f t="shared" si="10"/>
        <v>0</v>
      </c>
      <c r="M53" s="28">
        <f t="shared" si="11"/>
        <v>1</v>
      </c>
      <c r="N53" s="29" t="str">
        <f t="shared" si="17"/>
        <v/>
      </c>
      <c r="O53" s="40"/>
      <c r="P53" s="40"/>
      <c r="Q53" s="40"/>
      <c r="R53" s="40"/>
    </row>
    <row r="54" spans="1:18" ht="15.75" customHeight="1" x14ac:dyDescent="0.2">
      <c r="A54" s="24"/>
      <c r="B54" s="46"/>
      <c r="C54" s="46"/>
      <c r="D54" s="46"/>
      <c r="E54" s="26" t="s">
        <v>71</v>
      </c>
      <c r="F54" s="26" t="s">
        <v>29</v>
      </c>
      <c r="G54" s="26" t="s">
        <v>9</v>
      </c>
      <c r="H54" s="27" t="s">
        <v>38</v>
      </c>
      <c r="I54" s="28">
        <f t="shared" si="7"/>
        <v>0</v>
      </c>
      <c r="J54" s="28">
        <f t="shared" si="8"/>
        <v>0</v>
      </c>
      <c r="K54" s="28">
        <f t="shared" si="9"/>
        <v>0</v>
      </c>
      <c r="L54" s="28">
        <f t="shared" si="10"/>
        <v>0</v>
      </c>
      <c r="M54" s="28">
        <f t="shared" si="11"/>
        <v>1</v>
      </c>
      <c r="N54" s="29" t="str">
        <f t="shared" si="17"/>
        <v/>
      </c>
      <c r="O54" s="40"/>
      <c r="P54" s="40"/>
      <c r="Q54" s="40"/>
      <c r="R54" s="40"/>
    </row>
    <row r="55" spans="1:18" ht="15.75" customHeight="1" thickBot="1" x14ac:dyDescent="0.25">
      <c r="A55" s="24"/>
      <c r="B55" s="46"/>
      <c r="C55" s="46"/>
      <c r="D55" s="47"/>
      <c r="E55" s="32" t="s">
        <v>72</v>
      </c>
      <c r="F55" s="32" t="s">
        <v>29</v>
      </c>
      <c r="G55" s="32" t="s">
        <v>9</v>
      </c>
      <c r="H55" s="33" t="s">
        <v>38</v>
      </c>
      <c r="I55" s="34">
        <f t="shared" si="7"/>
        <v>0</v>
      </c>
      <c r="J55" s="34">
        <f t="shared" si="8"/>
        <v>0</v>
      </c>
      <c r="K55" s="34">
        <f t="shared" si="9"/>
        <v>0</v>
      </c>
      <c r="L55" s="34">
        <f t="shared" si="10"/>
        <v>0</v>
      </c>
      <c r="M55" s="34">
        <f t="shared" si="11"/>
        <v>1</v>
      </c>
      <c r="N55" s="35" t="str">
        <f t="shared" si="17"/>
        <v/>
      </c>
      <c r="O55" s="40"/>
      <c r="P55" s="40"/>
      <c r="Q55" s="40"/>
      <c r="R55" s="40"/>
    </row>
    <row r="56" spans="1:18" ht="15.75" customHeight="1" x14ac:dyDescent="0.2">
      <c r="A56" s="24"/>
      <c r="B56" s="46"/>
      <c r="C56" s="46"/>
      <c r="D56" s="50" t="s">
        <v>77</v>
      </c>
      <c r="E56" s="19" t="s">
        <v>67</v>
      </c>
      <c r="F56" s="19" t="s">
        <v>29</v>
      </c>
      <c r="G56" s="19" t="s">
        <v>26</v>
      </c>
      <c r="H56" s="20" t="s">
        <v>38</v>
      </c>
      <c r="I56" s="21">
        <f t="shared" si="7"/>
        <v>0</v>
      </c>
      <c r="J56" s="21">
        <f t="shared" si="8"/>
        <v>0</v>
      </c>
      <c r="K56" s="21">
        <f t="shared" si="9"/>
        <v>0</v>
      </c>
      <c r="L56" s="21">
        <f t="shared" si="10"/>
        <v>0</v>
      </c>
      <c r="M56" s="21">
        <f t="shared" si="11"/>
        <v>1</v>
      </c>
      <c r="N56" s="22">
        <v>1</v>
      </c>
      <c r="O56" s="40"/>
      <c r="P56" s="40"/>
      <c r="Q56" s="40"/>
      <c r="R56" s="40"/>
    </row>
    <row r="57" spans="1:18" ht="15.75" customHeight="1" x14ac:dyDescent="0.2">
      <c r="A57" s="24"/>
      <c r="B57" s="46"/>
      <c r="C57" s="46"/>
      <c r="D57" s="46"/>
      <c r="E57" s="26" t="s">
        <v>68</v>
      </c>
      <c r="F57" s="26" t="s">
        <v>29</v>
      </c>
      <c r="G57" s="26" t="s">
        <v>26</v>
      </c>
      <c r="H57" s="27" t="s">
        <v>38</v>
      </c>
      <c r="I57" s="28">
        <f t="shared" si="7"/>
        <v>0</v>
      </c>
      <c r="J57" s="28">
        <f t="shared" si="8"/>
        <v>0</v>
      </c>
      <c r="K57" s="28">
        <f t="shared" si="9"/>
        <v>0</v>
      </c>
      <c r="L57" s="28">
        <f t="shared" si="10"/>
        <v>0</v>
      </c>
      <c r="M57" s="28">
        <f t="shared" si="11"/>
        <v>1</v>
      </c>
      <c r="N57" s="29" t="str">
        <f t="shared" ref="N57:N61" si="18">IF(F57="цифровой",IF(AND(F56="цифровой",OR(N56=1,N56="")),"",1),0)</f>
        <v/>
      </c>
      <c r="O57" s="40"/>
      <c r="P57" s="40"/>
      <c r="Q57" s="40"/>
      <c r="R57" s="40"/>
    </row>
    <row r="58" spans="1:18" ht="15.75" customHeight="1" x14ac:dyDescent="0.2">
      <c r="A58" s="24"/>
      <c r="B58" s="46"/>
      <c r="C58" s="46"/>
      <c r="D58" s="46"/>
      <c r="E58" s="26" t="s">
        <v>69</v>
      </c>
      <c r="F58" s="26" t="s">
        <v>29</v>
      </c>
      <c r="G58" s="26" t="s">
        <v>9</v>
      </c>
      <c r="H58" s="27" t="s">
        <v>38</v>
      </c>
      <c r="I58" s="28">
        <f t="shared" si="7"/>
        <v>0</v>
      </c>
      <c r="J58" s="28">
        <f t="shared" si="8"/>
        <v>0</v>
      </c>
      <c r="K58" s="28">
        <f t="shared" si="9"/>
        <v>0</v>
      </c>
      <c r="L58" s="28">
        <f t="shared" si="10"/>
        <v>0</v>
      </c>
      <c r="M58" s="28">
        <f t="shared" si="11"/>
        <v>1</v>
      </c>
      <c r="N58" s="29" t="str">
        <f t="shared" si="18"/>
        <v/>
      </c>
      <c r="O58" s="40"/>
      <c r="P58" s="40"/>
      <c r="Q58" s="40"/>
      <c r="R58" s="40"/>
    </row>
    <row r="59" spans="1:18" ht="15.75" customHeight="1" x14ac:dyDescent="0.2">
      <c r="A59" s="24"/>
      <c r="B59" s="46"/>
      <c r="C59" s="46"/>
      <c r="D59" s="46"/>
      <c r="E59" s="26" t="s">
        <v>70</v>
      </c>
      <c r="F59" s="26" t="s">
        <v>29</v>
      </c>
      <c r="G59" s="26" t="s">
        <v>9</v>
      </c>
      <c r="H59" s="27" t="s">
        <v>38</v>
      </c>
      <c r="I59" s="28">
        <f t="shared" si="7"/>
        <v>0</v>
      </c>
      <c r="J59" s="28">
        <f t="shared" si="8"/>
        <v>0</v>
      </c>
      <c r="K59" s="28">
        <f t="shared" si="9"/>
        <v>0</v>
      </c>
      <c r="L59" s="28">
        <f t="shared" si="10"/>
        <v>0</v>
      </c>
      <c r="M59" s="28">
        <f t="shared" si="11"/>
        <v>1</v>
      </c>
      <c r="N59" s="29" t="str">
        <f t="shared" si="18"/>
        <v/>
      </c>
      <c r="O59" s="40"/>
      <c r="P59" s="40"/>
      <c r="Q59" s="40"/>
      <c r="R59" s="40"/>
    </row>
    <row r="60" spans="1:18" ht="15.75" customHeight="1" x14ac:dyDescent="0.2">
      <c r="A60" s="24"/>
      <c r="B60" s="46"/>
      <c r="C60" s="46"/>
      <c r="D60" s="46"/>
      <c r="E60" s="26" t="s">
        <v>71</v>
      </c>
      <c r="F60" s="26" t="s">
        <v>29</v>
      </c>
      <c r="G60" s="26" t="s">
        <v>9</v>
      </c>
      <c r="H60" s="27" t="s">
        <v>38</v>
      </c>
      <c r="I60" s="28">
        <f t="shared" si="7"/>
        <v>0</v>
      </c>
      <c r="J60" s="28">
        <f t="shared" si="8"/>
        <v>0</v>
      </c>
      <c r="K60" s="28">
        <f t="shared" si="9"/>
        <v>0</v>
      </c>
      <c r="L60" s="28">
        <f t="shared" si="10"/>
        <v>0</v>
      </c>
      <c r="M60" s="28">
        <f t="shared" si="11"/>
        <v>1</v>
      </c>
      <c r="N60" s="29" t="str">
        <f t="shared" si="18"/>
        <v/>
      </c>
      <c r="O60" s="40"/>
      <c r="P60" s="40"/>
      <c r="Q60" s="40"/>
      <c r="R60" s="40"/>
    </row>
    <row r="61" spans="1:18" ht="15.75" customHeight="1" thickBot="1" x14ac:dyDescent="0.25">
      <c r="A61" s="24"/>
      <c r="B61" s="46"/>
      <c r="C61" s="46"/>
      <c r="D61" s="47"/>
      <c r="E61" s="32" t="s">
        <v>72</v>
      </c>
      <c r="F61" s="32" t="s">
        <v>29</v>
      </c>
      <c r="G61" s="32" t="s">
        <v>9</v>
      </c>
      <c r="H61" s="33" t="s">
        <v>38</v>
      </c>
      <c r="I61" s="34">
        <f t="shared" si="7"/>
        <v>0</v>
      </c>
      <c r="J61" s="34">
        <f t="shared" si="8"/>
        <v>0</v>
      </c>
      <c r="K61" s="34">
        <f t="shared" si="9"/>
        <v>0</v>
      </c>
      <c r="L61" s="34">
        <f t="shared" si="10"/>
        <v>0</v>
      </c>
      <c r="M61" s="34">
        <f t="shared" si="11"/>
        <v>1</v>
      </c>
      <c r="N61" s="35" t="str">
        <f t="shared" si="18"/>
        <v/>
      </c>
      <c r="O61" s="40"/>
      <c r="P61" s="40"/>
      <c r="Q61" s="40"/>
      <c r="R61" s="40"/>
    </row>
    <row r="62" spans="1:18" ht="15.75" customHeight="1" x14ac:dyDescent="0.2">
      <c r="A62" s="24"/>
      <c r="B62" s="46"/>
      <c r="C62" s="46"/>
      <c r="D62" s="50" t="s">
        <v>78</v>
      </c>
      <c r="E62" s="19" t="s">
        <v>67</v>
      </c>
      <c r="F62" s="19" t="s">
        <v>29</v>
      </c>
      <c r="G62" s="19" t="s">
        <v>26</v>
      </c>
      <c r="H62" s="20" t="s">
        <v>38</v>
      </c>
      <c r="I62" s="21">
        <f t="shared" si="7"/>
        <v>0</v>
      </c>
      <c r="J62" s="21">
        <f t="shared" si="8"/>
        <v>0</v>
      </c>
      <c r="K62" s="21">
        <f t="shared" si="9"/>
        <v>0</v>
      </c>
      <c r="L62" s="21">
        <f t="shared" si="10"/>
        <v>0</v>
      </c>
      <c r="M62" s="21">
        <f t="shared" si="11"/>
        <v>1</v>
      </c>
      <c r="N62" s="22">
        <v>1</v>
      </c>
      <c r="O62" s="40"/>
      <c r="P62" s="40"/>
      <c r="Q62" s="40"/>
      <c r="R62" s="40"/>
    </row>
    <row r="63" spans="1:18" ht="15.75" customHeight="1" x14ac:dyDescent="0.2">
      <c r="A63" s="24"/>
      <c r="B63" s="46"/>
      <c r="C63" s="46"/>
      <c r="D63" s="46"/>
      <c r="E63" s="26" t="s">
        <v>68</v>
      </c>
      <c r="F63" s="26" t="s">
        <v>29</v>
      </c>
      <c r="G63" s="26" t="s">
        <v>26</v>
      </c>
      <c r="H63" s="27" t="s">
        <v>38</v>
      </c>
      <c r="I63" s="28">
        <f t="shared" si="7"/>
        <v>0</v>
      </c>
      <c r="J63" s="28">
        <f t="shared" si="8"/>
        <v>0</v>
      </c>
      <c r="K63" s="28">
        <f t="shared" si="9"/>
        <v>0</v>
      </c>
      <c r="L63" s="28">
        <f t="shared" si="10"/>
        <v>0</v>
      </c>
      <c r="M63" s="28">
        <f t="shared" si="11"/>
        <v>1</v>
      </c>
      <c r="N63" s="29" t="str">
        <f t="shared" ref="N63:N67" si="19">IF(F63="цифровой",IF(AND(F62="цифровой",OR(N62=1,N62="")),"",1),0)</f>
        <v/>
      </c>
      <c r="O63" s="40"/>
      <c r="P63" s="40"/>
      <c r="Q63" s="40"/>
      <c r="R63" s="40"/>
    </row>
    <row r="64" spans="1:18" ht="15.75" customHeight="1" x14ac:dyDescent="0.2">
      <c r="A64" s="24"/>
      <c r="B64" s="46"/>
      <c r="C64" s="46"/>
      <c r="D64" s="46"/>
      <c r="E64" s="26" t="s">
        <v>69</v>
      </c>
      <c r="F64" s="26" t="s">
        <v>29</v>
      </c>
      <c r="G64" s="26" t="s">
        <v>9</v>
      </c>
      <c r="H64" s="27" t="s">
        <v>38</v>
      </c>
      <c r="I64" s="28">
        <f t="shared" si="7"/>
        <v>0</v>
      </c>
      <c r="J64" s="28">
        <f t="shared" si="8"/>
        <v>0</v>
      </c>
      <c r="K64" s="28">
        <f t="shared" si="9"/>
        <v>0</v>
      </c>
      <c r="L64" s="28">
        <f t="shared" si="10"/>
        <v>0</v>
      </c>
      <c r="M64" s="28">
        <f t="shared" si="11"/>
        <v>1</v>
      </c>
      <c r="N64" s="29" t="str">
        <f t="shared" si="19"/>
        <v/>
      </c>
      <c r="O64" s="40"/>
      <c r="P64" s="40"/>
      <c r="Q64" s="40"/>
      <c r="R64" s="40"/>
    </row>
    <row r="65" spans="1:18" ht="15.75" customHeight="1" x14ac:dyDescent="0.2">
      <c r="A65" s="24"/>
      <c r="B65" s="46"/>
      <c r="C65" s="46"/>
      <c r="D65" s="46"/>
      <c r="E65" s="26" t="s">
        <v>70</v>
      </c>
      <c r="F65" s="26" t="s">
        <v>29</v>
      </c>
      <c r="G65" s="26" t="s">
        <v>9</v>
      </c>
      <c r="H65" s="27" t="s">
        <v>38</v>
      </c>
      <c r="I65" s="28">
        <f t="shared" si="7"/>
        <v>0</v>
      </c>
      <c r="J65" s="28">
        <f t="shared" si="8"/>
        <v>0</v>
      </c>
      <c r="K65" s="28">
        <f t="shared" si="9"/>
        <v>0</v>
      </c>
      <c r="L65" s="28">
        <f t="shared" si="10"/>
        <v>0</v>
      </c>
      <c r="M65" s="28">
        <f t="shared" si="11"/>
        <v>1</v>
      </c>
      <c r="N65" s="29" t="str">
        <f t="shared" si="19"/>
        <v/>
      </c>
      <c r="O65" s="40"/>
      <c r="P65" s="40"/>
      <c r="Q65" s="40"/>
      <c r="R65" s="40"/>
    </row>
    <row r="66" spans="1:18" ht="15.75" customHeight="1" x14ac:dyDescent="0.2">
      <c r="A66" s="24"/>
      <c r="B66" s="46"/>
      <c r="C66" s="46"/>
      <c r="D66" s="46"/>
      <c r="E66" s="26" t="s">
        <v>71</v>
      </c>
      <c r="F66" s="26" t="s">
        <v>29</v>
      </c>
      <c r="G66" s="26" t="s">
        <v>9</v>
      </c>
      <c r="H66" s="27" t="s">
        <v>38</v>
      </c>
      <c r="I66" s="28">
        <f t="shared" si="7"/>
        <v>0</v>
      </c>
      <c r="J66" s="28">
        <f t="shared" si="8"/>
        <v>0</v>
      </c>
      <c r="K66" s="28">
        <f t="shared" si="9"/>
        <v>0</v>
      </c>
      <c r="L66" s="28">
        <f t="shared" si="10"/>
        <v>0</v>
      </c>
      <c r="M66" s="28">
        <f t="shared" si="11"/>
        <v>1</v>
      </c>
      <c r="N66" s="29" t="str">
        <f t="shared" si="19"/>
        <v/>
      </c>
      <c r="O66" s="40"/>
      <c r="P66" s="40"/>
      <c r="Q66" s="40"/>
      <c r="R66" s="40"/>
    </row>
    <row r="67" spans="1:18" ht="15.75" customHeight="1" thickBot="1" x14ac:dyDescent="0.25">
      <c r="A67" s="24"/>
      <c r="B67" s="46"/>
      <c r="C67" s="46"/>
      <c r="D67" s="47"/>
      <c r="E67" s="32" t="s">
        <v>72</v>
      </c>
      <c r="F67" s="32" t="s">
        <v>29</v>
      </c>
      <c r="G67" s="32" t="s">
        <v>9</v>
      </c>
      <c r="H67" s="33" t="s">
        <v>38</v>
      </c>
      <c r="I67" s="34">
        <f t="shared" si="7"/>
        <v>0</v>
      </c>
      <c r="J67" s="34">
        <f t="shared" si="8"/>
        <v>0</v>
      </c>
      <c r="K67" s="34">
        <f t="shared" si="9"/>
        <v>0</v>
      </c>
      <c r="L67" s="34">
        <f t="shared" si="10"/>
        <v>0</v>
      </c>
      <c r="M67" s="34">
        <f t="shared" si="11"/>
        <v>1</v>
      </c>
      <c r="N67" s="35" t="str">
        <f t="shared" si="19"/>
        <v/>
      </c>
      <c r="O67" s="40"/>
      <c r="P67" s="40"/>
      <c r="Q67" s="40"/>
      <c r="R67" s="40"/>
    </row>
    <row r="68" spans="1:18" ht="15.75" customHeight="1" x14ac:dyDescent="0.2">
      <c r="A68" s="24"/>
      <c r="B68" s="46"/>
      <c r="C68" s="46"/>
      <c r="D68" s="50" t="s">
        <v>79</v>
      </c>
      <c r="E68" s="19" t="s">
        <v>67</v>
      </c>
      <c r="F68" s="19" t="s">
        <v>29</v>
      </c>
      <c r="G68" s="19" t="s">
        <v>26</v>
      </c>
      <c r="H68" s="20" t="s">
        <v>38</v>
      </c>
      <c r="I68" s="21">
        <f t="shared" si="7"/>
        <v>0</v>
      </c>
      <c r="J68" s="21">
        <f t="shared" si="8"/>
        <v>0</v>
      </c>
      <c r="K68" s="21">
        <f t="shared" si="9"/>
        <v>0</v>
      </c>
      <c r="L68" s="21">
        <f t="shared" si="10"/>
        <v>0</v>
      </c>
      <c r="M68" s="21">
        <f t="shared" si="11"/>
        <v>1</v>
      </c>
      <c r="N68" s="22">
        <v>1</v>
      </c>
      <c r="O68" s="40"/>
      <c r="P68" s="40"/>
      <c r="Q68" s="40"/>
      <c r="R68" s="40"/>
    </row>
    <row r="69" spans="1:18" ht="15.75" customHeight="1" x14ac:dyDescent="0.2">
      <c r="A69" s="24"/>
      <c r="B69" s="46"/>
      <c r="C69" s="46"/>
      <c r="D69" s="46"/>
      <c r="E69" s="26" t="s">
        <v>68</v>
      </c>
      <c r="F69" s="26" t="s">
        <v>29</v>
      </c>
      <c r="G69" s="26" t="s">
        <v>26</v>
      </c>
      <c r="H69" s="27" t="s">
        <v>38</v>
      </c>
      <c r="I69" s="28">
        <f t="shared" si="7"/>
        <v>0</v>
      </c>
      <c r="J69" s="28">
        <f t="shared" si="8"/>
        <v>0</v>
      </c>
      <c r="K69" s="28">
        <f t="shared" si="9"/>
        <v>0</v>
      </c>
      <c r="L69" s="28">
        <f t="shared" si="10"/>
        <v>0</v>
      </c>
      <c r="M69" s="28">
        <f t="shared" si="11"/>
        <v>1</v>
      </c>
      <c r="N69" s="29" t="str">
        <f t="shared" ref="N69:N73" si="20">IF(F69="цифровой",IF(AND(F68="цифровой",OR(N68=1,N68="")),"",1),0)</f>
        <v/>
      </c>
      <c r="O69" s="40"/>
      <c r="P69" s="40"/>
      <c r="Q69" s="40"/>
      <c r="R69" s="40"/>
    </row>
    <row r="70" spans="1:18" ht="15.75" customHeight="1" x14ac:dyDescent="0.2">
      <c r="A70" s="24"/>
      <c r="B70" s="46"/>
      <c r="C70" s="46"/>
      <c r="D70" s="46"/>
      <c r="E70" s="26" t="s">
        <v>69</v>
      </c>
      <c r="F70" s="26" t="s">
        <v>29</v>
      </c>
      <c r="G70" s="26" t="s">
        <v>9</v>
      </c>
      <c r="H70" s="27" t="s">
        <v>38</v>
      </c>
      <c r="I70" s="28">
        <f t="shared" si="7"/>
        <v>0</v>
      </c>
      <c r="J70" s="28">
        <f t="shared" si="8"/>
        <v>0</v>
      </c>
      <c r="K70" s="28">
        <f t="shared" si="9"/>
        <v>0</v>
      </c>
      <c r="L70" s="28">
        <f t="shared" si="10"/>
        <v>0</v>
      </c>
      <c r="M70" s="28">
        <f t="shared" si="11"/>
        <v>1</v>
      </c>
      <c r="N70" s="29" t="str">
        <f t="shared" si="20"/>
        <v/>
      </c>
      <c r="O70" s="40"/>
      <c r="P70" s="40"/>
      <c r="Q70" s="40"/>
      <c r="R70" s="40"/>
    </row>
    <row r="71" spans="1:18" ht="15.75" customHeight="1" x14ac:dyDescent="0.2">
      <c r="A71" s="24"/>
      <c r="B71" s="46"/>
      <c r="C71" s="46"/>
      <c r="D71" s="46"/>
      <c r="E71" s="26" t="s">
        <v>70</v>
      </c>
      <c r="F71" s="26" t="s">
        <v>29</v>
      </c>
      <c r="G71" s="26" t="s">
        <v>9</v>
      </c>
      <c r="H71" s="27" t="s">
        <v>38</v>
      </c>
      <c r="I71" s="28">
        <f t="shared" si="7"/>
        <v>0</v>
      </c>
      <c r="J71" s="28">
        <f t="shared" si="8"/>
        <v>0</v>
      </c>
      <c r="K71" s="28">
        <f t="shared" si="9"/>
        <v>0</v>
      </c>
      <c r="L71" s="28">
        <f t="shared" si="10"/>
        <v>0</v>
      </c>
      <c r="M71" s="28">
        <f t="shared" si="11"/>
        <v>1</v>
      </c>
      <c r="N71" s="29" t="str">
        <f t="shared" si="20"/>
        <v/>
      </c>
      <c r="O71" s="40"/>
      <c r="P71" s="40"/>
      <c r="Q71" s="40"/>
      <c r="R71" s="40"/>
    </row>
    <row r="72" spans="1:18" ht="15.75" customHeight="1" x14ac:dyDescent="0.2">
      <c r="A72" s="24"/>
      <c r="B72" s="46"/>
      <c r="C72" s="46"/>
      <c r="D72" s="46"/>
      <c r="E72" s="26" t="s">
        <v>71</v>
      </c>
      <c r="F72" s="26" t="s">
        <v>29</v>
      </c>
      <c r="G72" s="26" t="s">
        <v>9</v>
      </c>
      <c r="H72" s="27" t="s">
        <v>38</v>
      </c>
      <c r="I72" s="28">
        <f t="shared" si="7"/>
        <v>0</v>
      </c>
      <c r="J72" s="28">
        <f t="shared" si="8"/>
        <v>0</v>
      </c>
      <c r="K72" s="28">
        <f t="shared" si="9"/>
        <v>0</v>
      </c>
      <c r="L72" s="28">
        <f t="shared" si="10"/>
        <v>0</v>
      </c>
      <c r="M72" s="28">
        <f t="shared" si="11"/>
        <v>1</v>
      </c>
      <c r="N72" s="29" t="str">
        <f t="shared" si="20"/>
        <v/>
      </c>
      <c r="O72" s="40"/>
      <c r="P72" s="40"/>
      <c r="Q72" s="40"/>
      <c r="R72" s="40"/>
    </row>
    <row r="73" spans="1:18" ht="15.75" customHeight="1" thickBot="1" x14ac:dyDescent="0.25">
      <c r="A73" s="24"/>
      <c r="B73" s="46"/>
      <c r="C73" s="46"/>
      <c r="D73" s="47"/>
      <c r="E73" s="32" t="s">
        <v>72</v>
      </c>
      <c r="F73" s="32" t="s">
        <v>29</v>
      </c>
      <c r="G73" s="32" t="s">
        <v>9</v>
      </c>
      <c r="H73" s="33" t="s">
        <v>38</v>
      </c>
      <c r="I73" s="34">
        <f t="shared" si="7"/>
        <v>0</v>
      </c>
      <c r="J73" s="34">
        <f t="shared" si="8"/>
        <v>0</v>
      </c>
      <c r="K73" s="34">
        <f t="shared" si="9"/>
        <v>0</v>
      </c>
      <c r="L73" s="34">
        <f t="shared" si="10"/>
        <v>0</v>
      </c>
      <c r="M73" s="34">
        <f t="shared" si="11"/>
        <v>1</v>
      </c>
      <c r="N73" s="35" t="str">
        <f t="shared" si="20"/>
        <v/>
      </c>
      <c r="O73" s="40"/>
      <c r="P73" s="40"/>
      <c r="Q73" s="40"/>
      <c r="R73" s="40"/>
    </row>
    <row r="74" spans="1:18" ht="15.75" customHeight="1" x14ac:dyDescent="0.2">
      <c r="A74" s="24"/>
      <c r="B74" s="46"/>
      <c r="C74" s="46"/>
      <c r="D74" s="50" t="s">
        <v>80</v>
      </c>
      <c r="E74" s="19" t="s">
        <v>67</v>
      </c>
      <c r="F74" s="19" t="s">
        <v>29</v>
      </c>
      <c r="G74" s="19" t="s">
        <v>26</v>
      </c>
      <c r="H74" s="20" t="s">
        <v>38</v>
      </c>
      <c r="I74" s="21">
        <f t="shared" si="7"/>
        <v>0</v>
      </c>
      <c r="J74" s="21">
        <f t="shared" si="8"/>
        <v>0</v>
      </c>
      <c r="K74" s="21">
        <f t="shared" si="9"/>
        <v>0</v>
      </c>
      <c r="L74" s="21">
        <f t="shared" si="10"/>
        <v>0</v>
      </c>
      <c r="M74" s="21">
        <f t="shared" si="11"/>
        <v>1</v>
      </c>
      <c r="N74" s="22">
        <v>1</v>
      </c>
      <c r="O74" s="40"/>
      <c r="P74" s="40"/>
      <c r="Q74" s="40"/>
      <c r="R74" s="40"/>
    </row>
    <row r="75" spans="1:18" ht="15.75" customHeight="1" x14ac:dyDescent="0.2">
      <c r="A75" s="24"/>
      <c r="B75" s="46"/>
      <c r="C75" s="46"/>
      <c r="D75" s="46"/>
      <c r="E75" s="26" t="s">
        <v>68</v>
      </c>
      <c r="F75" s="26" t="s">
        <v>29</v>
      </c>
      <c r="G75" s="26" t="s">
        <v>26</v>
      </c>
      <c r="H75" s="27" t="s">
        <v>38</v>
      </c>
      <c r="I75" s="28">
        <f t="shared" si="7"/>
        <v>0</v>
      </c>
      <c r="J75" s="28">
        <f t="shared" si="8"/>
        <v>0</v>
      </c>
      <c r="K75" s="28">
        <f t="shared" si="9"/>
        <v>0</v>
      </c>
      <c r="L75" s="28">
        <f t="shared" si="10"/>
        <v>0</v>
      </c>
      <c r="M75" s="28">
        <f t="shared" si="11"/>
        <v>1</v>
      </c>
      <c r="N75" s="29" t="str">
        <f t="shared" ref="N75:N79" si="21">IF(F75="цифровой",IF(AND(F74="цифровой",OR(N74=1,N74="")),"",1),0)</f>
        <v/>
      </c>
      <c r="O75" s="40"/>
      <c r="P75" s="40"/>
      <c r="Q75" s="40"/>
      <c r="R75" s="40"/>
    </row>
    <row r="76" spans="1:18" ht="15.75" customHeight="1" x14ac:dyDescent="0.2">
      <c r="A76" s="24"/>
      <c r="B76" s="46"/>
      <c r="C76" s="46"/>
      <c r="D76" s="46"/>
      <c r="E76" s="26" t="s">
        <v>69</v>
      </c>
      <c r="F76" s="26" t="s">
        <v>29</v>
      </c>
      <c r="G76" s="26" t="s">
        <v>9</v>
      </c>
      <c r="H76" s="27" t="s">
        <v>38</v>
      </c>
      <c r="I76" s="28">
        <f t="shared" si="7"/>
        <v>0</v>
      </c>
      <c r="J76" s="28">
        <f t="shared" si="8"/>
        <v>0</v>
      </c>
      <c r="K76" s="28">
        <f t="shared" si="9"/>
        <v>0</v>
      </c>
      <c r="L76" s="28">
        <f t="shared" si="10"/>
        <v>0</v>
      </c>
      <c r="M76" s="28">
        <f t="shared" si="11"/>
        <v>1</v>
      </c>
      <c r="N76" s="29" t="str">
        <f t="shared" si="21"/>
        <v/>
      </c>
      <c r="O76" s="40"/>
      <c r="P76" s="40"/>
      <c r="Q76" s="40"/>
      <c r="R76" s="40"/>
    </row>
    <row r="77" spans="1:18" ht="15.75" customHeight="1" x14ac:dyDescent="0.2">
      <c r="A77" s="24"/>
      <c r="B77" s="46"/>
      <c r="C77" s="46"/>
      <c r="D77" s="46"/>
      <c r="E77" s="26" t="s">
        <v>70</v>
      </c>
      <c r="F77" s="26" t="s">
        <v>29</v>
      </c>
      <c r="G77" s="26" t="s">
        <v>9</v>
      </c>
      <c r="H77" s="27" t="s">
        <v>38</v>
      </c>
      <c r="I77" s="28">
        <f t="shared" si="7"/>
        <v>0</v>
      </c>
      <c r="J77" s="28">
        <f t="shared" si="8"/>
        <v>0</v>
      </c>
      <c r="K77" s="28">
        <f t="shared" si="9"/>
        <v>0</v>
      </c>
      <c r="L77" s="28">
        <f t="shared" si="10"/>
        <v>0</v>
      </c>
      <c r="M77" s="28">
        <f t="shared" si="11"/>
        <v>1</v>
      </c>
      <c r="N77" s="29" t="str">
        <f t="shared" si="21"/>
        <v/>
      </c>
      <c r="O77" s="40"/>
      <c r="P77" s="40"/>
      <c r="Q77" s="40"/>
      <c r="R77" s="40"/>
    </row>
    <row r="78" spans="1:18" ht="15.75" customHeight="1" x14ac:dyDescent="0.2">
      <c r="A78" s="24"/>
      <c r="B78" s="46"/>
      <c r="C78" s="46"/>
      <c r="D78" s="46"/>
      <c r="E78" s="26" t="s">
        <v>71</v>
      </c>
      <c r="F78" s="26" t="s">
        <v>29</v>
      </c>
      <c r="G78" s="26" t="s">
        <v>9</v>
      </c>
      <c r="H78" s="27" t="s">
        <v>38</v>
      </c>
      <c r="I78" s="28">
        <f t="shared" si="7"/>
        <v>0</v>
      </c>
      <c r="J78" s="28">
        <f t="shared" si="8"/>
        <v>0</v>
      </c>
      <c r="K78" s="28">
        <f t="shared" si="9"/>
        <v>0</v>
      </c>
      <c r="L78" s="28">
        <f t="shared" si="10"/>
        <v>0</v>
      </c>
      <c r="M78" s="28">
        <f t="shared" si="11"/>
        <v>1</v>
      </c>
      <c r="N78" s="29" t="str">
        <f t="shared" si="21"/>
        <v/>
      </c>
      <c r="O78" s="40"/>
      <c r="P78" s="40"/>
      <c r="Q78" s="40"/>
      <c r="R78" s="40"/>
    </row>
    <row r="79" spans="1:18" ht="15.75" customHeight="1" thickBot="1" x14ac:dyDescent="0.25">
      <c r="A79" s="24"/>
      <c r="B79" s="46"/>
      <c r="C79" s="46"/>
      <c r="D79" s="47"/>
      <c r="E79" s="32" t="s">
        <v>72</v>
      </c>
      <c r="F79" s="32" t="s">
        <v>29</v>
      </c>
      <c r="G79" s="32" t="s">
        <v>9</v>
      </c>
      <c r="H79" s="33" t="s">
        <v>38</v>
      </c>
      <c r="I79" s="34">
        <f t="shared" si="7"/>
        <v>0</v>
      </c>
      <c r="J79" s="34">
        <f t="shared" si="8"/>
        <v>0</v>
      </c>
      <c r="K79" s="34">
        <f t="shared" si="9"/>
        <v>0</v>
      </c>
      <c r="L79" s="34">
        <f t="shared" si="10"/>
        <v>0</v>
      </c>
      <c r="M79" s="34">
        <f t="shared" si="11"/>
        <v>1</v>
      </c>
      <c r="N79" s="35" t="str">
        <f t="shared" si="21"/>
        <v/>
      </c>
      <c r="O79" s="40"/>
      <c r="P79" s="40"/>
      <c r="Q79" s="40"/>
      <c r="R79" s="40"/>
    </row>
    <row r="80" spans="1:18" ht="15.75" customHeight="1" x14ac:dyDescent="0.2">
      <c r="A80" s="24"/>
      <c r="B80" s="46"/>
      <c r="C80" s="46"/>
      <c r="D80" s="50" t="s">
        <v>81</v>
      </c>
      <c r="E80" s="19" t="s">
        <v>67</v>
      </c>
      <c r="F80" s="19" t="s">
        <v>29</v>
      </c>
      <c r="G80" s="19" t="s">
        <v>26</v>
      </c>
      <c r="H80" s="20" t="s">
        <v>38</v>
      </c>
      <c r="I80" s="21">
        <f t="shared" si="7"/>
        <v>0</v>
      </c>
      <c r="J80" s="21">
        <f t="shared" si="8"/>
        <v>0</v>
      </c>
      <c r="K80" s="21">
        <f t="shared" si="9"/>
        <v>0</v>
      </c>
      <c r="L80" s="21">
        <f t="shared" si="10"/>
        <v>0</v>
      </c>
      <c r="M80" s="21">
        <f t="shared" si="11"/>
        <v>1</v>
      </c>
      <c r="N80" s="22">
        <v>1</v>
      </c>
      <c r="O80" s="40"/>
      <c r="P80" s="40"/>
      <c r="Q80" s="40"/>
      <c r="R80" s="40"/>
    </row>
    <row r="81" spans="1:18" ht="15.75" customHeight="1" x14ac:dyDescent="0.2">
      <c r="A81" s="24"/>
      <c r="B81" s="46"/>
      <c r="C81" s="46"/>
      <c r="D81" s="46"/>
      <c r="E81" s="26" t="s">
        <v>68</v>
      </c>
      <c r="F81" s="26" t="s">
        <v>29</v>
      </c>
      <c r="G81" s="26" t="s">
        <v>26</v>
      </c>
      <c r="H81" s="27" t="s">
        <v>38</v>
      </c>
      <c r="I81" s="28">
        <f t="shared" si="7"/>
        <v>0</v>
      </c>
      <c r="J81" s="28">
        <f t="shared" si="8"/>
        <v>0</v>
      </c>
      <c r="K81" s="28">
        <f t="shared" si="9"/>
        <v>0</v>
      </c>
      <c r="L81" s="28">
        <f t="shared" si="10"/>
        <v>0</v>
      </c>
      <c r="M81" s="28">
        <f t="shared" si="11"/>
        <v>1</v>
      </c>
      <c r="N81" s="29" t="str">
        <f t="shared" ref="N81:N85" si="22">IF(F81="цифровой",IF(AND(F80="цифровой",OR(N80=1,N80="")),"",1),0)</f>
        <v/>
      </c>
      <c r="O81" s="40"/>
      <c r="P81" s="40"/>
      <c r="Q81" s="40"/>
      <c r="R81" s="40"/>
    </row>
    <row r="82" spans="1:18" ht="15.75" customHeight="1" x14ac:dyDescent="0.2">
      <c r="A82" s="24"/>
      <c r="B82" s="46"/>
      <c r="C82" s="46"/>
      <c r="D82" s="46"/>
      <c r="E82" s="26" t="s">
        <v>69</v>
      </c>
      <c r="F82" s="26" t="s">
        <v>29</v>
      </c>
      <c r="G82" s="26" t="s">
        <v>9</v>
      </c>
      <c r="H82" s="27" t="s">
        <v>38</v>
      </c>
      <c r="I82" s="28">
        <f t="shared" si="7"/>
        <v>0</v>
      </c>
      <c r="J82" s="28">
        <f t="shared" si="8"/>
        <v>0</v>
      </c>
      <c r="K82" s="28">
        <f t="shared" si="9"/>
        <v>0</v>
      </c>
      <c r="L82" s="28">
        <f t="shared" si="10"/>
        <v>0</v>
      </c>
      <c r="M82" s="28">
        <f t="shared" si="11"/>
        <v>1</v>
      </c>
      <c r="N82" s="29" t="str">
        <f t="shared" si="22"/>
        <v/>
      </c>
      <c r="O82" s="40"/>
      <c r="P82" s="40"/>
      <c r="Q82" s="40"/>
      <c r="R82" s="40"/>
    </row>
    <row r="83" spans="1:18" ht="15.75" customHeight="1" x14ac:dyDescent="0.2">
      <c r="A83" s="24"/>
      <c r="B83" s="46"/>
      <c r="C83" s="46"/>
      <c r="D83" s="46"/>
      <c r="E83" s="26" t="s">
        <v>70</v>
      </c>
      <c r="F83" s="26" t="s">
        <v>29</v>
      </c>
      <c r="G83" s="26" t="s">
        <v>9</v>
      </c>
      <c r="H83" s="27" t="s">
        <v>38</v>
      </c>
      <c r="I83" s="28">
        <f t="shared" si="7"/>
        <v>0</v>
      </c>
      <c r="J83" s="28">
        <f t="shared" si="8"/>
        <v>0</v>
      </c>
      <c r="K83" s="28">
        <f t="shared" si="9"/>
        <v>0</v>
      </c>
      <c r="L83" s="28">
        <f t="shared" si="10"/>
        <v>0</v>
      </c>
      <c r="M83" s="28">
        <f t="shared" si="11"/>
        <v>1</v>
      </c>
      <c r="N83" s="29" t="str">
        <f t="shared" si="22"/>
        <v/>
      </c>
      <c r="O83" s="40"/>
      <c r="P83" s="40"/>
      <c r="Q83" s="40"/>
      <c r="R83" s="40"/>
    </row>
    <row r="84" spans="1:18" ht="15.75" customHeight="1" x14ac:dyDescent="0.2">
      <c r="A84" s="24"/>
      <c r="B84" s="46"/>
      <c r="C84" s="46"/>
      <c r="D84" s="46"/>
      <c r="E84" s="26" t="s">
        <v>71</v>
      </c>
      <c r="F84" s="26" t="s">
        <v>29</v>
      </c>
      <c r="G84" s="26" t="s">
        <v>9</v>
      </c>
      <c r="H84" s="27" t="s">
        <v>38</v>
      </c>
      <c r="I84" s="28">
        <f t="shared" si="7"/>
        <v>0</v>
      </c>
      <c r="J84" s="28">
        <f t="shared" si="8"/>
        <v>0</v>
      </c>
      <c r="K84" s="28">
        <f t="shared" si="9"/>
        <v>0</v>
      </c>
      <c r="L84" s="28">
        <f t="shared" si="10"/>
        <v>0</v>
      </c>
      <c r="M84" s="28">
        <f t="shared" si="11"/>
        <v>1</v>
      </c>
      <c r="N84" s="29" t="str">
        <f t="shared" si="22"/>
        <v/>
      </c>
      <c r="O84" s="40"/>
      <c r="P84" s="40"/>
      <c r="Q84" s="40"/>
      <c r="R84" s="40"/>
    </row>
    <row r="85" spans="1:18" ht="15.75" customHeight="1" thickBot="1" x14ac:dyDescent="0.25">
      <c r="A85" s="24"/>
      <c r="B85" s="46"/>
      <c r="C85" s="46"/>
      <c r="D85" s="47"/>
      <c r="E85" s="32" t="s">
        <v>72</v>
      </c>
      <c r="F85" s="32" t="s">
        <v>29</v>
      </c>
      <c r="G85" s="32" t="s">
        <v>9</v>
      </c>
      <c r="H85" s="33" t="s">
        <v>38</v>
      </c>
      <c r="I85" s="34">
        <f t="shared" si="7"/>
        <v>0</v>
      </c>
      <c r="J85" s="34">
        <f t="shared" si="8"/>
        <v>0</v>
      </c>
      <c r="K85" s="34">
        <f t="shared" si="9"/>
        <v>0</v>
      </c>
      <c r="L85" s="34">
        <f t="shared" si="10"/>
        <v>0</v>
      </c>
      <c r="M85" s="34">
        <f t="shared" si="11"/>
        <v>1</v>
      </c>
      <c r="N85" s="35" t="str">
        <f t="shared" si="22"/>
        <v/>
      </c>
      <c r="O85" s="40"/>
      <c r="P85" s="40"/>
      <c r="Q85" s="40"/>
      <c r="R85" s="40"/>
    </row>
    <row r="86" spans="1:18" ht="15.75" customHeight="1" x14ac:dyDescent="0.2">
      <c r="A86" s="24"/>
      <c r="B86" s="46"/>
      <c r="C86" s="46"/>
      <c r="D86" s="50" t="s">
        <v>82</v>
      </c>
      <c r="E86" s="19" t="s">
        <v>67</v>
      </c>
      <c r="F86" s="19" t="s">
        <v>29</v>
      </c>
      <c r="G86" s="19" t="s">
        <v>26</v>
      </c>
      <c r="H86" s="20" t="s">
        <v>38</v>
      </c>
      <c r="I86" s="21">
        <f t="shared" si="7"/>
        <v>0</v>
      </c>
      <c r="J86" s="21">
        <f t="shared" si="8"/>
        <v>0</v>
      </c>
      <c r="K86" s="21">
        <f t="shared" si="9"/>
        <v>0</v>
      </c>
      <c r="L86" s="21">
        <f t="shared" si="10"/>
        <v>0</v>
      </c>
      <c r="M86" s="21">
        <f t="shared" si="11"/>
        <v>1</v>
      </c>
      <c r="N86" s="22">
        <v>1</v>
      </c>
      <c r="O86" s="40"/>
      <c r="P86" s="40"/>
      <c r="Q86" s="40"/>
      <c r="R86" s="40"/>
    </row>
    <row r="87" spans="1:18" ht="15.75" customHeight="1" x14ac:dyDescent="0.2">
      <c r="A87" s="24"/>
      <c r="B87" s="46"/>
      <c r="C87" s="46"/>
      <c r="D87" s="46"/>
      <c r="E87" s="26" t="s">
        <v>68</v>
      </c>
      <c r="F87" s="26" t="s">
        <v>29</v>
      </c>
      <c r="G87" s="26" t="s">
        <v>26</v>
      </c>
      <c r="H87" s="27" t="s">
        <v>38</v>
      </c>
      <c r="I87" s="28">
        <f t="shared" si="7"/>
        <v>0</v>
      </c>
      <c r="J87" s="28">
        <f t="shared" si="8"/>
        <v>0</v>
      </c>
      <c r="K87" s="28">
        <f t="shared" si="9"/>
        <v>0</v>
      </c>
      <c r="L87" s="28">
        <f t="shared" si="10"/>
        <v>0</v>
      </c>
      <c r="M87" s="28">
        <f t="shared" si="11"/>
        <v>1</v>
      </c>
      <c r="N87" s="29" t="str">
        <f t="shared" ref="N87:N91" si="23">IF(F87="цифровой",IF(AND(F86="цифровой",OR(N86=1,N86="")),"",1),0)</f>
        <v/>
      </c>
      <c r="O87" s="40"/>
      <c r="P87" s="40"/>
      <c r="Q87" s="40"/>
      <c r="R87" s="40"/>
    </row>
    <row r="88" spans="1:18" ht="15.75" customHeight="1" x14ac:dyDescent="0.2">
      <c r="A88" s="24"/>
      <c r="B88" s="46"/>
      <c r="C88" s="46"/>
      <c r="D88" s="46"/>
      <c r="E88" s="26" t="s">
        <v>69</v>
      </c>
      <c r="F88" s="26" t="s">
        <v>29</v>
      </c>
      <c r="G88" s="26" t="s">
        <v>9</v>
      </c>
      <c r="H88" s="27" t="s">
        <v>38</v>
      </c>
      <c r="I88" s="28">
        <f t="shared" si="7"/>
        <v>0</v>
      </c>
      <c r="J88" s="28">
        <f t="shared" si="8"/>
        <v>0</v>
      </c>
      <c r="K88" s="28">
        <f t="shared" si="9"/>
        <v>0</v>
      </c>
      <c r="L88" s="28">
        <f t="shared" si="10"/>
        <v>0</v>
      </c>
      <c r="M88" s="28">
        <f t="shared" si="11"/>
        <v>1</v>
      </c>
      <c r="N88" s="29" t="str">
        <f t="shared" si="23"/>
        <v/>
      </c>
      <c r="O88" s="40"/>
      <c r="P88" s="40"/>
      <c r="Q88" s="40"/>
      <c r="R88" s="40"/>
    </row>
    <row r="89" spans="1:18" ht="15.75" customHeight="1" x14ac:dyDescent="0.2">
      <c r="A89" s="24"/>
      <c r="B89" s="46"/>
      <c r="C89" s="46"/>
      <c r="D89" s="46"/>
      <c r="E89" s="26" t="s">
        <v>70</v>
      </c>
      <c r="F89" s="26" t="s">
        <v>29</v>
      </c>
      <c r="G89" s="26" t="s">
        <v>9</v>
      </c>
      <c r="H89" s="27" t="s">
        <v>38</v>
      </c>
      <c r="I89" s="28">
        <f t="shared" si="7"/>
        <v>0</v>
      </c>
      <c r="J89" s="28">
        <f t="shared" si="8"/>
        <v>0</v>
      </c>
      <c r="K89" s="28">
        <f t="shared" si="9"/>
        <v>0</v>
      </c>
      <c r="L89" s="28">
        <f t="shared" si="10"/>
        <v>0</v>
      </c>
      <c r="M89" s="28">
        <f t="shared" si="11"/>
        <v>1</v>
      </c>
      <c r="N89" s="29" t="str">
        <f t="shared" si="23"/>
        <v/>
      </c>
      <c r="O89" s="40"/>
      <c r="P89" s="40"/>
      <c r="Q89" s="40"/>
      <c r="R89" s="40"/>
    </row>
    <row r="90" spans="1:18" ht="15.75" customHeight="1" x14ac:dyDescent="0.2">
      <c r="A90" s="24"/>
      <c r="B90" s="46"/>
      <c r="C90" s="46"/>
      <c r="D90" s="46"/>
      <c r="E90" s="26" t="s">
        <v>71</v>
      </c>
      <c r="F90" s="26" t="s">
        <v>29</v>
      </c>
      <c r="G90" s="26" t="s">
        <v>9</v>
      </c>
      <c r="H90" s="27" t="s">
        <v>38</v>
      </c>
      <c r="I90" s="28">
        <f t="shared" si="7"/>
        <v>0</v>
      </c>
      <c r="J90" s="28">
        <f t="shared" si="8"/>
        <v>0</v>
      </c>
      <c r="K90" s="28">
        <f t="shared" si="9"/>
        <v>0</v>
      </c>
      <c r="L90" s="28">
        <f t="shared" si="10"/>
        <v>0</v>
      </c>
      <c r="M90" s="28">
        <f t="shared" si="11"/>
        <v>1</v>
      </c>
      <c r="N90" s="29" t="str">
        <f t="shared" si="23"/>
        <v/>
      </c>
      <c r="O90" s="40"/>
      <c r="P90" s="40"/>
      <c r="Q90" s="40"/>
      <c r="R90" s="40"/>
    </row>
    <row r="91" spans="1:18" ht="15.75" customHeight="1" thickBot="1" x14ac:dyDescent="0.25">
      <c r="A91" s="24"/>
      <c r="B91" s="46"/>
      <c r="C91" s="46"/>
      <c r="D91" s="47"/>
      <c r="E91" s="32" t="s">
        <v>72</v>
      </c>
      <c r="F91" s="32" t="s">
        <v>29</v>
      </c>
      <c r="G91" s="32" t="s">
        <v>9</v>
      </c>
      <c r="H91" s="33" t="s">
        <v>38</v>
      </c>
      <c r="I91" s="34">
        <f t="shared" si="7"/>
        <v>0</v>
      </c>
      <c r="J91" s="34">
        <f t="shared" si="8"/>
        <v>0</v>
      </c>
      <c r="K91" s="34">
        <f t="shared" si="9"/>
        <v>0</v>
      </c>
      <c r="L91" s="34">
        <f t="shared" si="10"/>
        <v>0</v>
      </c>
      <c r="M91" s="34">
        <f t="shared" si="11"/>
        <v>1</v>
      </c>
      <c r="N91" s="35" t="str">
        <f t="shared" si="23"/>
        <v/>
      </c>
      <c r="O91" s="40"/>
      <c r="P91" s="40"/>
      <c r="Q91" s="40"/>
      <c r="R91" s="40"/>
    </row>
    <row r="92" spans="1:18" ht="15.75" customHeight="1" x14ac:dyDescent="0.2">
      <c r="A92" s="24"/>
      <c r="B92" s="46"/>
      <c r="C92" s="46"/>
      <c r="D92" s="51" t="s">
        <v>83</v>
      </c>
      <c r="E92" s="36" t="s">
        <v>67</v>
      </c>
      <c r="F92" s="36" t="s">
        <v>29</v>
      </c>
      <c r="G92" s="36" t="s">
        <v>26</v>
      </c>
      <c r="H92" s="37" t="s">
        <v>38</v>
      </c>
      <c r="I92" s="38">
        <f t="shared" si="7"/>
        <v>0</v>
      </c>
      <c r="J92" s="38">
        <f t="shared" si="8"/>
        <v>0</v>
      </c>
      <c r="K92" s="38">
        <f t="shared" si="9"/>
        <v>0</v>
      </c>
      <c r="L92" s="38">
        <f t="shared" si="10"/>
        <v>0</v>
      </c>
      <c r="M92" s="38">
        <f t="shared" si="11"/>
        <v>1</v>
      </c>
      <c r="N92" s="39">
        <v>1</v>
      </c>
      <c r="O92" s="40"/>
      <c r="P92" s="40"/>
      <c r="Q92" s="40"/>
      <c r="R92" s="40"/>
    </row>
    <row r="93" spans="1:18" ht="15.75" customHeight="1" x14ac:dyDescent="0.2">
      <c r="A93" s="24"/>
      <c r="B93" s="46"/>
      <c r="C93" s="46"/>
      <c r="D93" s="46"/>
      <c r="E93" s="26" t="s">
        <v>68</v>
      </c>
      <c r="F93" s="26" t="s">
        <v>29</v>
      </c>
      <c r="G93" s="26" t="s">
        <v>26</v>
      </c>
      <c r="H93" s="27" t="s">
        <v>38</v>
      </c>
      <c r="I93" s="28">
        <f t="shared" si="7"/>
        <v>0</v>
      </c>
      <c r="J93" s="28">
        <f t="shared" si="8"/>
        <v>0</v>
      </c>
      <c r="K93" s="28">
        <f t="shared" si="9"/>
        <v>0</v>
      </c>
      <c r="L93" s="28">
        <f t="shared" si="10"/>
        <v>0</v>
      </c>
      <c r="M93" s="28">
        <f t="shared" si="11"/>
        <v>1</v>
      </c>
      <c r="N93" s="29" t="str">
        <f t="shared" ref="N93:N97" si="24">IF(F93="цифровой",IF(AND(F92="цифровой",OR(N92=1,N92="")),"",1),0)</f>
        <v/>
      </c>
      <c r="O93" s="40"/>
      <c r="P93" s="40"/>
      <c r="Q93" s="40"/>
      <c r="R93" s="40"/>
    </row>
    <row r="94" spans="1:18" ht="15.75" customHeight="1" x14ac:dyDescent="0.2">
      <c r="A94" s="24"/>
      <c r="B94" s="46"/>
      <c r="C94" s="46"/>
      <c r="D94" s="46"/>
      <c r="E94" s="26" t="s">
        <v>69</v>
      </c>
      <c r="F94" s="26" t="s">
        <v>29</v>
      </c>
      <c r="G94" s="26" t="s">
        <v>9</v>
      </c>
      <c r="H94" s="27" t="s">
        <v>38</v>
      </c>
      <c r="I94" s="28">
        <f t="shared" si="7"/>
        <v>0</v>
      </c>
      <c r="J94" s="28">
        <f t="shared" si="8"/>
        <v>0</v>
      </c>
      <c r="K94" s="28">
        <f t="shared" si="9"/>
        <v>0</v>
      </c>
      <c r="L94" s="28">
        <f t="shared" si="10"/>
        <v>0</v>
      </c>
      <c r="M94" s="28">
        <f t="shared" si="11"/>
        <v>1</v>
      </c>
      <c r="N94" s="29" t="str">
        <f t="shared" si="24"/>
        <v/>
      </c>
      <c r="O94" s="40"/>
      <c r="P94" s="40"/>
      <c r="Q94" s="40"/>
      <c r="R94" s="40"/>
    </row>
    <row r="95" spans="1:18" ht="15.75" customHeight="1" x14ac:dyDescent="0.2">
      <c r="A95" s="24"/>
      <c r="B95" s="46"/>
      <c r="C95" s="46"/>
      <c r="D95" s="46"/>
      <c r="E95" s="26" t="s">
        <v>70</v>
      </c>
      <c r="F95" s="26" t="s">
        <v>29</v>
      </c>
      <c r="G95" s="26" t="s">
        <v>9</v>
      </c>
      <c r="H95" s="27" t="s">
        <v>38</v>
      </c>
      <c r="I95" s="28">
        <f t="shared" si="7"/>
        <v>0</v>
      </c>
      <c r="J95" s="28">
        <f t="shared" si="8"/>
        <v>0</v>
      </c>
      <c r="K95" s="28">
        <f t="shared" si="9"/>
        <v>0</v>
      </c>
      <c r="L95" s="28">
        <f t="shared" si="10"/>
        <v>0</v>
      </c>
      <c r="M95" s="28">
        <f t="shared" si="11"/>
        <v>1</v>
      </c>
      <c r="N95" s="29" t="str">
        <f t="shared" si="24"/>
        <v/>
      </c>
      <c r="O95" s="40"/>
      <c r="P95" s="40"/>
      <c r="Q95" s="40"/>
      <c r="R95" s="40"/>
    </row>
    <row r="96" spans="1:18" ht="15.75" customHeight="1" x14ac:dyDescent="0.2">
      <c r="A96" s="24"/>
      <c r="B96" s="46"/>
      <c r="C96" s="46"/>
      <c r="D96" s="46"/>
      <c r="E96" s="26" t="s">
        <v>71</v>
      </c>
      <c r="F96" s="26" t="s">
        <v>29</v>
      </c>
      <c r="G96" s="26" t="s">
        <v>9</v>
      </c>
      <c r="H96" s="27" t="s">
        <v>38</v>
      </c>
      <c r="I96" s="28">
        <f t="shared" si="7"/>
        <v>0</v>
      </c>
      <c r="J96" s="28">
        <f t="shared" si="8"/>
        <v>0</v>
      </c>
      <c r="K96" s="28">
        <f t="shared" si="9"/>
        <v>0</v>
      </c>
      <c r="L96" s="28">
        <f t="shared" si="10"/>
        <v>0</v>
      </c>
      <c r="M96" s="28">
        <f t="shared" si="11"/>
        <v>1</v>
      </c>
      <c r="N96" s="29" t="str">
        <f t="shared" si="24"/>
        <v/>
      </c>
      <c r="O96" s="40"/>
      <c r="P96" s="40"/>
      <c r="Q96" s="40"/>
      <c r="R96" s="40"/>
    </row>
    <row r="97" spans="1:18" ht="15.75" customHeight="1" thickBot="1" x14ac:dyDescent="0.25">
      <c r="A97" s="30"/>
      <c r="B97" s="47"/>
      <c r="C97" s="47"/>
      <c r="D97" s="47"/>
      <c r="E97" s="32" t="s">
        <v>72</v>
      </c>
      <c r="F97" s="32" t="s">
        <v>29</v>
      </c>
      <c r="G97" s="32" t="s">
        <v>9</v>
      </c>
      <c r="H97" s="33" t="s">
        <v>38</v>
      </c>
      <c r="I97" s="34">
        <f t="shared" si="7"/>
        <v>0</v>
      </c>
      <c r="J97" s="34">
        <f t="shared" si="8"/>
        <v>0</v>
      </c>
      <c r="K97" s="34">
        <f t="shared" si="9"/>
        <v>0</v>
      </c>
      <c r="L97" s="34">
        <f t="shared" si="10"/>
        <v>0</v>
      </c>
      <c r="M97" s="34">
        <f t="shared" si="11"/>
        <v>1</v>
      </c>
      <c r="N97" s="35" t="str">
        <f t="shared" si="24"/>
        <v/>
      </c>
      <c r="O97" s="40"/>
      <c r="P97" s="40"/>
      <c r="Q97" s="40"/>
      <c r="R97" s="40"/>
    </row>
    <row r="98" spans="1:18" ht="15.75" customHeight="1" x14ac:dyDescent="0.2">
      <c r="A98" s="17"/>
      <c r="B98" s="49" t="s">
        <v>35</v>
      </c>
      <c r="C98" s="48" t="s">
        <v>84</v>
      </c>
      <c r="D98" s="50" t="s">
        <v>85</v>
      </c>
      <c r="E98" s="20" t="s">
        <v>54</v>
      </c>
      <c r="F98" s="19" t="s">
        <v>25</v>
      </c>
      <c r="G98" s="19" t="s">
        <v>9</v>
      </c>
      <c r="H98" s="20" t="s">
        <v>6</v>
      </c>
      <c r="I98" s="21">
        <f t="shared" si="7"/>
        <v>0</v>
      </c>
      <c r="J98" s="21">
        <f t="shared" si="8"/>
        <v>0</v>
      </c>
      <c r="K98" s="21">
        <f t="shared" si="9"/>
        <v>1</v>
      </c>
      <c r="L98" s="21">
        <f t="shared" si="10"/>
        <v>0</v>
      </c>
      <c r="M98" s="21">
        <f t="shared" si="11"/>
        <v>0</v>
      </c>
      <c r="N98" s="22">
        <f>IF(F98="цифровой",IF(AND(#REF!="цифровой",OR(#REF!=1,#REF!="")),"",1),0)</f>
        <v>0</v>
      </c>
      <c r="O98" s="40"/>
      <c r="P98" s="40"/>
      <c r="Q98" s="40"/>
      <c r="R98" s="40"/>
    </row>
    <row r="99" spans="1:18" ht="15.75" customHeight="1" x14ac:dyDescent="0.2">
      <c r="A99" s="24"/>
      <c r="B99" s="46"/>
      <c r="C99" s="46"/>
      <c r="D99" s="46"/>
      <c r="E99" s="27" t="s">
        <v>55</v>
      </c>
      <c r="F99" s="26" t="s">
        <v>25</v>
      </c>
      <c r="G99" s="26" t="s">
        <v>9</v>
      </c>
      <c r="H99" s="27" t="s">
        <v>6</v>
      </c>
      <c r="I99" s="28">
        <f t="shared" si="7"/>
        <v>0</v>
      </c>
      <c r="J99" s="28">
        <f t="shared" si="8"/>
        <v>0</v>
      </c>
      <c r="K99" s="28">
        <f t="shared" si="9"/>
        <v>1</v>
      </c>
      <c r="L99" s="28">
        <f t="shared" si="10"/>
        <v>0</v>
      </c>
      <c r="M99" s="28">
        <f t="shared" si="11"/>
        <v>0</v>
      </c>
      <c r="N99" s="29">
        <f>IF(F99="цифровой",IF(AND(#REF!="цифровой",OR(#REF!=1,#REF!="")),"",1),0)</f>
        <v>0</v>
      </c>
      <c r="O99" s="40"/>
      <c r="P99" s="40"/>
      <c r="Q99" s="40"/>
      <c r="R99" s="40"/>
    </row>
    <row r="100" spans="1:18" ht="15.75" customHeight="1" x14ac:dyDescent="0.2">
      <c r="A100" s="24"/>
      <c r="B100" s="46"/>
      <c r="C100" s="46"/>
      <c r="D100" s="46"/>
      <c r="E100" s="27" t="s">
        <v>56</v>
      </c>
      <c r="F100" s="26" t="s">
        <v>25</v>
      </c>
      <c r="G100" s="26" t="s">
        <v>9</v>
      </c>
      <c r="H100" s="27" t="s">
        <v>6</v>
      </c>
      <c r="I100" s="28">
        <f t="shared" si="7"/>
        <v>0</v>
      </c>
      <c r="J100" s="28">
        <f t="shared" si="8"/>
        <v>0</v>
      </c>
      <c r="K100" s="28">
        <f t="shared" si="9"/>
        <v>1</v>
      </c>
      <c r="L100" s="28">
        <f t="shared" si="10"/>
        <v>0</v>
      </c>
      <c r="M100" s="28">
        <f t="shared" si="11"/>
        <v>0</v>
      </c>
      <c r="N100" s="29">
        <f t="shared" ref="N100:N102" si="25">IF(F100="цифровой",IF(AND(F98="цифровой",OR(N98=1,N98="")),"",1),0)</f>
        <v>0</v>
      </c>
      <c r="O100" s="40"/>
      <c r="P100" s="40"/>
      <c r="Q100" s="40"/>
      <c r="R100" s="40"/>
    </row>
    <row r="101" spans="1:18" ht="15.75" customHeight="1" x14ac:dyDescent="0.2">
      <c r="A101" s="24"/>
      <c r="B101" s="46"/>
      <c r="C101" s="46"/>
      <c r="D101" s="46"/>
      <c r="E101" s="27" t="s">
        <v>57</v>
      </c>
      <c r="F101" s="26" t="s">
        <v>25</v>
      </c>
      <c r="G101" s="26" t="s">
        <v>9</v>
      </c>
      <c r="H101" s="27" t="s">
        <v>6</v>
      </c>
      <c r="I101" s="28">
        <f t="shared" si="7"/>
        <v>0</v>
      </c>
      <c r="J101" s="28">
        <f t="shared" si="8"/>
        <v>0</v>
      </c>
      <c r="K101" s="28">
        <f t="shared" si="9"/>
        <v>1</v>
      </c>
      <c r="L101" s="28">
        <f t="shared" si="10"/>
        <v>0</v>
      </c>
      <c r="M101" s="28">
        <f t="shared" si="11"/>
        <v>0</v>
      </c>
      <c r="N101" s="29">
        <f t="shared" si="25"/>
        <v>0</v>
      </c>
      <c r="O101" s="40"/>
      <c r="P101" s="40"/>
      <c r="Q101" s="40"/>
      <c r="R101" s="40"/>
    </row>
    <row r="102" spans="1:18" ht="15.75" customHeight="1" x14ac:dyDescent="0.2">
      <c r="A102" s="24"/>
      <c r="B102" s="46"/>
      <c r="C102" s="46"/>
      <c r="D102" s="46"/>
      <c r="E102" s="27" t="s">
        <v>58</v>
      </c>
      <c r="F102" s="26" t="s">
        <v>25</v>
      </c>
      <c r="G102" s="26" t="s">
        <v>9</v>
      </c>
      <c r="H102" s="27" t="s">
        <v>6</v>
      </c>
      <c r="I102" s="28">
        <f t="shared" si="7"/>
        <v>0</v>
      </c>
      <c r="J102" s="28">
        <f t="shared" si="8"/>
        <v>0</v>
      </c>
      <c r="K102" s="28">
        <f t="shared" si="9"/>
        <v>1</v>
      </c>
      <c r="L102" s="28">
        <f t="shared" si="10"/>
        <v>0</v>
      </c>
      <c r="M102" s="28">
        <f t="shared" si="11"/>
        <v>0</v>
      </c>
      <c r="N102" s="29">
        <f t="shared" si="25"/>
        <v>0</v>
      </c>
      <c r="O102" s="40"/>
      <c r="P102" s="40"/>
      <c r="Q102" s="40"/>
      <c r="R102" s="40"/>
    </row>
    <row r="103" spans="1:18" ht="15.75" customHeight="1" x14ac:dyDescent="0.2">
      <c r="A103" s="24"/>
      <c r="B103" s="46"/>
      <c r="C103" s="46"/>
      <c r="D103" s="46"/>
      <c r="E103" s="27" t="s">
        <v>59</v>
      </c>
      <c r="F103" s="26" t="s">
        <v>25</v>
      </c>
      <c r="G103" s="26" t="s">
        <v>9</v>
      </c>
      <c r="H103" s="27" t="s">
        <v>6</v>
      </c>
      <c r="I103" s="28">
        <f t="shared" si="7"/>
        <v>0</v>
      </c>
      <c r="J103" s="28">
        <f t="shared" si="8"/>
        <v>0</v>
      </c>
      <c r="K103" s="28">
        <f t="shared" si="9"/>
        <v>1</v>
      </c>
      <c r="L103" s="28">
        <f t="shared" si="10"/>
        <v>0</v>
      </c>
      <c r="M103" s="28">
        <f t="shared" si="11"/>
        <v>0</v>
      </c>
      <c r="N103" s="29">
        <f>IF(F103="цифровой",IF(AND(F102="цифровой",OR(N102=1,N102="")),"",1),0)</f>
        <v>0</v>
      </c>
      <c r="O103" s="40"/>
      <c r="P103" s="40"/>
      <c r="Q103" s="40"/>
      <c r="R103" s="40"/>
    </row>
    <row r="104" spans="1:18" ht="15.75" customHeight="1" x14ac:dyDescent="0.2">
      <c r="A104" s="24"/>
      <c r="B104" s="46"/>
      <c r="C104" s="46"/>
      <c r="D104" s="46"/>
      <c r="E104" s="43" t="s">
        <v>60</v>
      </c>
      <c r="F104" s="26" t="s">
        <v>25</v>
      </c>
      <c r="G104" s="26" t="s">
        <v>9</v>
      </c>
      <c r="H104" s="27" t="s">
        <v>6</v>
      </c>
      <c r="I104" s="28">
        <f t="shared" si="7"/>
        <v>0</v>
      </c>
      <c r="J104" s="28">
        <f t="shared" si="8"/>
        <v>0</v>
      </c>
      <c r="K104" s="28">
        <f t="shared" si="9"/>
        <v>1</v>
      </c>
      <c r="L104" s="28">
        <f t="shared" si="10"/>
        <v>0</v>
      </c>
      <c r="M104" s="28">
        <f t="shared" si="11"/>
        <v>0</v>
      </c>
      <c r="N104" s="29">
        <f>IF(F104="цифровой",IF(AND(#REF!="цифровой",OR(#REF!=1,#REF!="")),"",1),0)</f>
        <v>0</v>
      </c>
      <c r="O104" s="40"/>
      <c r="P104" s="40"/>
      <c r="Q104" s="40"/>
      <c r="R104" s="40"/>
    </row>
    <row r="105" spans="1:18" ht="15.75" customHeight="1" x14ac:dyDescent="0.2">
      <c r="A105" s="24"/>
      <c r="B105" s="46"/>
      <c r="C105" s="46"/>
      <c r="D105" s="46"/>
      <c r="E105" s="43" t="s">
        <v>61</v>
      </c>
      <c r="F105" s="26" t="s">
        <v>25</v>
      </c>
      <c r="G105" s="26" t="s">
        <v>9</v>
      </c>
      <c r="H105" s="27" t="s">
        <v>6</v>
      </c>
      <c r="I105" s="28">
        <f t="shared" si="7"/>
        <v>0</v>
      </c>
      <c r="J105" s="28">
        <f t="shared" si="8"/>
        <v>0</v>
      </c>
      <c r="K105" s="28">
        <f t="shared" si="9"/>
        <v>1</v>
      </c>
      <c r="L105" s="28">
        <f t="shared" si="10"/>
        <v>0</v>
      </c>
      <c r="M105" s="28">
        <f t="shared" si="11"/>
        <v>0</v>
      </c>
      <c r="N105" s="29">
        <f t="shared" ref="N105:N108" si="26">IF(F105="цифровой",IF(AND(F104="цифровой",OR(N104=1,N104="")),"",1),0)</f>
        <v>0</v>
      </c>
      <c r="O105" s="40"/>
      <c r="P105" s="40"/>
      <c r="Q105" s="40"/>
      <c r="R105" s="40"/>
    </row>
    <row r="106" spans="1:18" ht="15.75" customHeight="1" x14ac:dyDescent="0.2">
      <c r="A106" s="24"/>
      <c r="B106" s="46"/>
      <c r="C106" s="46"/>
      <c r="D106" s="46"/>
      <c r="E106" s="43" t="s">
        <v>62</v>
      </c>
      <c r="F106" s="26" t="s">
        <v>25</v>
      </c>
      <c r="G106" s="26" t="s">
        <v>9</v>
      </c>
      <c r="H106" s="27" t="s">
        <v>6</v>
      </c>
      <c r="I106" s="28">
        <f t="shared" si="7"/>
        <v>0</v>
      </c>
      <c r="J106" s="28">
        <f t="shared" si="8"/>
        <v>0</v>
      </c>
      <c r="K106" s="28">
        <f t="shared" si="9"/>
        <v>1</v>
      </c>
      <c r="L106" s="28">
        <f t="shared" si="10"/>
        <v>0</v>
      </c>
      <c r="M106" s="28">
        <f t="shared" si="11"/>
        <v>0</v>
      </c>
      <c r="N106" s="29">
        <f t="shared" si="26"/>
        <v>0</v>
      </c>
      <c r="O106" s="40"/>
      <c r="P106" s="40"/>
      <c r="Q106" s="40"/>
      <c r="R106" s="40"/>
    </row>
    <row r="107" spans="1:18" ht="15.75" customHeight="1" x14ac:dyDescent="0.2">
      <c r="A107" s="24"/>
      <c r="B107" s="46"/>
      <c r="C107" s="46"/>
      <c r="D107" s="46"/>
      <c r="E107" s="43" t="s">
        <v>63</v>
      </c>
      <c r="F107" s="26" t="s">
        <v>25</v>
      </c>
      <c r="G107" s="26" t="s">
        <v>9</v>
      </c>
      <c r="H107" s="27" t="s">
        <v>6</v>
      </c>
      <c r="I107" s="28">
        <f t="shared" si="7"/>
        <v>0</v>
      </c>
      <c r="J107" s="28">
        <f t="shared" si="8"/>
        <v>0</v>
      </c>
      <c r="K107" s="28">
        <f t="shared" si="9"/>
        <v>1</v>
      </c>
      <c r="L107" s="28">
        <f t="shared" si="10"/>
        <v>0</v>
      </c>
      <c r="M107" s="28">
        <f t="shared" si="11"/>
        <v>0</v>
      </c>
      <c r="N107" s="29">
        <f t="shared" si="26"/>
        <v>0</v>
      </c>
      <c r="O107" s="40"/>
      <c r="P107" s="40"/>
      <c r="Q107" s="40"/>
      <c r="R107" s="40"/>
    </row>
    <row r="108" spans="1:18" ht="15.75" customHeight="1" thickBot="1" x14ac:dyDescent="0.25">
      <c r="A108" s="24"/>
      <c r="B108" s="46"/>
      <c r="C108" s="46"/>
      <c r="D108" s="47"/>
      <c r="E108" s="44" t="s">
        <v>64</v>
      </c>
      <c r="F108" s="32" t="s">
        <v>25</v>
      </c>
      <c r="G108" s="32" t="s">
        <v>9</v>
      </c>
      <c r="H108" s="33" t="s">
        <v>6</v>
      </c>
      <c r="I108" s="34">
        <f t="shared" si="7"/>
        <v>0</v>
      </c>
      <c r="J108" s="34">
        <f t="shared" si="8"/>
        <v>0</v>
      </c>
      <c r="K108" s="34">
        <f t="shared" si="9"/>
        <v>1</v>
      </c>
      <c r="L108" s="34">
        <f t="shared" si="10"/>
        <v>0</v>
      </c>
      <c r="M108" s="34">
        <f t="shared" si="11"/>
        <v>0</v>
      </c>
      <c r="N108" s="35">
        <f t="shared" si="26"/>
        <v>0</v>
      </c>
      <c r="O108" s="40"/>
      <c r="P108" s="40"/>
      <c r="Q108" s="40"/>
      <c r="R108" s="40"/>
    </row>
    <row r="109" spans="1:18" ht="15.75" customHeight="1" x14ac:dyDescent="0.2">
      <c r="A109" s="24"/>
      <c r="B109" s="46"/>
      <c r="C109" s="46"/>
      <c r="D109" s="50" t="s">
        <v>86</v>
      </c>
      <c r="E109" s="20" t="s">
        <v>54</v>
      </c>
      <c r="F109" s="19" t="s">
        <v>25</v>
      </c>
      <c r="G109" s="19" t="s">
        <v>9</v>
      </c>
      <c r="H109" s="20" t="s">
        <v>6</v>
      </c>
      <c r="I109" s="21">
        <f t="shared" si="7"/>
        <v>0</v>
      </c>
      <c r="J109" s="21">
        <f t="shared" si="8"/>
        <v>0</v>
      </c>
      <c r="K109" s="21">
        <f t="shared" si="9"/>
        <v>1</v>
      </c>
      <c r="L109" s="21">
        <f t="shared" si="10"/>
        <v>0</v>
      </c>
      <c r="M109" s="21">
        <f t="shared" si="11"/>
        <v>0</v>
      </c>
      <c r="N109" s="22">
        <f>IF(F109="цифровой",IF(AND(F13="цифровой",OR(N13=1,N13="")),"",1),0)</f>
        <v>0</v>
      </c>
      <c r="O109" s="40"/>
      <c r="P109" s="40"/>
      <c r="Q109" s="40"/>
      <c r="R109" s="40"/>
    </row>
    <row r="110" spans="1:18" ht="15.75" customHeight="1" x14ac:dyDescent="0.2">
      <c r="A110" s="24"/>
      <c r="B110" s="46"/>
      <c r="C110" s="46"/>
      <c r="D110" s="46"/>
      <c r="E110" s="27" t="s">
        <v>55</v>
      </c>
      <c r="F110" s="26" t="s">
        <v>25</v>
      </c>
      <c r="G110" s="26" t="s">
        <v>9</v>
      </c>
      <c r="H110" s="27" t="s">
        <v>6</v>
      </c>
      <c r="I110" s="28">
        <f t="shared" si="7"/>
        <v>0</v>
      </c>
      <c r="J110" s="28">
        <f t="shared" si="8"/>
        <v>0</v>
      </c>
      <c r="K110" s="28">
        <f t="shared" si="9"/>
        <v>1</v>
      </c>
      <c r="L110" s="28">
        <f t="shared" si="10"/>
        <v>0</v>
      </c>
      <c r="M110" s="28">
        <f t="shared" si="11"/>
        <v>0</v>
      </c>
      <c r="N110" s="29">
        <f>IF(F110="цифровой",IF(AND(F13="цифровой",OR(N13=1,N13="")),"",1),0)</f>
        <v>0</v>
      </c>
      <c r="O110" s="40"/>
      <c r="P110" s="40"/>
      <c r="Q110" s="40"/>
      <c r="R110" s="40"/>
    </row>
    <row r="111" spans="1:18" ht="15.75" customHeight="1" x14ac:dyDescent="0.2">
      <c r="A111" s="24"/>
      <c r="B111" s="46"/>
      <c r="C111" s="46"/>
      <c r="D111" s="46"/>
      <c r="E111" s="27" t="s">
        <v>56</v>
      </c>
      <c r="F111" s="26" t="s">
        <v>25</v>
      </c>
      <c r="G111" s="26" t="s">
        <v>9</v>
      </c>
      <c r="H111" s="27" t="s">
        <v>6</v>
      </c>
      <c r="I111" s="28">
        <f t="shared" si="7"/>
        <v>0</v>
      </c>
      <c r="J111" s="28">
        <f t="shared" si="8"/>
        <v>0</v>
      </c>
      <c r="K111" s="28">
        <f t="shared" si="9"/>
        <v>1</v>
      </c>
      <c r="L111" s="28">
        <f t="shared" si="10"/>
        <v>0</v>
      </c>
      <c r="M111" s="28">
        <f t="shared" si="11"/>
        <v>0</v>
      </c>
      <c r="N111" s="29">
        <f t="shared" ref="N111:N113" si="27">IF(F111="цифровой",IF(AND(F109="цифровой",OR(N109=1,N109="")),"",1),0)</f>
        <v>0</v>
      </c>
      <c r="O111" s="40"/>
      <c r="P111" s="40"/>
      <c r="Q111" s="40"/>
      <c r="R111" s="40"/>
    </row>
    <row r="112" spans="1:18" ht="15.75" customHeight="1" x14ac:dyDescent="0.2">
      <c r="A112" s="24"/>
      <c r="B112" s="46"/>
      <c r="C112" s="46"/>
      <c r="D112" s="46"/>
      <c r="E112" s="27" t="s">
        <v>57</v>
      </c>
      <c r="F112" s="26" t="s">
        <v>25</v>
      </c>
      <c r="G112" s="26" t="s">
        <v>9</v>
      </c>
      <c r="H112" s="27" t="s">
        <v>6</v>
      </c>
      <c r="I112" s="28">
        <f t="shared" si="7"/>
        <v>0</v>
      </c>
      <c r="J112" s="28">
        <f t="shared" si="8"/>
        <v>0</v>
      </c>
      <c r="K112" s="28">
        <f t="shared" si="9"/>
        <v>1</v>
      </c>
      <c r="L112" s="28">
        <f t="shared" si="10"/>
        <v>0</v>
      </c>
      <c r="M112" s="28">
        <f t="shared" si="11"/>
        <v>0</v>
      </c>
      <c r="N112" s="29">
        <f t="shared" si="27"/>
        <v>0</v>
      </c>
      <c r="O112" s="40"/>
      <c r="P112" s="40"/>
      <c r="Q112" s="40"/>
      <c r="R112" s="40"/>
    </row>
    <row r="113" spans="1:18" ht="15.75" customHeight="1" x14ac:dyDescent="0.2">
      <c r="A113" s="24"/>
      <c r="B113" s="46"/>
      <c r="C113" s="46"/>
      <c r="D113" s="46"/>
      <c r="E113" s="27" t="s">
        <v>58</v>
      </c>
      <c r="F113" s="26" t="s">
        <v>25</v>
      </c>
      <c r="G113" s="26" t="s">
        <v>9</v>
      </c>
      <c r="H113" s="27" t="s">
        <v>6</v>
      </c>
      <c r="I113" s="28">
        <f t="shared" si="7"/>
        <v>0</v>
      </c>
      <c r="J113" s="28">
        <f t="shared" si="8"/>
        <v>0</v>
      </c>
      <c r="K113" s="28">
        <f t="shared" si="9"/>
        <v>1</v>
      </c>
      <c r="L113" s="28">
        <f t="shared" si="10"/>
        <v>0</v>
      </c>
      <c r="M113" s="28">
        <f t="shared" si="11"/>
        <v>0</v>
      </c>
      <c r="N113" s="29">
        <f t="shared" si="27"/>
        <v>0</v>
      </c>
      <c r="O113" s="40"/>
      <c r="P113" s="40"/>
      <c r="Q113" s="40"/>
      <c r="R113" s="40"/>
    </row>
    <row r="114" spans="1:18" ht="15.75" customHeight="1" x14ac:dyDescent="0.2">
      <c r="A114" s="24"/>
      <c r="B114" s="46"/>
      <c r="C114" s="46"/>
      <c r="D114" s="46"/>
      <c r="E114" s="27" t="s">
        <v>59</v>
      </c>
      <c r="F114" s="26" t="s">
        <v>25</v>
      </c>
      <c r="G114" s="26" t="s">
        <v>9</v>
      </c>
      <c r="H114" s="27" t="s">
        <v>6</v>
      </c>
      <c r="I114" s="28">
        <f t="shared" si="7"/>
        <v>0</v>
      </c>
      <c r="J114" s="28">
        <f t="shared" si="8"/>
        <v>0</v>
      </c>
      <c r="K114" s="28">
        <f t="shared" si="9"/>
        <v>1</v>
      </c>
      <c r="L114" s="28">
        <f t="shared" si="10"/>
        <v>0</v>
      </c>
      <c r="M114" s="28">
        <f t="shared" si="11"/>
        <v>0</v>
      </c>
      <c r="N114" s="29">
        <f>IF(F114="цифровой",IF(AND(F113="цифровой",OR(N113=1,N113="")),"",1),0)</f>
        <v>0</v>
      </c>
      <c r="O114" s="40"/>
      <c r="P114" s="40"/>
      <c r="Q114" s="40"/>
      <c r="R114" s="40"/>
    </row>
    <row r="115" spans="1:18" ht="15.75" customHeight="1" x14ac:dyDescent="0.2">
      <c r="A115" s="24"/>
      <c r="B115" s="46"/>
      <c r="C115" s="46"/>
      <c r="D115" s="46"/>
      <c r="E115" s="43" t="s">
        <v>60</v>
      </c>
      <c r="F115" s="26" t="s">
        <v>25</v>
      </c>
      <c r="G115" s="26" t="s">
        <v>9</v>
      </c>
      <c r="H115" s="27" t="s">
        <v>6</v>
      </c>
      <c r="I115" s="28">
        <f t="shared" si="7"/>
        <v>0</v>
      </c>
      <c r="J115" s="28">
        <f t="shared" si="8"/>
        <v>0</v>
      </c>
      <c r="K115" s="28">
        <f t="shared" si="9"/>
        <v>1</v>
      </c>
      <c r="L115" s="28">
        <f t="shared" si="10"/>
        <v>0</v>
      </c>
      <c r="M115" s="28">
        <f t="shared" si="11"/>
        <v>0</v>
      </c>
      <c r="N115" s="29">
        <f>IF(F115="цифровой",IF(AND(#REF!="цифровой",OR(#REF!=1,#REF!="")),"",1),0)</f>
        <v>0</v>
      </c>
      <c r="O115" s="40"/>
      <c r="P115" s="40"/>
      <c r="Q115" s="40"/>
      <c r="R115" s="40"/>
    </row>
    <row r="116" spans="1:18" ht="15.75" customHeight="1" x14ac:dyDescent="0.2">
      <c r="A116" s="24"/>
      <c r="B116" s="46"/>
      <c r="C116" s="46"/>
      <c r="D116" s="46"/>
      <c r="E116" s="43" t="s">
        <v>61</v>
      </c>
      <c r="F116" s="26" t="s">
        <v>25</v>
      </c>
      <c r="G116" s="26" t="s">
        <v>9</v>
      </c>
      <c r="H116" s="27" t="s">
        <v>6</v>
      </c>
      <c r="I116" s="28">
        <f t="shared" si="7"/>
        <v>0</v>
      </c>
      <c r="J116" s="28">
        <f t="shared" si="8"/>
        <v>0</v>
      </c>
      <c r="K116" s="28">
        <f t="shared" si="9"/>
        <v>1</v>
      </c>
      <c r="L116" s="28">
        <f t="shared" si="10"/>
        <v>0</v>
      </c>
      <c r="M116" s="28">
        <f t="shared" si="11"/>
        <v>0</v>
      </c>
      <c r="N116" s="29">
        <f t="shared" ref="N116:N119" si="28">IF(F116="цифровой",IF(AND(F115="цифровой",OR(N115=1,N115="")),"",1),0)</f>
        <v>0</v>
      </c>
      <c r="O116" s="40"/>
      <c r="P116" s="40"/>
      <c r="Q116" s="40"/>
      <c r="R116" s="40"/>
    </row>
    <row r="117" spans="1:18" ht="15.75" customHeight="1" x14ac:dyDescent="0.2">
      <c r="A117" s="24"/>
      <c r="B117" s="46"/>
      <c r="C117" s="46"/>
      <c r="D117" s="46"/>
      <c r="E117" s="43" t="s">
        <v>62</v>
      </c>
      <c r="F117" s="26" t="s">
        <v>25</v>
      </c>
      <c r="G117" s="26" t="s">
        <v>9</v>
      </c>
      <c r="H117" s="27" t="s">
        <v>6</v>
      </c>
      <c r="I117" s="28">
        <f t="shared" si="7"/>
        <v>0</v>
      </c>
      <c r="J117" s="28">
        <f t="shared" si="8"/>
        <v>0</v>
      </c>
      <c r="K117" s="28">
        <f t="shared" si="9"/>
        <v>1</v>
      </c>
      <c r="L117" s="28">
        <f t="shared" si="10"/>
        <v>0</v>
      </c>
      <c r="M117" s="28">
        <f t="shared" si="11"/>
        <v>0</v>
      </c>
      <c r="N117" s="29">
        <f t="shared" si="28"/>
        <v>0</v>
      </c>
      <c r="O117" s="40"/>
      <c r="P117" s="40"/>
      <c r="Q117" s="40"/>
      <c r="R117" s="40"/>
    </row>
    <row r="118" spans="1:18" ht="15.75" customHeight="1" x14ac:dyDescent="0.2">
      <c r="A118" s="24"/>
      <c r="B118" s="46"/>
      <c r="C118" s="46"/>
      <c r="D118" s="46"/>
      <c r="E118" s="43" t="s">
        <v>63</v>
      </c>
      <c r="F118" s="26" t="s">
        <v>25</v>
      </c>
      <c r="G118" s="26" t="s">
        <v>9</v>
      </c>
      <c r="H118" s="27" t="s">
        <v>6</v>
      </c>
      <c r="I118" s="28">
        <f t="shared" si="7"/>
        <v>0</v>
      </c>
      <c r="J118" s="28">
        <f t="shared" si="8"/>
        <v>0</v>
      </c>
      <c r="K118" s="28">
        <f t="shared" si="9"/>
        <v>1</v>
      </c>
      <c r="L118" s="28">
        <f t="shared" si="10"/>
        <v>0</v>
      </c>
      <c r="M118" s="28">
        <f t="shared" si="11"/>
        <v>0</v>
      </c>
      <c r="N118" s="29">
        <f t="shared" si="28"/>
        <v>0</v>
      </c>
      <c r="O118" s="40"/>
      <c r="P118" s="40"/>
      <c r="Q118" s="40"/>
      <c r="R118" s="40"/>
    </row>
    <row r="119" spans="1:18" ht="15.75" customHeight="1" thickBot="1" x14ac:dyDescent="0.25">
      <c r="A119" s="24"/>
      <c r="B119" s="46"/>
      <c r="C119" s="46"/>
      <c r="D119" s="47"/>
      <c r="E119" s="44" t="s">
        <v>64</v>
      </c>
      <c r="F119" s="32" t="s">
        <v>25</v>
      </c>
      <c r="G119" s="32" t="s">
        <v>9</v>
      </c>
      <c r="H119" s="33" t="s">
        <v>6</v>
      </c>
      <c r="I119" s="34">
        <f t="shared" si="7"/>
        <v>0</v>
      </c>
      <c r="J119" s="34">
        <f t="shared" si="8"/>
        <v>0</v>
      </c>
      <c r="K119" s="34">
        <f t="shared" si="9"/>
        <v>1</v>
      </c>
      <c r="L119" s="34">
        <f t="shared" si="10"/>
        <v>0</v>
      </c>
      <c r="M119" s="34">
        <f t="shared" si="11"/>
        <v>0</v>
      </c>
      <c r="N119" s="35">
        <f t="shared" si="28"/>
        <v>0</v>
      </c>
      <c r="O119" s="40"/>
      <c r="P119" s="40"/>
      <c r="Q119" s="40"/>
      <c r="R119" s="40"/>
    </row>
    <row r="120" spans="1:18" ht="15.75" customHeight="1" x14ac:dyDescent="0.2">
      <c r="A120" s="24"/>
      <c r="B120" s="46"/>
      <c r="C120" s="46"/>
      <c r="D120" s="50" t="s">
        <v>87</v>
      </c>
      <c r="E120" s="19" t="s">
        <v>67</v>
      </c>
      <c r="F120" s="19" t="s">
        <v>29</v>
      </c>
      <c r="G120" s="19" t="s">
        <v>26</v>
      </c>
      <c r="H120" s="20" t="s">
        <v>38</v>
      </c>
      <c r="I120" s="21">
        <f t="shared" si="7"/>
        <v>0</v>
      </c>
      <c r="J120" s="21">
        <f t="shared" si="8"/>
        <v>0</v>
      </c>
      <c r="K120" s="21">
        <f t="shared" si="9"/>
        <v>0</v>
      </c>
      <c r="L120" s="21">
        <f t="shared" si="10"/>
        <v>0</v>
      </c>
      <c r="M120" s="21">
        <f t="shared" si="11"/>
        <v>1</v>
      </c>
      <c r="N120" s="22">
        <v>1</v>
      </c>
      <c r="O120" s="40"/>
      <c r="P120" s="40"/>
      <c r="Q120" s="40"/>
      <c r="R120" s="40"/>
    </row>
    <row r="121" spans="1:18" ht="15.75" customHeight="1" x14ac:dyDescent="0.2">
      <c r="A121" s="24"/>
      <c r="B121" s="46"/>
      <c r="C121" s="46"/>
      <c r="D121" s="46"/>
      <c r="E121" s="26" t="s">
        <v>68</v>
      </c>
      <c r="F121" s="26" t="s">
        <v>29</v>
      </c>
      <c r="G121" s="26" t="s">
        <v>26</v>
      </c>
      <c r="H121" s="27" t="s">
        <v>38</v>
      </c>
      <c r="I121" s="28">
        <f t="shared" si="7"/>
        <v>0</v>
      </c>
      <c r="J121" s="28">
        <f t="shared" si="8"/>
        <v>0</v>
      </c>
      <c r="K121" s="28">
        <f t="shared" si="9"/>
        <v>0</v>
      </c>
      <c r="L121" s="28">
        <f t="shared" si="10"/>
        <v>0</v>
      </c>
      <c r="M121" s="28">
        <f t="shared" si="11"/>
        <v>1</v>
      </c>
      <c r="N121" s="29" t="str">
        <f t="shared" ref="N121:N125" si="29">IF(F121="цифровой",IF(AND(F120="цифровой",OR(N120=1,N120="")),"",1),0)</f>
        <v/>
      </c>
      <c r="O121" s="40"/>
      <c r="P121" s="40"/>
      <c r="Q121" s="40"/>
      <c r="R121" s="40"/>
    </row>
    <row r="122" spans="1:18" ht="15.75" customHeight="1" x14ac:dyDescent="0.2">
      <c r="A122" s="24"/>
      <c r="B122" s="46"/>
      <c r="C122" s="46"/>
      <c r="D122" s="46"/>
      <c r="E122" s="26" t="s">
        <v>69</v>
      </c>
      <c r="F122" s="26" t="s">
        <v>29</v>
      </c>
      <c r="G122" s="26" t="s">
        <v>9</v>
      </c>
      <c r="H122" s="27" t="s">
        <v>38</v>
      </c>
      <c r="I122" s="28">
        <f t="shared" si="7"/>
        <v>0</v>
      </c>
      <c r="J122" s="28">
        <f t="shared" si="8"/>
        <v>0</v>
      </c>
      <c r="K122" s="28">
        <f t="shared" si="9"/>
        <v>0</v>
      </c>
      <c r="L122" s="28">
        <f t="shared" si="10"/>
        <v>0</v>
      </c>
      <c r="M122" s="28">
        <f t="shared" si="11"/>
        <v>1</v>
      </c>
      <c r="N122" s="29" t="str">
        <f t="shared" si="29"/>
        <v/>
      </c>
      <c r="O122" s="40"/>
      <c r="P122" s="40"/>
      <c r="Q122" s="40"/>
      <c r="R122" s="40"/>
    </row>
    <row r="123" spans="1:18" ht="15.75" customHeight="1" x14ac:dyDescent="0.2">
      <c r="A123" s="24"/>
      <c r="B123" s="46"/>
      <c r="C123" s="46"/>
      <c r="D123" s="46"/>
      <c r="E123" s="26" t="s">
        <v>70</v>
      </c>
      <c r="F123" s="26" t="s">
        <v>29</v>
      </c>
      <c r="G123" s="26" t="s">
        <v>9</v>
      </c>
      <c r="H123" s="27" t="s">
        <v>38</v>
      </c>
      <c r="I123" s="28">
        <f t="shared" si="7"/>
        <v>0</v>
      </c>
      <c r="J123" s="28">
        <f t="shared" si="8"/>
        <v>0</v>
      </c>
      <c r="K123" s="28">
        <f t="shared" si="9"/>
        <v>0</v>
      </c>
      <c r="L123" s="28">
        <f t="shared" si="10"/>
        <v>0</v>
      </c>
      <c r="M123" s="28">
        <f t="shared" si="11"/>
        <v>1</v>
      </c>
      <c r="N123" s="29" t="str">
        <f t="shared" si="29"/>
        <v/>
      </c>
      <c r="O123" s="40"/>
      <c r="P123" s="40"/>
      <c r="Q123" s="40"/>
      <c r="R123" s="40"/>
    </row>
    <row r="124" spans="1:18" ht="15.75" customHeight="1" x14ac:dyDescent="0.2">
      <c r="A124" s="24"/>
      <c r="B124" s="46"/>
      <c r="C124" s="46"/>
      <c r="D124" s="46"/>
      <c r="E124" s="26" t="s">
        <v>71</v>
      </c>
      <c r="F124" s="26" t="s">
        <v>29</v>
      </c>
      <c r="G124" s="26" t="s">
        <v>9</v>
      </c>
      <c r="H124" s="27" t="s">
        <v>38</v>
      </c>
      <c r="I124" s="28">
        <f t="shared" si="7"/>
        <v>0</v>
      </c>
      <c r="J124" s="28">
        <f t="shared" si="8"/>
        <v>0</v>
      </c>
      <c r="K124" s="28">
        <f t="shared" si="9"/>
        <v>0</v>
      </c>
      <c r="L124" s="28">
        <f t="shared" si="10"/>
        <v>0</v>
      </c>
      <c r="M124" s="28">
        <f t="shared" si="11"/>
        <v>1</v>
      </c>
      <c r="N124" s="29" t="str">
        <f t="shared" si="29"/>
        <v/>
      </c>
      <c r="O124" s="40"/>
      <c r="P124" s="40"/>
      <c r="Q124" s="40"/>
      <c r="R124" s="40"/>
    </row>
    <row r="125" spans="1:18" ht="15.75" customHeight="1" thickBot="1" x14ac:dyDescent="0.25">
      <c r="A125" s="24"/>
      <c r="B125" s="46"/>
      <c r="C125" s="46"/>
      <c r="D125" s="47"/>
      <c r="E125" s="32" t="s">
        <v>72</v>
      </c>
      <c r="F125" s="32" t="s">
        <v>29</v>
      </c>
      <c r="G125" s="32" t="s">
        <v>9</v>
      </c>
      <c r="H125" s="33" t="s">
        <v>38</v>
      </c>
      <c r="I125" s="34">
        <f t="shared" si="7"/>
        <v>0</v>
      </c>
      <c r="J125" s="34">
        <f t="shared" si="8"/>
        <v>0</v>
      </c>
      <c r="K125" s="34">
        <f t="shared" si="9"/>
        <v>0</v>
      </c>
      <c r="L125" s="34">
        <f t="shared" si="10"/>
        <v>0</v>
      </c>
      <c r="M125" s="34">
        <f t="shared" si="11"/>
        <v>1</v>
      </c>
      <c r="N125" s="35" t="str">
        <f t="shared" si="29"/>
        <v/>
      </c>
      <c r="O125" s="40"/>
      <c r="P125" s="40"/>
      <c r="Q125" s="40"/>
      <c r="R125" s="40"/>
    </row>
    <row r="126" spans="1:18" ht="15.75" customHeight="1" x14ac:dyDescent="0.2">
      <c r="A126" s="24"/>
      <c r="B126" s="46"/>
      <c r="C126" s="46"/>
      <c r="D126" s="50" t="s">
        <v>88</v>
      </c>
      <c r="E126" s="19" t="s">
        <v>67</v>
      </c>
      <c r="F126" s="19" t="s">
        <v>29</v>
      </c>
      <c r="G126" s="19" t="s">
        <v>26</v>
      </c>
      <c r="H126" s="20" t="s">
        <v>38</v>
      </c>
      <c r="I126" s="21">
        <f t="shared" si="7"/>
        <v>0</v>
      </c>
      <c r="J126" s="21">
        <f t="shared" si="8"/>
        <v>0</v>
      </c>
      <c r="K126" s="21">
        <f t="shared" si="9"/>
        <v>0</v>
      </c>
      <c r="L126" s="21">
        <f t="shared" si="10"/>
        <v>0</v>
      </c>
      <c r="M126" s="21">
        <f t="shared" si="11"/>
        <v>1</v>
      </c>
      <c r="N126" s="22">
        <v>1</v>
      </c>
      <c r="O126" s="40"/>
      <c r="P126" s="40"/>
      <c r="Q126" s="40"/>
      <c r="R126" s="40"/>
    </row>
    <row r="127" spans="1:18" ht="15.75" customHeight="1" x14ac:dyDescent="0.2">
      <c r="A127" s="24"/>
      <c r="B127" s="46"/>
      <c r="C127" s="46"/>
      <c r="D127" s="46"/>
      <c r="E127" s="26" t="s">
        <v>68</v>
      </c>
      <c r="F127" s="26" t="s">
        <v>29</v>
      </c>
      <c r="G127" s="26" t="s">
        <v>26</v>
      </c>
      <c r="H127" s="27" t="s">
        <v>38</v>
      </c>
      <c r="I127" s="28">
        <f t="shared" si="7"/>
        <v>0</v>
      </c>
      <c r="J127" s="28">
        <f t="shared" si="8"/>
        <v>0</v>
      </c>
      <c r="K127" s="28">
        <f t="shared" si="9"/>
        <v>0</v>
      </c>
      <c r="L127" s="28">
        <f t="shared" si="10"/>
        <v>0</v>
      </c>
      <c r="M127" s="28">
        <f t="shared" si="11"/>
        <v>1</v>
      </c>
      <c r="N127" s="29" t="str">
        <f t="shared" ref="N127:N131" si="30">IF(F127="цифровой",IF(AND(F126="цифровой",OR(N126=1,N126="")),"",1),0)</f>
        <v/>
      </c>
      <c r="O127" s="40"/>
      <c r="P127" s="40"/>
      <c r="Q127" s="40"/>
      <c r="R127" s="40"/>
    </row>
    <row r="128" spans="1:18" ht="15.75" customHeight="1" x14ac:dyDescent="0.2">
      <c r="A128" s="24"/>
      <c r="B128" s="46"/>
      <c r="C128" s="46"/>
      <c r="D128" s="46"/>
      <c r="E128" s="26" t="s">
        <v>69</v>
      </c>
      <c r="F128" s="26" t="s">
        <v>29</v>
      </c>
      <c r="G128" s="26" t="s">
        <v>9</v>
      </c>
      <c r="H128" s="27" t="s">
        <v>38</v>
      </c>
      <c r="I128" s="28">
        <f t="shared" si="7"/>
        <v>0</v>
      </c>
      <c r="J128" s="28">
        <f t="shared" si="8"/>
        <v>0</v>
      </c>
      <c r="K128" s="28">
        <f t="shared" si="9"/>
        <v>0</v>
      </c>
      <c r="L128" s="28">
        <f t="shared" si="10"/>
        <v>0</v>
      </c>
      <c r="M128" s="28">
        <f t="shared" si="11"/>
        <v>1</v>
      </c>
      <c r="N128" s="29" t="str">
        <f t="shared" si="30"/>
        <v/>
      </c>
      <c r="O128" s="40"/>
      <c r="P128" s="40"/>
      <c r="Q128" s="40"/>
      <c r="R128" s="40"/>
    </row>
    <row r="129" spans="1:18" ht="15.75" customHeight="1" x14ac:dyDescent="0.2">
      <c r="A129" s="24"/>
      <c r="B129" s="46"/>
      <c r="C129" s="46"/>
      <c r="D129" s="46"/>
      <c r="E129" s="26" t="s">
        <v>70</v>
      </c>
      <c r="F129" s="26" t="s">
        <v>29</v>
      </c>
      <c r="G129" s="26" t="s">
        <v>9</v>
      </c>
      <c r="H129" s="27" t="s">
        <v>38</v>
      </c>
      <c r="I129" s="28">
        <f t="shared" si="7"/>
        <v>0</v>
      </c>
      <c r="J129" s="28">
        <f t="shared" si="8"/>
        <v>0</v>
      </c>
      <c r="K129" s="28">
        <f t="shared" si="9"/>
        <v>0</v>
      </c>
      <c r="L129" s="28">
        <f t="shared" si="10"/>
        <v>0</v>
      </c>
      <c r="M129" s="28">
        <f t="shared" si="11"/>
        <v>1</v>
      </c>
      <c r="N129" s="29" t="str">
        <f t="shared" si="30"/>
        <v/>
      </c>
      <c r="O129" s="40"/>
      <c r="P129" s="40"/>
      <c r="Q129" s="40"/>
      <c r="R129" s="40"/>
    </row>
    <row r="130" spans="1:18" ht="15.75" customHeight="1" x14ac:dyDescent="0.2">
      <c r="A130" s="24"/>
      <c r="B130" s="46"/>
      <c r="C130" s="46"/>
      <c r="D130" s="46"/>
      <c r="E130" s="26" t="s">
        <v>71</v>
      </c>
      <c r="F130" s="26" t="s">
        <v>29</v>
      </c>
      <c r="G130" s="26" t="s">
        <v>9</v>
      </c>
      <c r="H130" s="27" t="s">
        <v>38</v>
      </c>
      <c r="I130" s="28">
        <f t="shared" si="7"/>
        <v>0</v>
      </c>
      <c r="J130" s="28">
        <f t="shared" si="8"/>
        <v>0</v>
      </c>
      <c r="K130" s="28">
        <f t="shared" si="9"/>
        <v>0</v>
      </c>
      <c r="L130" s="28">
        <f t="shared" si="10"/>
        <v>0</v>
      </c>
      <c r="M130" s="28">
        <f t="shared" si="11"/>
        <v>1</v>
      </c>
      <c r="N130" s="29" t="str">
        <f t="shared" si="30"/>
        <v/>
      </c>
      <c r="O130" s="40"/>
      <c r="P130" s="40"/>
      <c r="Q130" s="40"/>
      <c r="R130" s="40"/>
    </row>
    <row r="131" spans="1:18" ht="15.75" customHeight="1" thickBot="1" x14ac:dyDescent="0.25">
      <c r="A131" s="24"/>
      <c r="B131" s="46"/>
      <c r="C131" s="46"/>
      <c r="D131" s="47"/>
      <c r="E131" s="32" t="s">
        <v>72</v>
      </c>
      <c r="F131" s="32" t="s">
        <v>29</v>
      </c>
      <c r="G131" s="32" t="s">
        <v>9</v>
      </c>
      <c r="H131" s="33" t="s">
        <v>38</v>
      </c>
      <c r="I131" s="34">
        <f t="shared" si="7"/>
        <v>0</v>
      </c>
      <c r="J131" s="34">
        <f t="shared" si="8"/>
        <v>0</v>
      </c>
      <c r="K131" s="34">
        <f t="shared" si="9"/>
        <v>0</v>
      </c>
      <c r="L131" s="34">
        <f t="shared" si="10"/>
        <v>0</v>
      </c>
      <c r="M131" s="34">
        <f t="shared" si="11"/>
        <v>1</v>
      </c>
      <c r="N131" s="35" t="str">
        <f t="shared" si="30"/>
        <v/>
      </c>
      <c r="O131" s="40"/>
      <c r="P131" s="40"/>
      <c r="Q131" s="40"/>
      <c r="R131" s="40"/>
    </row>
    <row r="132" spans="1:18" ht="15.75" customHeight="1" x14ac:dyDescent="0.2">
      <c r="A132" s="24"/>
      <c r="B132" s="46"/>
      <c r="C132" s="46"/>
      <c r="D132" s="50" t="s">
        <v>89</v>
      </c>
      <c r="E132" s="19" t="s">
        <v>67</v>
      </c>
      <c r="F132" s="19" t="s">
        <v>29</v>
      </c>
      <c r="G132" s="19" t="s">
        <v>26</v>
      </c>
      <c r="H132" s="20" t="s">
        <v>38</v>
      </c>
      <c r="I132" s="21">
        <f t="shared" si="7"/>
        <v>0</v>
      </c>
      <c r="J132" s="21">
        <f t="shared" si="8"/>
        <v>0</v>
      </c>
      <c r="K132" s="21">
        <f t="shared" si="9"/>
        <v>0</v>
      </c>
      <c r="L132" s="21">
        <f t="shared" si="10"/>
        <v>0</v>
      </c>
      <c r="M132" s="21">
        <f t="shared" si="11"/>
        <v>1</v>
      </c>
      <c r="N132" s="22">
        <v>1</v>
      </c>
      <c r="O132" s="40"/>
      <c r="P132" s="40"/>
      <c r="Q132" s="40"/>
      <c r="R132" s="40"/>
    </row>
    <row r="133" spans="1:18" ht="15.75" customHeight="1" x14ac:dyDescent="0.2">
      <c r="A133" s="24"/>
      <c r="B133" s="46"/>
      <c r="C133" s="46"/>
      <c r="D133" s="46"/>
      <c r="E133" s="26" t="s">
        <v>68</v>
      </c>
      <c r="F133" s="26" t="s">
        <v>29</v>
      </c>
      <c r="G133" s="26" t="s">
        <v>26</v>
      </c>
      <c r="H133" s="27" t="s">
        <v>38</v>
      </c>
      <c r="I133" s="28">
        <f t="shared" si="7"/>
        <v>0</v>
      </c>
      <c r="J133" s="28">
        <f t="shared" si="8"/>
        <v>0</v>
      </c>
      <c r="K133" s="28">
        <f t="shared" si="9"/>
        <v>0</v>
      </c>
      <c r="L133" s="28">
        <f t="shared" si="10"/>
        <v>0</v>
      </c>
      <c r="M133" s="28">
        <f t="shared" si="11"/>
        <v>1</v>
      </c>
      <c r="N133" s="29" t="str">
        <f t="shared" ref="N133:N137" si="31">IF(F133="цифровой",IF(AND(F132="цифровой",OR(N132=1,N132="")),"",1),0)</f>
        <v/>
      </c>
      <c r="O133" s="40"/>
      <c r="P133" s="40"/>
      <c r="Q133" s="40"/>
      <c r="R133" s="40"/>
    </row>
    <row r="134" spans="1:18" ht="15.75" customHeight="1" x14ac:dyDescent="0.2">
      <c r="A134" s="24"/>
      <c r="B134" s="46"/>
      <c r="C134" s="46"/>
      <c r="D134" s="46"/>
      <c r="E134" s="26" t="s">
        <v>69</v>
      </c>
      <c r="F134" s="26" t="s">
        <v>29</v>
      </c>
      <c r="G134" s="26" t="s">
        <v>9</v>
      </c>
      <c r="H134" s="27" t="s">
        <v>38</v>
      </c>
      <c r="I134" s="28">
        <f t="shared" si="7"/>
        <v>0</v>
      </c>
      <c r="J134" s="28">
        <f t="shared" si="8"/>
        <v>0</v>
      </c>
      <c r="K134" s="28">
        <f t="shared" si="9"/>
        <v>0</v>
      </c>
      <c r="L134" s="28">
        <f t="shared" si="10"/>
        <v>0</v>
      </c>
      <c r="M134" s="28">
        <f t="shared" si="11"/>
        <v>1</v>
      </c>
      <c r="N134" s="29" t="str">
        <f t="shared" si="31"/>
        <v/>
      </c>
      <c r="O134" s="40"/>
      <c r="P134" s="40"/>
      <c r="Q134" s="40"/>
      <c r="R134" s="40"/>
    </row>
    <row r="135" spans="1:18" ht="15.75" customHeight="1" x14ac:dyDescent="0.2">
      <c r="A135" s="24"/>
      <c r="B135" s="46"/>
      <c r="C135" s="46"/>
      <c r="D135" s="46"/>
      <c r="E135" s="26" t="s">
        <v>70</v>
      </c>
      <c r="F135" s="26" t="s">
        <v>29</v>
      </c>
      <c r="G135" s="26" t="s">
        <v>9</v>
      </c>
      <c r="H135" s="27" t="s">
        <v>38</v>
      </c>
      <c r="I135" s="28">
        <f t="shared" si="7"/>
        <v>0</v>
      </c>
      <c r="J135" s="28">
        <f t="shared" si="8"/>
        <v>0</v>
      </c>
      <c r="K135" s="28">
        <f t="shared" si="9"/>
        <v>0</v>
      </c>
      <c r="L135" s="28">
        <f t="shared" si="10"/>
        <v>0</v>
      </c>
      <c r="M135" s="28">
        <f t="shared" si="11"/>
        <v>1</v>
      </c>
      <c r="N135" s="29" t="str">
        <f t="shared" si="31"/>
        <v/>
      </c>
      <c r="O135" s="40"/>
      <c r="P135" s="40"/>
      <c r="Q135" s="40"/>
      <c r="R135" s="40"/>
    </row>
    <row r="136" spans="1:18" ht="15.75" customHeight="1" x14ac:dyDescent="0.2">
      <c r="A136" s="24"/>
      <c r="B136" s="46"/>
      <c r="C136" s="46"/>
      <c r="D136" s="46"/>
      <c r="E136" s="26" t="s">
        <v>71</v>
      </c>
      <c r="F136" s="26" t="s">
        <v>29</v>
      </c>
      <c r="G136" s="26" t="s">
        <v>9</v>
      </c>
      <c r="H136" s="27" t="s">
        <v>38</v>
      </c>
      <c r="I136" s="28">
        <f t="shared" si="7"/>
        <v>0</v>
      </c>
      <c r="J136" s="28">
        <f t="shared" si="8"/>
        <v>0</v>
      </c>
      <c r="K136" s="28">
        <f t="shared" si="9"/>
        <v>0</v>
      </c>
      <c r="L136" s="28">
        <f t="shared" si="10"/>
        <v>0</v>
      </c>
      <c r="M136" s="28">
        <f t="shared" si="11"/>
        <v>1</v>
      </c>
      <c r="N136" s="29" t="str">
        <f t="shared" si="31"/>
        <v/>
      </c>
      <c r="O136" s="40"/>
      <c r="P136" s="40"/>
      <c r="Q136" s="40"/>
      <c r="R136" s="40"/>
    </row>
    <row r="137" spans="1:18" ht="15.75" customHeight="1" thickBot="1" x14ac:dyDescent="0.25">
      <c r="A137" s="24"/>
      <c r="B137" s="46"/>
      <c r="C137" s="46"/>
      <c r="D137" s="47"/>
      <c r="E137" s="32" t="s">
        <v>72</v>
      </c>
      <c r="F137" s="32" t="s">
        <v>29</v>
      </c>
      <c r="G137" s="32" t="s">
        <v>9</v>
      </c>
      <c r="H137" s="33" t="s">
        <v>38</v>
      </c>
      <c r="I137" s="34">
        <f t="shared" si="7"/>
        <v>0</v>
      </c>
      <c r="J137" s="34">
        <f t="shared" si="8"/>
        <v>0</v>
      </c>
      <c r="K137" s="34">
        <f t="shared" si="9"/>
        <v>0</v>
      </c>
      <c r="L137" s="34">
        <f t="shared" si="10"/>
        <v>0</v>
      </c>
      <c r="M137" s="34">
        <f t="shared" si="11"/>
        <v>1</v>
      </c>
      <c r="N137" s="35" t="str">
        <f t="shared" si="31"/>
        <v/>
      </c>
      <c r="O137" s="40"/>
      <c r="P137" s="40"/>
      <c r="Q137" s="40"/>
      <c r="R137" s="40"/>
    </row>
    <row r="138" spans="1:18" ht="15.75" customHeight="1" x14ac:dyDescent="0.2">
      <c r="A138" s="24"/>
      <c r="B138" s="46"/>
      <c r="C138" s="46"/>
      <c r="D138" s="50" t="s">
        <v>90</v>
      </c>
      <c r="E138" s="19" t="s">
        <v>67</v>
      </c>
      <c r="F138" s="19" t="s">
        <v>29</v>
      </c>
      <c r="G138" s="19" t="s">
        <v>26</v>
      </c>
      <c r="H138" s="20" t="s">
        <v>38</v>
      </c>
      <c r="I138" s="21">
        <f t="shared" si="7"/>
        <v>0</v>
      </c>
      <c r="J138" s="21">
        <f t="shared" si="8"/>
        <v>0</v>
      </c>
      <c r="K138" s="21">
        <f t="shared" si="9"/>
        <v>0</v>
      </c>
      <c r="L138" s="21">
        <f t="shared" si="10"/>
        <v>0</v>
      </c>
      <c r="M138" s="21">
        <f t="shared" si="11"/>
        <v>1</v>
      </c>
      <c r="N138" s="22">
        <v>1</v>
      </c>
      <c r="O138" s="40"/>
      <c r="P138" s="40"/>
      <c r="Q138" s="40"/>
      <c r="R138" s="40"/>
    </row>
    <row r="139" spans="1:18" ht="15.75" customHeight="1" x14ac:dyDescent="0.2">
      <c r="A139" s="24"/>
      <c r="B139" s="46"/>
      <c r="C139" s="46"/>
      <c r="D139" s="46"/>
      <c r="E139" s="26" t="s">
        <v>68</v>
      </c>
      <c r="F139" s="26" t="s">
        <v>29</v>
      </c>
      <c r="G139" s="26" t="s">
        <v>26</v>
      </c>
      <c r="H139" s="27" t="s">
        <v>38</v>
      </c>
      <c r="I139" s="28">
        <f t="shared" si="7"/>
        <v>0</v>
      </c>
      <c r="J139" s="28">
        <f t="shared" si="8"/>
        <v>0</v>
      </c>
      <c r="K139" s="28">
        <f t="shared" si="9"/>
        <v>0</v>
      </c>
      <c r="L139" s="28">
        <f t="shared" si="10"/>
        <v>0</v>
      </c>
      <c r="M139" s="28">
        <f t="shared" si="11"/>
        <v>1</v>
      </c>
      <c r="N139" s="29" t="str">
        <f t="shared" ref="N139:N143" si="32">IF(F139="цифровой",IF(AND(F138="цифровой",OR(N138=1,N138="")),"",1),0)</f>
        <v/>
      </c>
      <c r="O139" s="40"/>
      <c r="P139" s="40"/>
      <c r="Q139" s="40"/>
      <c r="R139" s="40"/>
    </row>
    <row r="140" spans="1:18" ht="15.75" customHeight="1" x14ac:dyDescent="0.2">
      <c r="A140" s="24"/>
      <c r="B140" s="46"/>
      <c r="C140" s="46"/>
      <c r="D140" s="46"/>
      <c r="E140" s="26" t="s">
        <v>69</v>
      </c>
      <c r="F140" s="26" t="s">
        <v>29</v>
      </c>
      <c r="G140" s="26" t="s">
        <v>9</v>
      </c>
      <c r="H140" s="27" t="s">
        <v>38</v>
      </c>
      <c r="I140" s="28">
        <f t="shared" si="7"/>
        <v>0</v>
      </c>
      <c r="J140" s="28">
        <f t="shared" si="8"/>
        <v>0</v>
      </c>
      <c r="K140" s="28">
        <f t="shared" si="9"/>
        <v>0</v>
      </c>
      <c r="L140" s="28">
        <f t="shared" si="10"/>
        <v>0</v>
      </c>
      <c r="M140" s="28">
        <f t="shared" si="11"/>
        <v>1</v>
      </c>
      <c r="N140" s="29" t="str">
        <f t="shared" si="32"/>
        <v/>
      </c>
      <c r="O140" s="40"/>
      <c r="P140" s="40"/>
      <c r="Q140" s="40"/>
      <c r="R140" s="40"/>
    </row>
    <row r="141" spans="1:18" ht="15.75" customHeight="1" x14ac:dyDescent="0.2">
      <c r="A141" s="24"/>
      <c r="B141" s="46"/>
      <c r="C141" s="46"/>
      <c r="D141" s="46"/>
      <c r="E141" s="26" t="s">
        <v>70</v>
      </c>
      <c r="F141" s="26" t="s">
        <v>29</v>
      </c>
      <c r="G141" s="26" t="s">
        <v>9</v>
      </c>
      <c r="H141" s="27" t="s">
        <v>38</v>
      </c>
      <c r="I141" s="28">
        <f t="shared" si="7"/>
        <v>0</v>
      </c>
      <c r="J141" s="28">
        <f t="shared" si="8"/>
        <v>0</v>
      </c>
      <c r="K141" s="28">
        <f t="shared" si="9"/>
        <v>0</v>
      </c>
      <c r="L141" s="28">
        <f t="shared" si="10"/>
        <v>0</v>
      </c>
      <c r="M141" s="28">
        <f t="shared" si="11"/>
        <v>1</v>
      </c>
      <c r="N141" s="29" t="str">
        <f t="shared" si="32"/>
        <v/>
      </c>
      <c r="O141" s="40"/>
      <c r="P141" s="40"/>
      <c r="Q141" s="40"/>
      <c r="R141" s="40"/>
    </row>
    <row r="142" spans="1:18" ht="15.75" customHeight="1" x14ac:dyDescent="0.2">
      <c r="A142" s="24"/>
      <c r="B142" s="46"/>
      <c r="C142" s="46"/>
      <c r="D142" s="46"/>
      <c r="E142" s="26" t="s">
        <v>71</v>
      </c>
      <c r="F142" s="26" t="s">
        <v>29</v>
      </c>
      <c r="G142" s="26" t="s">
        <v>9</v>
      </c>
      <c r="H142" s="27" t="s">
        <v>38</v>
      </c>
      <c r="I142" s="28">
        <f t="shared" si="7"/>
        <v>0</v>
      </c>
      <c r="J142" s="28">
        <f t="shared" si="8"/>
        <v>0</v>
      </c>
      <c r="K142" s="28">
        <f t="shared" si="9"/>
        <v>0</v>
      </c>
      <c r="L142" s="28">
        <f t="shared" si="10"/>
        <v>0</v>
      </c>
      <c r="M142" s="28">
        <f t="shared" si="11"/>
        <v>1</v>
      </c>
      <c r="N142" s="29" t="str">
        <f t="shared" si="32"/>
        <v/>
      </c>
      <c r="O142" s="40"/>
      <c r="P142" s="40"/>
      <c r="Q142" s="40"/>
      <c r="R142" s="40"/>
    </row>
    <row r="143" spans="1:18" ht="15.75" customHeight="1" thickBot="1" x14ac:dyDescent="0.25">
      <c r="A143" s="24"/>
      <c r="B143" s="46"/>
      <c r="C143" s="46"/>
      <c r="D143" s="47"/>
      <c r="E143" s="32" t="s">
        <v>72</v>
      </c>
      <c r="F143" s="32" t="s">
        <v>29</v>
      </c>
      <c r="G143" s="32" t="s">
        <v>9</v>
      </c>
      <c r="H143" s="33" t="s">
        <v>38</v>
      </c>
      <c r="I143" s="34">
        <f t="shared" si="7"/>
        <v>0</v>
      </c>
      <c r="J143" s="34">
        <f t="shared" si="8"/>
        <v>0</v>
      </c>
      <c r="K143" s="34">
        <f t="shared" si="9"/>
        <v>0</v>
      </c>
      <c r="L143" s="34">
        <f t="shared" si="10"/>
        <v>0</v>
      </c>
      <c r="M143" s="34">
        <f t="shared" si="11"/>
        <v>1</v>
      </c>
      <c r="N143" s="35" t="str">
        <f t="shared" si="32"/>
        <v/>
      </c>
      <c r="O143" s="40"/>
      <c r="P143" s="40"/>
      <c r="Q143" s="40"/>
      <c r="R143" s="40"/>
    </row>
    <row r="144" spans="1:18" ht="15.75" customHeight="1" x14ac:dyDescent="0.2">
      <c r="A144" s="24"/>
      <c r="B144" s="46"/>
      <c r="C144" s="46"/>
      <c r="D144" s="50" t="s">
        <v>91</v>
      </c>
      <c r="E144" s="19" t="s">
        <v>67</v>
      </c>
      <c r="F144" s="19" t="s">
        <v>29</v>
      </c>
      <c r="G144" s="19" t="s">
        <v>26</v>
      </c>
      <c r="H144" s="20" t="s">
        <v>38</v>
      </c>
      <c r="I144" s="21">
        <f t="shared" si="7"/>
        <v>0</v>
      </c>
      <c r="J144" s="21">
        <f t="shared" si="8"/>
        <v>0</v>
      </c>
      <c r="K144" s="21">
        <f t="shared" si="9"/>
        <v>0</v>
      </c>
      <c r="L144" s="21">
        <f t="shared" si="10"/>
        <v>0</v>
      </c>
      <c r="M144" s="21">
        <f t="shared" si="11"/>
        <v>1</v>
      </c>
      <c r="N144" s="22">
        <v>1</v>
      </c>
      <c r="O144" s="40"/>
      <c r="P144" s="40"/>
      <c r="Q144" s="40"/>
      <c r="R144" s="40"/>
    </row>
    <row r="145" spans="1:18" ht="15.75" customHeight="1" x14ac:dyDescent="0.2">
      <c r="A145" s="24"/>
      <c r="B145" s="46"/>
      <c r="C145" s="46"/>
      <c r="D145" s="46"/>
      <c r="E145" s="26" t="s">
        <v>68</v>
      </c>
      <c r="F145" s="26" t="s">
        <v>29</v>
      </c>
      <c r="G145" s="26" t="s">
        <v>26</v>
      </c>
      <c r="H145" s="27" t="s">
        <v>38</v>
      </c>
      <c r="I145" s="28">
        <f t="shared" si="7"/>
        <v>0</v>
      </c>
      <c r="J145" s="28">
        <f t="shared" si="8"/>
        <v>0</v>
      </c>
      <c r="K145" s="28">
        <f t="shared" si="9"/>
        <v>0</v>
      </c>
      <c r="L145" s="28">
        <f t="shared" si="10"/>
        <v>0</v>
      </c>
      <c r="M145" s="28">
        <f t="shared" si="11"/>
        <v>1</v>
      </c>
      <c r="N145" s="29" t="str">
        <f t="shared" ref="N145:N149" si="33">IF(F145="цифровой",IF(AND(F144="цифровой",OR(N144=1,N144="")),"",1),0)</f>
        <v/>
      </c>
      <c r="O145" s="40"/>
      <c r="P145" s="40"/>
      <c r="Q145" s="40"/>
      <c r="R145" s="40"/>
    </row>
    <row r="146" spans="1:18" ht="15.75" customHeight="1" x14ac:dyDescent="0.2">
      <c r="A146" s="24"/>
      <c r="B146" s="46"/>
      <c r="C146" s="46"/>
      <c r="D146" s="46"/>
      <c r="E146" s="26" t="s">
        <v>69</v>
      </c>
      <c r="F146" s="26" t="s">
        <v>29</v>
      </c>
      <c r="G146" s="26" t="s">
        <v>9</v>
      </c>
      <c r="H146" s="27" t="s">
        <v>38</v>
      </c>
      <c r="I146" s="28">
        <f t="shared" si="7"/>
        <v>0</v>
      </c>
      <c r="J146" s="28">
        <f t="shared" si="8"/>
        <v>0</v>
      </c>
      <c r="K146" s="28">
        <f t="shared" si="9"/>
        <v>0</v>
      </c>
      <c r="L146" s="28">
        <f t="shared" si="10"/>
        <v>0</v>
      </c>
      <c r="M146" s="28">
        <f t="shared" si="11"/>
        <v>1</v>
      </c>
      <c r="N146" s="29" t="str">
        <f t="shared" si="33"/>
        <v/>
      </c>
      <c r="O146" s="40"/>
      <c r="P146" s="40"/>
      <c r="Q146" s="40"/>
      <c r="R146" s="40"/>
    </row>
    <row r="147" spans="1:18" ht="15.75" customHeight="1" x14ac:dyDescent="0.2">
      <c r="A147" s="24"/>
      <c r="B147" s="46"/>
      <c r="C147" s="46"/>
      <c r="D147" s="46"/>
      <c r="E147" s="26" t="s">
        <v>70</v>
      </c>
      <c r="F147" s="26" t="s">
        <v>29</v>
      </c>
      <c r="G147" s="26" t="s">
        <v>9</v>
      </c>
      <c r="H147" s="27" t="s">
        <v>38</v>
      </c>
      <c r="I147" s="28">
        <f t="shared" si="7"/>
        <v>0</v>
      </c>
      <c r="J147" s="28">
        <f t="shared" si="8"/>
        <v>0</v>
      </c>
      <c r="K147" s="28">
        <f t="shared" si="9"/>
        <v>0</v>
      </c>
      <c r="L147" s="28">
        <f t="shared" si="10"/>
        <v>0</v>
      </c>
      <c r="M147" s="28">
        <f t="shared" si="11"/>
        <v>1</v>
      </c>
      <c r="N147" s="29" t="str">
        <f t="shared" si="33"/>
        <v/>
      </c>
      <c r="O147" s="40"/>
      <c r="P147" s="40"/>
      <c r="Q147" s="40"/>
      <c r="R147" s="40"/>
    </row>
    <row r="148" spans="1:18" ht="15.75" customHeight="1" x14ac:dyDescent="0.2">
      <c r="A148" s="24"/>
      <c r="B148" s="46"/>
      <c r="C148" s="46"/>
      <c r="D148" s="46"/>
      <c r="E148" s="26" t="s">
        <v>71</v>
      </c>
      <c r="F148" s="26" t="s">
        <v>29</v>
      </c>
      <c r="G148" s="26" t="s">
        <v>9</v>
      </c>
      <c r="H148" s="27" t="s">
        <v>38</v>
      </c>
      <c r="I148" s="28">
        <f t="shared" si="7"/>
        <v>0</v>
      </c>
      <c r="J148" s="28">
        <f t="shared" si="8"/>
        <v>0</v>
      </c>
      <c r="K148" s="28">
        <f t="shared" si="9"/>
        <v>0</v>
      </c>
      <c r="L148" s="28">
        <f t="shared" si="10"/>
        <v>0</v>
      </c>
      <c r="M148" s="28">
        <f t="shared" si="11"/>
        <v>1</v>
      </c>
      <c r="N148" s="29" t="str">
        <f t="shared" si="33"/>
        <v/>
      </c>
      <c r="O148" s="40"/>
      <c r="P148" s="40"/>
      <c r="Q148" s="40"/>
      <c r="R148" s="40"/>
    </row>
    <row r="149" spans="1:18" ht="15.75" customHeight="1" thickBot="1" x14ac:dyDescent="0.25">
      <c r="A149" s="24"/>
      <c r="B149" s="46"/>
      <c r="C149" s="46"/>
      <c r="D149" s="47"/>
      <c r="E149" s="32" t="s">
        <v>72</v>
      </c>
      <c r="F149" s="32" t="s">
        <v>29</v>
      </c>
      <c r="G149" s="32" t="s">
        <v>9</v>
      </c>
      <c r="H149" s="33" t="s">
        <v>38</v>
      </c>
      <c r="I149" s="34">
        <f t="shared" si="7"/>
        <v>0</v>
      </c>
      <c r="J149" s="34">
        <f t="shared" si="8"/>
        <v>0</v>
      </c>
      <c r="K149" s="34">
        <f t="shared" si="9"/>
        <v>0</v>
      </c>
      <c r="L149" s="34">
        <f t="shared" si="10"/>
        <v>0</v>
      </c>
      <c r="M149" s="34">
        <f t="shared" si="11"/>
        <v>1</v>
      </c>
      <c r="N149" s="35" t="str">
        <f t="shared" si="33"/>
        <v/>
      </c>
      <c r="O149" s="40"/>
      <c r="P149" s="40"/>
      <c r="Q149" s="40"/>
      <c r="R149" s="40"/>
    </row>
    <row r="150" spans="1:18" ht="15.75" customHeight="1" x14ac:dyDescent="0.2">
      <c r="A150" s="24"/>
      <c r="B150" s="46"/>
      <c r="C150" s="46"/>
      <c r="D150" s="50" t="s">
        <v>92</v>
      </c>
      <c r="E150" s="19" t="s">
        <v>67</v>
      </c>
      <c r="F150" s="19" t="s">
        <v>29</v>
      </c>
      <c r="G150" s="19" t="s">
        <v>26</v>
      </c>
      <c r="H150" s="20" t="s">
        <v>38</v>
      </c>
      <c r="I150" s="21">
        <f t="shared" si="7"/>
        <v>0</v>
      </c>
      <c r="J150" s="21">
        <f t="shared" si="8"/>
        <v>0</v>
      </c>
      <c r="K150" s="21">
        <f t="shared" si="9"/>
        <v>0</v>
      </c>
      <c r="L150" s="21">
        <f t="shared" si="10"/>
        <v>0</v>
      </c>
      <c r="M150" s="21">
        <f t="shared" si="11"/>
        <v>1</v>
      </c>
      <c r="N150" s="22">
        <v>1</v>
      </c>
      <c r="O150" s="40"/>
      <c r="P150" s="40"/>
      <c r="Q150" s="40"/>
      <c r="R150" s="40"/>
    </row>
    <row r="151" spans="1:18" ht="15.75" customHeight="1" x14ac:dyDescent="0.2">
      <c r="A151" s="24"/>
      <c r="B151" s="46"/>
      <c r="C151" s="46"/>
      <c r="D151" s="46"/>
      <c r="E151" s="26" t="s">
        <v>68</v>
      </c>
      <c r="F151" s="26" t="s">
        <v>29</v>
      </c>
      <c r="G151" s="26" t="s">
        <v>26</v>
      </c>
      <c r="H151" s="27" t="s">
        <v>38</v>
      </c>
      <c r="I151" s="28">
        <f t="shared" si="7"/>
        <v>0</v>
      </c>
      <c r="J151" s="28">
        <f t="shared" si="8"/>
        <v>0</v>
      </c>
      <c r="K151" s="28">
        <f t="shared" si="9"/>
        <v>0</v>
      </c>
      <c r="L151" s="28">
        <f t="shared" si="10"/>
        <v>0</v>
      </c>
      <c r="M151" s="28">
        <f t="shared" si="11"/>
        <v>1</v>
      </c>
      <c r="N151" s="29" t="str">
        <f t="shared" ref="N151:N155" si="34">IF(F151="цифровой",IF(AND(F150="цифровой",OR(N150=1,N150="")),"",1),0)</f>
        <v/>
      </c>
      <c r="O151" s="40"/>
      <c r="P151" s="40"/>
      <c r="Q151" s="40"/>
      <c r="R151" s="40"/>
    </row>
    <row r="152" spans="1:18" ht="15.75" customHeight="1" x14ac:dyDescent="0.2">
      <c r="A152" s="24"/>
      <c r="B152" s="46"/>
      <c r="C152" s="46"/>
      <c r="D152" s="46"/>
      <c r="E152" s="26" t="s">
        <v>69</v>
      </c>
      <c r="F152" s="26" t="s">
        <v>29</v>
      </c>
      <c r="G152" s="26" t="s">
        <v>9</v>
      </c>
      <c r="H152" s="27" t="s">
        <v>38</v>
      </c>
      <c r="I152" s="28">
        <f t="shared" si="7"/>
        <v>0</v>
      </c>
      <c r="J152" s="28">
        <f t="shared" si="8"/>
        <v>0</v>
      </c>
      <c r="K152" s="28">
        <f t="shared" si="9"/>
        <v>0</v>
      </c>
      <c r="L152" s="28">
        <f t="shared" si="10"/>
        <v>0</v>
      </c>
      <c r="M152" s="28">
        <f t="shared" si="11"/>
        <v>1</v>
      </c>
      <c r="N152" s="29" t="str">
        <f t="shared" si="34"/>
        <v/>
      </c>
      <c r="O152" s="40"/>
      <c r="P152" s="40"/>
      <c r="Q152" s="40"/>
      <c r="R152" s="40"/>
    </row>
    <row r="153" spans="1:18" ht="15.75" customHeight="1" x14ac:dyDescent="0.2">
      <c r="A153" s="24"/>
      <c r="B153" s="46"/>
      <c r="C153" s="46"/>
      <c r="D153" s="46"/>
      <c r="E153" s="26" t="s">
        <v>70</v>
      </c>
      <c r="F153" s="26" t="s">
        <v>29</v>
      </c>
      <c r="G153" s="26" t="s">
        <v>9</v>
      </c>
      <c r="H153" s="27" t="s">
        <v>38</v>
      </c>
      <c r="I153" s="28">
        <f t="shared" si="7"/>
        <v>0</v>
      </c>
      <c r="J153" s="28">
        <f t="shared" si="8"/>
        <v>0</v>
      </c>
      <c r="K153" s="28">
        <f t="shared" si="9"/>
        <v>0</v>
      </c>
      <c r="L153" s="28">
        <f t="shared" si="10"/>
        <v>0</v>
      </c>
      <c r="M153" s="28">
        <f t="shared" si="11"/>
        <v>1</v>
      </c>
      <c r="N153" s="29" t="str">
        <f t="shared" si="34"/>
        <v/>
      </c>
      <c r="O153" s="40"/>
      <c r="P153" s="40"/>
      <c r="Q153" s="40"/>
      <c r="R153" s="40"/>
    </row>
    <row r="154" spans="1:18" ht="15.75" customHeight="1" x14ac:dyDescent="0.2">
      <c r="A154" s="24"/>
      <c r="B154" s="46"/>
      <c r="C154" s="46"/>
      <c r="D154" s="46"/>
      <c r="E154" s="26" t="s">
        <v>71</v>
      </c>
      <c r="F154" s="26" t="s">
        <v>29</v>
      </c>
      <c r="G154" s="26" t="s">
        <v>9</v>
      </c>
      <c r="H154" s="27" t="s">
        <v>38</v>
      </c>
      <c r="I154" s="28">
        <f t="shared" si="7"/>
        <v>0</v>
      </c>
      <c r="J154" s="28">
        <f t="shared" si="8"/>
        <v>0</v>
      </c>
      <c r="K154" s="28">
        <f t="shared" si="9"/>
        <v>0</v>
      </c>
      <c r="L154" s="28">
        <f t="shared" si="10"/>
        <v>0</v>
      </c>
      <c r="M154" s="28">
        <f t="shared" si="11"/>
        <v>1</v>
      </c>
      <c r="N154" s="29" t="str">
        <f t="shared" si="34"/>
        <v/>
      </c>
      <c r="O154" s="40"/>
      <c r="P154" s="40"/>
      <c r="Q154" s="40"/>
      <c r="R154" s="40"/>
    </row>
    <row r="155" spans="1:18" ht="15.75" customHeight="1" thickBot="1" x14ac:dyDescent="0.25">
      <c r="A155" s="24"/>
      <c r="B155" s="46"/>
      <c r="C155" s="46"/>
      <c r="D155" s="47"/>
      <c r="E155" s="32" t="s">
        <v>72</v>
      </c>
      <c r="F155" s="32" t="s">
        <v>29</v>
      </c>
      <c r="G155" s="32" t="s">
        <v>9</v>
      </c>
      <c r="H155" s="33" t="s">
        <v>38</v>
      </c>
      <c r="I155" s="34">
        <f t="shared" si="7"/>
        <v>0</v>
      </c>
      <c r="J155" s="34">
        <f t="shared" si="8"/>
        <v>0</v>
      </c>
      <c r="K155" s="34">
        <f t="shared" si="9"/>
        <v>0</v>
      </c>
      <c r="L155" s="34">
        <f t="shared" si="10"/>
        <v>0</v>
      </c>
      <c r="M155" s="34">
        <f t="shared" si="11"/>
        <v>1</v>
      </c>
      <c r="N155" s="35" t="str">
        <f t="shared" si="34"/>
        <v/>
      </c>
      <c r="O155" s="40"/>
      <c r="P155" s="40"/>
      <c r="Q155" s="40"/>
      <c r="R155" s="40"/>
    </row>
    <row r="156" spans="1:18" ht="15.75" customHeight="1" x14ac:dyDescent="0.2">
      <c r="A156" s="24"/>
      <c r="B156" s="46"/>
      <c r="C156" s="46"/>
      <c r="D156" s="50" t="s">
        <v>93</v>
      </c>
      <c r="E156" s="19" t="s">
        <v>67</v>
      </c>
      <c r="F156" s="19" t="s">
        <v>29</v>
      </c>
      <c r="G156" s="19" t="s">
        <v>26</v>
      </c>
      <c r="H156" s="20" t="s">
        <v>38</v>
      </c>
      <c r="I156" s="21">
        <f t="shared" si="7"/>
        <v>0</v>
      </c>
      <c r="J156" s="21">
        <f t="shared" si="8"/>
        <v>0</v>
      </c>
      <c r="K156" s="21">
        <f t="shared" si="9"/>
        <v>0</v>
      </c>
      <c r="L156" s="21">
        <f t="shared" si="10"/>
        <v>0</v>
      </c>
      <c r="M156" s="21">
        <f t="shared" si="11"/>
        <v>1</v>
      </c>
      <c r="N156" s="22">
        <v>1</v>
      </c>
      <c r="O156" s="40"/>
      <c r="P156" s="40"/>
      <c r="Q156" s="40"/>
      <c r="R156" s="40"/>
    </row>
    <row r="157" spans="1:18" ht="15.75" customHeight="1" x14ac:dyDescent="0.2">
      <c r="A157" s="24"/>
      <c r="B157" s="46"/>
      <c r="C157" s="46"/>
      <c r="D157" s="46"/>
      <c r="E157" s="26" t="s">
        <v>68</v>
      </c>
      <c r="F157" s="26" t="s">
        <v>29</v>
      </c>
      <c r="G157" s="26" t="s">
        <v>26</v>
      </c>
      <c r="H157" s="27" t="s">
        <v>38</v>
      </c>
      <c r="I157" s="28">
        <f t="shared" si="7"/>
        <v>0</v>
      </c>
      <c r="J157" s="28">
        <f t="shared" si="8"/>
        <v>0</v>
      </c>
      <c r="K157" s="28">
        <f t="shared" si="9"/>
        <v>0</v>
      </c>
      <c r="L157" s="28">
        <f t="shared" si="10"/>
        <v>0</v>
      </c>
      <c r="M157" s="28">
        <f t="shared" si="11"/>
        <v>1</v>
      </c>
      <c r="N157" s="29" t="str">
        <f t="shared" ref="N157:N161" si="35">IF(F157="цифровой",IF(AND(F156="цифровой",OR(N156=1,N156="")),"",1),0)</f>
        <v/>
      </c>
      <c r="O157" s="40"/>
      <c r="P157" s="40"/>
      <c r="Q157" s="40"/>
      <c r="R157" s="40"/>
    </row>
    <row r="158" spans="1:18" ht="15.75" customHeight="1" x14ac:dyDescent="0.2">
      <c r="A158" s="24"/>
      <c r="B158" s="46"/>
      <c r="C158" s="46"/>
      <c r="D158" s="46"/>
      <c r="E158" s="26" t="s">
        <v>69</v>
      </c>
      <c r="F158" s="26" t="s">
        <v>29</v>
      </c>
      <c r="G158" s="26" t="s">
        <v>9</v>
      </c>
      <c r="H158" s="27" t="s">
        <v>38</v>
      </c>
      <c r="I158" s="28">
        <f t="shared" si="7"/>
        <v>0</v>
      </c>
      <c r="J158" s="28">
        <f t="shared" si="8"/>
        <v>0</v>
      </c>
      <c r="K158" s="28">
        <f t="shared" si="9"/>
        <v>0</v>
      </c>
      <c r="L158" s="28">
        <f t="shared" si="10"/>
        <v>0</v>
      </c>
      <c r="M158" s="28">
        <f t="shared" si="11"/>
        <v>1</v>
      </c>
      <c r="N158" s="29" t="str">
        <f t="shared" si="35"/>
        <v/>
      </c>
      <c r="O158" s="40"/>
      <c r="P158" s="40"/>
      <c r="Q158" s="40"/>
      <c r="R158" s="40"/>
    </row>
    <row r="159" spans="1:18" ht="15.75" customHeight="1" x14ac:dyDescent="0.2">
      <c r="A159" s="24"/>
      <c r="B159" s="46"/>
      <c r="C159" s="46"/>
      <c r="D159" s="46"/>
      <c r="E159" s="26" t="s">
        <v>70</v>
      </c>
      <c r="F159" s="26" t="s">
        <v>29</v>
      </c>
      <c r="G159" s="26" t="s">
        <v>9</v>
      </c>
      <c r="H159" s="27" t="s">
        <v>38</v>
      </c>
      <c r="I159" s="28">
        <f t="shared" si="7"/>
        <v>0</v>
      </c>
      <c r="J159" s="28">
        <f t="shared" si="8"/>
        <v>0</v>
      </c>
      <c r="K159" s="28">
        <f t="shared" si="9"/>
        <v>0</v>
      </c>
      <c r="L159" s="28">
        <f t="shared" si="10"/>
        <v>0</v>
      </c>
      <c r="M159" s="28">
        <f t="shared" si="11"/>
        <v>1</v>
      </c>
      <c r="N159" s="29" t="str">
        <f t="shared" si="35"/>
        <v/>
      </c>
      <c r="O159" s="40"/>
      <c r="P159" s="40"/>
      <c r="Q159" s="40"/>
      <c r="R159" s="40"/>
    </row>
    <row r="160" spans="1:18" ht="15.75" customHeight="1" x14ac:dyDescent="0.2">
      <c r="A160" s="24"/>
      <c r="B160" s="46"/>
      <c r="C160" s="46"/>
      <c r="D160" s="46"/>
      <c r="E160" s="26" t="s">
        <v>71</v>
      </c>
      <c r="F160" s="26" t="s">
        <v>29</v>
      </c>
      <c r="G160" s="26" t="s">
        <v>9</v>
      </c>
      <c r="H160" s="27" t="s">
        <v>38</v>
      </c>
      <c r="I160" s="28">
        <f t="shared" si="7"/>
        <v>0</v>
      </c>
      <c r="J160" s="28">
        <f t="shared" si="8"/>
        <v>0</v>
      </c>
      <c r="K160" s="28">
        <f t="shared" si="9"/>
        <v>0</v>
      </c>
      <c r="L160" s="28">
        <f t="shared" si="10"/>
        <v>0</v>
      </c>
      <c r="M160" s="28">
        <f t="shared" si="11"/>
        <v>1</v>
      </c>
      <c r="N160" s="29" t="str">
        <f t="shared" si="35"/>
        <v/>
      </c>
      <c r="O160" s="40"/>
      <c r="P160" s="40"/>
      <c r="Q160" s="40"/>
      <c r="R160" s="40"/>
    </row>
    <row r="161" spans="1:18" ht="15.75" customHeight="1" thickBot="1" x14ac:dyDescent="0.25">
      <c r="A161" s="24"/>
      <c r="B161" s="46"/>
      <c r="C161" s="46"/>
      <c r="D161" s="47"/>
      <c r="E161" s="32" t="s">
        <v>72</v>
      </c>
      <c r="F161" s="32" t="s">
        <v>29</v>
      </c>
      <c r="G161" s="32" t="s">
        <v>9</v>
      </c>
      <c r="H161" s="33" t="s">
        <v>38</v>
      </c>
      <c r="I161" s="34">
        <f t="shared" si="7"/>
        <v>0</v>
      </c>
      <c r="J161" s="34">
        <f t="shared" si="8"/>
        <v>0</v>
      </c>
      <c r="K161" s="34">
        <f t="shared" si="9"/>
        <v>0</v>
      </c>
      <c r="L161" s="34">
        <f t="shared" si="10"/>
        <v>0</v>
      </c>
      <c r="M161" s="34">
        <f t="shared" si="11"/>
        <v>1</v>
      </c>
      <c r="N161" s="35" t="str">
        <f t="shared" si="35"/>
        <v/>
      </c>
      <c r="O161" s="40"/>
      <c r="P161" s="40"/>
      <c r="Q161" s="40"/>
      <c r="R161" s="40"/>
    </row>
    <row r="162" spans="1:18" ht="15.75" customHeight="1" x14ac:dyDescent="0.2">
      <c r="A162" s="24"/>
      <c r="B162" s="46"/>
      <c r="C162" s="46"/>
      <c r="D162" s="50" t="s">
        <v>94</v>
      </c>
      <c r="E162" s="19" t="s">
        <v>67</v>
      </c>
      <c r="F162" s="19" t="s">
        <v>29</v>
      </c>
      <c r="G162" s="19" t="s">
        <v>26</v>
      </c>
      <c r="H162" s="20" t="s">
        <v>38</v>
      </c>
      <c r="I162" s="21">
        <f t="shared" si="7"/>
        <v>0</v>
      </c>
      <c r="J162" s="21">
        <f t="shared" si="8"/>
        <v>0</v>
      </c>
      <c r="K162" s="21">
        <f t="shared" si="9"/>
        <v>0</v>
      </c>
      <c r="L162" s="21">
        <f t="shared" si="10"/>
        <v>0</v>
      </c>
      <c r="M162" s="21">
        <f t="shared" si="11"/>
        <v>1</v>
      </c>
      <c r="N162" s="22">
        <v>1</v>
      </c>
      <c r="O162" s="40"/>
      <c r="P162" s="40"/>
      <c r="Q162" s="40"/>
      <c r="R162" s="40"/>
    </row>
    <row r="163" spans="1:18" ht="15.75" customHeight="1" x14ac:dyDescent="0.2">
      <c r="A163" s="24"/>
      <c r="B163" s="46"/>
      <c r="C163" s="46"/>
      <c r="D163" s="46"/>
      <c r="E163" s="26" t="s">
        <v>68</v>
      </c>
      <c r="F163" s="26" t="s">
        <v>29</v>
      </c>
      <c r="G163" s="26" t="s">
        <v>26</v>
      </c>
      <c r="H163" s="27" t="s">
        <v>38</v>
      </c>
      <c r="I163" s="28">
        <f t="shared" si="7"/>
        <v>0</v>
      </c>
      <c r="J163" s="28">
        <f t="shared" si="8"/>
        <v>0</v>
      </c>
      <c r="K163" s="28">
        <f t="shared" si="9"/>
        <v>0</v>
      </c>
      <c r="L163" s="28">
        <f t="shared" si="10"/>
        <v>0</v>
      </c>
      <c r="M163" s="28">
        <f t="shared" si="11"/>
        <v>1</v>
      </c>
      <c r="N163" s="29" t="str">
        <f t="shared" ref="N163:N167" si="36">IF(F163="цифровой",IF(AND(F162="цифровой",OR(N162=1,N162="")),"",1),0)</f>
        <v/>
      </c>
      <c r="O163" s="40"/>
      <c r="P163" s="40"/>
      <c r="Q163" s="40"/>
      <c r="R163" s="40"/>
    </row>
    <row r="164" spans="1:18" ht="15.75" customHeight="1" x14ac:dyDescent="0.2">
      <c r="A164" s="24"/>
      <c r="B164" s="46"/>
      <c r="C164" s="46"/>
      <c r="D164" s="46"/>
      <c r="E164" s="26" t="s">
        <v>69</v>
      </c>
      <c r="F164" s="26" t="s">
        <v>29</v>
      </c>
      <c r="G164" s="26" t="s">
        <v>9</v>
      </c>
      <c r="H164" s="27" t="s">
        <v>38</v>
      </c>
      <c r="I164" s="28">
        <f t="shared" si="7"/>
        <v>0</v>
      </c>
      <c r="J164" s="28">
        <f t="shared" si="8"/>
        <v>0</v>
      </c>
      <c r="K164" s="28">
        <f t="shared" si="9"/>
        <v>0</v>
      </c>
      <c r="L164" s="28">
        <f t="shared" si="10"/>
        <v>0</v>
      </c>
      <c r="M164" s="28">
        <f t="shared" si="11"/>
        <v>1</v>
      </c>
      <c r="N164" s="29" t="str">
        <f t="shared" si="36"/>
        <v/>
      </c>
      <c r="O164" s="40"/>
      <c r="P164" s="40"/>
      <c r="Q164" s="40"/>
      <c r="R164" s="40"/>
    </row>
    <row r="165" spans="1:18" ht="15.75" customHeight="1" x14ac:dyDescent="0.2">
      <c r="A165" s="24"/>
      <c r="B165" s="46"/>
      <c r="C165" s="46"/>
      <c r="D165" s="46"/>
      <c r="E165" s="26" t="s">
        <v>70</v>
      </c>
      <c r="F165" s="26" t="s">
        <v>29</v>
      </c>
      <c r="G165" s="26" t="s">
        <v>9</v>
      </c>
      <c r="H165" s="27" t="s">
        <v>38</v>
      </c>
      <c r="I165" s="28">
        <f t="shared" si="7"/>
        <v>0</v>
      </c>
      <c r="J165" s="28">
        <f t="shared" si="8"/>
        <v>0</v>
      </c>
      <c r="K165" s="28">
        <f t="shared" si="9"/>
        <v>0</v>
      </c>
      <c r="L165" s="28">
        <f t="shared" si="10"/>
        <v>0</v>
      </c>
      <c r="M165" s="28">
        <f t="shared" si="11"/>
        <v>1</v>
      </c>
      <c r="N165" s="29" t="str">
        <f t="shared" si="36"/>
        <v/>
      </c>
      <c r="O165" s="40"/>
      <c r="P165" s="40"/>
      <c r="Q165" s="40"/>
      <c r="R165" s="40"/>
    </row>
    <row r="166" spans="1:18" ht="15.75" customHeight="1" x14ac:dyDescent="0.2">
      <c r="A166" s="24"/>
      <c r="B166" s="46"/>
      <c r="C166" s="46"/>
      <c r="D166" s="46"/>
      <c r="E166" s="26" t="s">
        <v>71</v>
      </c>
      <c r="F166" s="26" t="s">
        <v>29</v>
      </c>
      <c r="G166" s="26" t="s">
        <v>9</v>
      </c>
      <c r="H166" s="27" t="s">
        <v>38</v>
      </c>
      <c r="I166" s="28">
        <f t="shared" si="7"/>
        <v>0</v>
      </c>
      <c r="J166" s="28">
        <f t="shared" si="8"/>
        <v>0</v>
      </c>
      <c r="K166" s="28">
        <f t="shared" si="9"/>
        <v>0</v>
      </c>
      <c r="L166" s="28">
        <f t="shared" si="10"/>
        <v>0</v>
      </c>
      <c r="M166" s="28">
        <f t="shared" si="11"/>
        <v>1</v>
      </c>
      <c r="N166" s="29" t="str">
        <f t="shared" si="36"/>
        <v/>
      </c>
      <c r="O166" s="40"/>
      <c r="P166" s="40"/>
      <c r="Q166" s="40"/>
      <c r="R166" s="40"/>
    </row>
    <row r="167" spans="1:18" ht="15.75" customHeight="1" thickBot="1" x14ac:dyDescent="0.25">
      <c r="A167" s="24"/>
      <c r="B167" s="46"/>
      <c r="C167" s="46"/>
      <c r="D167" s="47"/>
      <c r="E167" s="32" t="s">
        <v>72</v>
      </c>
      <c r="F167" s="32" t="s">
        <v>29</v>
      </c>
      <c r="G167" s="32" t="s">
        <v>9</v>
      </c>
      <c r="H167" s="33" t="s">
        <v>38</v>
      </c>
      <c r="I167" s="34">
        <f t="shared" si="7"/>
        <v>0</v>
      </c>
      <c r="J167" s="34">
        <f t="shared" si="8"/>
        <v>0</v>
      </c>
      <c r="K167" s="34">
        <f t="shared" si="9"/>
        <v>0</v>
      </c>
      <c r="L167" s="34">
        <f t="shared" si="10"/>
        <v>0</v>
      </c>
      <c r="M167" s="34">
        <f t="shared" si="11"/>
        <v>1</v>
      </c>
      <c r="N167" s="35" t="str">
        <f t="shared" si="36"/>
        <v/>
      </c>
      <c r="O167" s="40"/>
      <c r="P167" s="40"/>
      <c r="Q167" s="40"/>
      <c r="R167" s="40"/>
    </row>
    <row r="168" spans="1:18" ht="15.75" customHeight="1" x14ac:dyDescent="0.2">
      <c r="A168" s="24"/>
      <c r="B168" s="46"/>
      <c r="C168" s="46"/>
      <c r="D168" s="50" t="s">
        <v>95</v>
      </c>
      <c r="E168" s="19" t="s">
        <v>67</v>
      </c>
      <c r="F168" s="19" t="s">
        <v>29</v>
      </c>
      <c r="G168" s="19" t="s">
        <v>26</v>
      </c>
      <c r="H168" s="20" t="s">
        <v>38</v>
      </c>
      <c r="I168" s="21">
        <f t="shared" si="7"/>
        <v>0</v>
      </c>
      <c r="J168" s="21">
        <f t="shared" si="8"/>
        <v>0</v>
      </c>
      <c r="K168" s="21">
        <f t="shared" si="9"/>
        <v>0</v>
      </c>
      <c r="L168" s="21">
        <f t="shared" si="10"/>
        <v>0</v>
      </c>
      <c r="M168" s="21">
        <f t="shared" si="11"/>
        <v>1</v>
      </c>
      <c r="N168" s="22">
        <v>1</v>
      </c>
      <c r="O168" s="40"/>
      <c r="P168" s="40"/>
      <c r="Q168" s="40"/>
      <c r="R168" s="40"/>
    </row>
    <row r="169" spans="1:18" ht="15.75" customHeight="1" x14ac:dyDescent="0.2">
      <c r="A169" s="24"/>
      <c r="B169" s="46"/>
      <c r="C169" s="46"/>
      <c r="D169" s="46"/>
      <c r="E169" s="26" t="s">
        <v>68</v>
      </c>
      <c r="F169" s="26" t="s">
        <v>29</v>
      </c>
      <c r="G169" s="26" t="s">
        <v>26</v>
      </c>
      <c r="H169" s="27" t="s">
        <v>38</v>
      </c>
      <c r="I169" s="28">
        <f t="shared" si="7"/>
        <v>0</v>
      </c>
      <c r="J169" s="28">
        <f t="shared" si="8"/>
        <v>0</v>
      </c>
      <c r="K169" s="28">
        <f t="shared" si="9"/>
        <v>0</v>
      </c>
      <c r="L169" s="28">
        <f t="shared" si="10"/>
        <v>0</v>
      </c>
      <c r="M169" s="28">
        <f t="shared" si="11"/>
        <v>1</v>
      </c>
      <c r="N169" s="29" t="str">
        <f t="shared" ref="N169:N173" si="37">IF(F169="цифровой",IF(AND(F168="цифровой",OR(N168=1,N168="")),"",1),0)</f>
        <v/>
      </c>
      <c r="O169" s="40"/>
      <c r="P169" s="40"/>
      <c r="Q169" s="40"/>
      <c r="R169" s="40"/>
    </row>
    <row r="170" spans="1:18" ht="15.75" customHeight="1" x14ac:dyDescent="0.2">
      <c r="A170" s="24"/>
      <c r="B170" s="46"/>
      <c r="C170" s="46"/>
      <c r="D170" s="46"/>
      <c r="E170" s="26" t="s">
        <v>69</v>
      </c>
      <c r="F170" s="26" t="s">
        <v>29</v>
      </c>
      <c r="G170" s="26" t="s">
        <v>9</v>
      </c>
      <c r="H170" s="27" t="s">
        <v>38</v>
      </c>
      <c r="I170" s="28">
        <f t="shared" si="7"/>
        <v>0</v>
      </c>
      <c r="J170" s="28">
        <f t="shared" si="8"/>
        <v>0</v>
      </c>
      <c r="K170" s="28">
        <f t="shared" si="9"/>
        <v>0</v>
      </c>
      <c r="L170" s="28">
        <f t="shared" si="10"/>
        <v>0</v>
      </c>
      <c r="M170" s="28">
        <f t="shared" si="11"/>
        <v>1</v>
      </c>
      <c r="N170" s="29" t="str">
        <f t="shared" si="37"/>
        <v/>
      </c>
      <c r="O170" s="40"/>
      <c r="P170" s="40"/>
      <c r="Q170" s="40"/>
      <c r="R170" s="40"/>
    </row>
    <row r="171" spans="1:18" ht="15.75" customHeight="1" x14ac:dyDescent="0.2">
      <c r="A171" s="24"/>
      <c r="B171" s="46"/>
      <c r="C171" s="46"/>
      <c r="D171" s="46"/>
      <c r="E171" s="26" t="s">
        <v>70</v>
      </c>
      <c r="F171" s="26" t="s">
        <v>29</v>
      </c>
      <c r="G171" s="26" t="s">
        <v>9</v>
      </c>
      <c r="H171" s="27" t="s">
        <v>38</v>
      </c>
      <c r="I171" s="28">
        <f t="shared" si="7"/>
        <v>0</v>
      </c>
      <c r="J171" s="28">
        <f t="shared" si="8"/>
        <v>0</v>
      </c>
      <c r="K171" s="28">
        <f t="shared" si="9"/>
        <v>0</v>
      </c>
      <c r="L171" s="28">
        <f t="shared" si="10"/>
        <v>0</v>
      </c>
      <c r="M171" s="28">
        <f t="shared" si="11"/>
        <v>1</v>
      </c>
      <c r="N171" s="29" t="str">
        <f t="shared" si="37"/>
        <v/>
      </c>
      <c r="O171" s="40"/>
      <c r="P171" s="40"/>
      <c r="Q171" s="40"/>
      <c r="R171" s="40"/>
    </row>
    <row r="172" spans="1:18" ht="15.75" customHeight="1" x14ac:dyDescent="0.2">
      <c r="A172" s="24"/>
      <c r="B172" s="46"/>
      <c r="C172" s="46"/>
      <c r="D172" s="46"/>
      <c r="E172" s="26" t="s">
        <v>71</v>
      </c>
      <c r="F172" s="26" t="s">
        <v>29</v>
      </c>
      <c r="G172" s="26" t="s">
        <v>9</v>
      </c>
      <c r="H172" s="27" t="s">
        <v>38</v>
      </c>
      <c r="I172" s="28">
        <f t="shared" si="7"/>
        <v>0</v>
      </c>
      <c r="J172" s="28">
        <f t="shared" si="8"/>
        <v>0</v>
      </c>
      <c r="K172" s="28">
        <f t="shared" si="9"/>
        <v>0</v>
      </c>
      <c r="L172" s="28">
        <f t="shared" si="10"/>
        <v>0</v>
      </c>
      <c r="M172" s="28">
        <f t="shared" si="11"/>
        <v>1</v>
      </c>
      <c r="N172" s="29" t="str">
        <f t="shared" si="37"/>
        <v/>
      </c>
      <c r="O172" s="40"/>
      <c r="P172" s="40"/>
      <c r="Q172" s="40"/>
      <c r="R172" s="40"/>
    </row>
    <row r="173" spans="1:18" ht="15.75" customHeight="1" thickBot="1" x14ac:dyDescent="0.25">
      <c r="A173" s="24"/>
      <c r="B173" s="46"/>
      <c r="C173" s="46"/>
      <c r="D173" s="47"/>
      <c r="E173" s="32" t="s">
        <v>72</v>
      </c>
      <c r="F173" s="32" t="s">
        <v>29</v>
      </c>
      <c r="G173" s="32" t="s">
        <v>9</v>
      </c>
      <c r="H173" s="33" t="s">
        <v>38</v>
      </c>
      <c r="I173" s="34">
        <f t="shared" si="7"/>
        <v>0</v>
      </c>
      <c r="J173" s="34">
        <f t="shared" si="8"/>
        <v>0</v>
      </c>
      <c r="K173" s="34">
        <f t="shared" si="9"/>
        <v>0</v>
      </c>
      <c r="L173" s="34">
        <f t="shared" si="10"/>
        <v>0</v>
      </c>
      <c r="M173" s="34">
        <f t="shared" si="11"/>
        <v>1</v>
      </c>
      <c r="N173" s="35" t="str">
        <f t="shared" si="37"/>
        <v/>
      </c>
      <c r="O173" s="40"/>
      <c r="P173" s="40"/>
      <c r="Q173" s="40"/>
      <c r="R173" s="40"/>
    </row>
    <row r="174" spans="1:18" ht="15.75" customHeight="1" x14ac:dyDescent="0.2">
      <c r="A174" s="24"/>
      <c r="B174" s="46"/>
      <c r="C174" s="46"/>
      <c r="D174" s="50" t="s">
        <v>96</v>
      </c>
      <c r="E174" s="19" t="s">
        <v>67</v>
      </c>
      <c r="F174" s="19" t="s">
        <v>29</v>
      </c>
      <c r="G174" s="19" t="s">
        <v>26</v>
      </c>
      <c r="H174" s="20" t="s">
        <v>38</v>
      </c>
      <c r="I174" s="21">
        <f t="shared" si="7"/>
        <v>0</v>
      </c>
      <c r="J174" s="21">
        <f t="shared" si="8"/>
        <v>0</v>
      </c>
      <c r="K174" s="21">
        <f t="shared" si="9"/>
        <v>0</v>
      </c>
      <c r="L174" s="21">
        <f t="shared" si="10"/>
        <v>0</v>
      </c>
      <c r="M174" s="21">
        <f t="shared" si="11"/>
        <v>1</v>
      </c>
      <c r="N174" s="22">
        <v>1</v>
      </c>
      <c r="O174" s="40"/>
      <c r="P174" s="40"/>
      <c r="Q174" s="40"/>
      <c r="R174" s="40"/>
    </row>
    <row r="175" spans="1:18" ht="15.75" customHeight="1" x14ac:dyDescent="0.2">
      <c r="A175" s="24"/>
      <c r="B175" s="46"/>
      <c r="C175" s="46"/>
      <c r="D175" s="46"/>
      <c r="E175" s="26" t="s">
        <v>68</v>
      </c>
      <c r="F175" s="26" t="s">
        <v>29</v>
      </c>
      <c r="G175" s="26" t="s">
        <v>26</v>
      </c>
      <c r="H175" s="27" t="s">
        <v>38</v>
      </c>
      <c r="I175" s="28">
        <f t="shared" si="7"/>
        <v>0</v>
      </c>
      <c r="J175" s="28">
        <f t="shared" si="8"/>
        <v>0</v>
      </c>
      <c r="K175" s="28">
        <f t="shared" si="9"/>
        <v>0</v>
      </c>
      <c r="L175" s="28">
        <f t="shared" si="10"/>
        <v>0</v>
      </c>
      <c r="M175" s="28">
        <f t="shared" si="11"/>
        <v>1</v>
      </c>
      <c r="N175" s="29" t="str">
        <f t="shared" ref="N175:N179" si="38">IF(F175="цифровой",IF(AND(F174="цифровой",OR(N174=1,N174="")),"",1),0)</f>
        <v/>
      </c>
      <c r="O175" s="40"/>
      <c r="P175" s="40"/>
      <c r="Q175" s="40"/>
      <c r="R175" s="40"/>
    </row>
    <row r="176" spans="1:18" ht="15.75" customHeight="1" x14ac:dyDescent="0.2">
      <c r="A176" s="24"/>
      <c r="B176" s="46"/>
      <c r="C176" s="46"/>
      <c r="D176" s="46"/>
      <c r="E176" s="26" t="s">
        <v>69</v>
      </c>
      <c r="F176" s="26" t="s">
        <v>29</v>
      </c>
      <c r="G176" s="26" t="s">
        <v>9</v>
      </c>
      <c r="H176" s="27" t="s">
        <v>38</v>
      </c>
      <c r="I176" s="28">
        <f t="shared" si="7"/>
        <v>0</v>
      </c>
      <c r="J176" s="28">
        <f t="shared" si="8"/>
        <v>0</v>
      </c>
      <c r="K176" s="28">
        <f t="shared" si="9"/>
        <v>0</v>
      </c>
      <c r="L176" s="28">
        <f t="shared" si="10"/>
        <v>0</v>
      </c>
      <c r="M176" s="28">
        <f t="shared" si="11"/>
        <v>1</v>
      </c>
      <c r="N176" s="29" t="str">
        <f t="shared" si="38"/>
        <v/>
      </c>
      <c r="O176" s="40"/>
      <c r="P176" s="40"/>
      <c r="Q176" s="40"/>
      <c r="R176" s="40"/>
    </row>
    <row r="177" spans="1:18" ht="15.75" customHeight="1" x14ac:dyDescent="0.2">
      <c r="A177" s="24"/>
      <c r="B177" s="46"/>
      <c r="C177" s="46"/>
      <c r="D177" s="46"/>
      <c r="E177" s="26" t="s">
        <v>70</v>
      </c>
      <c r="F177" s="26" t="s">
        <v>29</v>
      </c>
      <c r="G177" s="26" t="s">
        <v>9</v>
      </c>
      <c r="H177" s="27" t="s">
        <v>38</v>
      </c>
      <c r="I177" s="28">
        <f t="shared" si="7"/>
        <v>0</v>
      </c>
      <c r="J177" s="28">
        <f t="shared" si="8"/>
        <v>0</v>
      </c>
      <c r="K177" s="28">
        <f t="shared" si="9"/>
        <v>0</v>
      </c>
      <c r="L177" s="28">
        <f t="shared" si="10"/>
        <v>0</v>
      </c>
      <c r="M177" s="28">
        <f t="shared" si="11"/>
        <v>1</v>
      </c>
      <c r="N177" s="29" t="str">
        <f t="shared" si="38"/>
        <v/>
      </c>
      <c r="O177" s="40"/>
      <c r="P177" s="40"/>
      <c r="Q177" s="40"/>
      <c r="R177" s="40"/>
    </row>
    <row r="178" spans="1:18" ht="15.75" customHeight="1" x14ac:dyDescent="0.2">
      <c r="A178" s="24"/>
      <c r="B178" s="46"/>
      <c r="C178" s="46"/>
      <c r="D178" s="46"/>
      <c r="E178" s="26" t="s">
        <v>71</v>
      </c>
      <c r="F178" s="26" t="s">
        <v>29</v>
      </c>
      <c r="G178" s="26" t="s">
        <v>9</v>
      </c>
      <c r="H178" s="27" t="s">
        <v>38</v>
      </c>
      <c r="I178" s="28">
        <f t="shared" si="7"/>
        <v>0</v>
      </c>
      <c r="J178" s="28">
        <f t="shared" si="8"/>
        <v>0</v>
      </c>
      <c r="K178" s="28">
        <f t="shared" si="9"/>
        <v>0</v>
      </c>
      <c r="L178" s="28">
        <f t="shared" si="10"/>
        <v>0</v>
      </c>
      <c r="M178" s="28">
        <f t="shared" si="11"/>
        <v>1</v>
      </c>
      <c r="N178" s="29" t="str">
        <f t="shared" si="38"/>
        <v/>
      </c>
      <c r="O178" s="40"/>
      <c r="P178" s="40"/>
      <c r="Q178" s="40"/>
      <c r="R178" s="40"/>
    </row>
    <row r="179" spans="1:18" ht="15.75" customHeight="1" thickBot="1" x14ac:dyDescent="0.25">
      <c r="A179" s="24"/>
      <c r="B179" s="46"/>
      <c r="C179" s="46"/>
      <c r="D179" s="47"/>
      <c r="E179" s="32" t="s">
        <v>72</v>
      </c>
      <c r="F179" s="32" t="s">
        <v>29</v>
      </c>
      <c r="G179" s="32" t="s">
        <v>9</v>
      </c>
      <c r="H179" s="33" t="s">
        <v>38</v>
      </c>
      <c r="I179" s="34">
        <f t="shared" si="7"/>
        <v>0</v>
      </c>
      <c r="J179" s="34">
        <f t="shared" si="8"/>
        <v>0</v>
      </c>
      <c r="K179" s="34">
        <f t="shared" si="9"/>
        <v>0</v>
      </c>
      <c r="L179" s="34">
        <f t="shared" si="10"/>
        <v>0</v>
      </c>
      <c r="M179" s="34">
        <f t="shared" si="11"/>
        <v>1</v>
      </c>
      <c r="N179" s="35" t="str">
        <f t="shared" si="38"/>
        <v/>
      </c>
      <c r="O179" s="40"/>
      <c r="P179" s="40"/>
      <c r="Q179" s="40"/>
      <c r="R179" s="40"/>
    </row>
    <row r="180" spans="1:18" ht="15.75" customHeight="1" x14ac:dyDescent="0.2">
      <c r="A180" s="24"/>
      <c r="B180" s="46"/>
      <c r="C180" s="46"/>
      <c r="D180" s="50" t="s">
        <v>97</v>
      </c>
      <c r="E180" s="19" t="s">
        <v>67</v>
      </c>
      <c r="F180" s="19" t="s">
        <v>29</v>
      </c>
      <c r="G180" s="19" t="s">
        <v>26</v>
      </c>
      <c r="H180" s="20" t="s">
        <v>38</v>
      </c>
      <c r="I180" s="21">
        <f t="shared" si="7"/>
        <v>0</v>
      </c>
      <c r="J180" s="21">
        <f t="shared" si="8"/>
        <v>0</v>
      </c>
      <c r="K180" s="21">
        <f t="shared" si="9"/>
        <v>0</v>
      </c>
      <c r="L180" s="21">
        <f t="shared" si="10"/>
        <v>0</v>
      </c>
      <c r="M180" s="21">
        <f t="shared" si="11"/>
        <v>1</v>
      </c>
      <c r="N180" s="22">
        <v>1</v>
      </c>
      <c r="O180" s="40"/>
      <c r="P180" s="40"/>
      <c r="Q180" s="40"/>
      <c r="R180" s="40"/>
    </row>
    <row r="181" spans="1:18" ht="15.75" customHeight="1" x14ac:dyDescent="0.2">
      <c r="A181" s="24"/>
      <c r="B181" s="46"/>
      <c r="C181" s="46"/>
      <c r="D181" s="46"/>
      <c r="E181" s="26" t="s">
        <v>68</v>
      </c>
      <c r="F181" s="26" t="s">
        <v>29</v>
      </c>
      <c r="G181" s="26" t="s">
        <v>26</v>
      </c>
      <c r="H181" s="27" t="s">
        <v>38</v>
      </c>
      <c r="I181" s="28">
        <f t="shared" si="7"/>
        <v>0</v>
      </c>
      <c r="J181" s="28">
        <f t="shared" si="8"/>
        <v>0</v>
      </c>
      <c r="K181" s="28">
        <f t="shared" si="9"/>
        <v>0</v>
      </c>
      <c r="L181" s="28">
        <f t="shared" si="10"/>
        <v>0</v>
      </c>
      <c r="M181" s="28">
        <f t="shared" si="11"/>
        <v>1</v>
      </c>
      <c r="N181" s="29" t="str">
        <f t="shared" ref="N181:N185" si="39">IF(F181="цифровой",IF(AND(F180="цифровой",OR(N180=1,N180="")),"",1),0)</f>
        <v/>
      </c>
      <c r="O181" s="40"/>
      <c r="P181" s="40"/>
      <c r="Q181" s="40"/>
      <c r="R181" s="40"/>
    </row>
    <row r="182" spans="1:18" ht="15.75" customHeight="1" x14ac:dyDescent="0.2">
      <c r="A182" s="24"/>
      <c r="B182" s="46"/>
      <c r="C182" s="46"/>
      <c r="D182" s="46"/>
      <c r="E182" s="26" t="s">
        <v>69</v>
      </c>
      <c r="F182" s="26" t="s">
        <v>29</v>
      </c>
      <c r="G182" s="26" t="s">
        <v>9</v>
      </c>
      <c r="H182" s="27" t="s">
        <v>38</v>
      </c>
      <c r="I182" s="28">
        <f t="shared" si="7"/>
        <v>0</v>
      </c>
      <c r="J182" s="28">
        <f t="shared" si="8"/>
        <v>0</v>
      </c>
      <c r="K182" s="28">
        <f t="shared" si="9"/>
        <v>0</v>
      </c>
      <c r="L182" s="28">
        <f t="shared" si="10"/>
        <v>0</v>
      </c>
      <c r="M182" s="28">
        <f t="shared" si="11"/>
        <v>1</v>
      </c>
      <c r="N182" s="29" t="str">
        <f t="shared" si="39"/>
        <v/>
      </c>
      <c r="O182" s="40"/>
      <c r="P182" s="40"/>
      <c r="Q182" s="40"/>
      <c r="R182" s="40"/>
    </row>
    <row r="183" spans="1:18" ht="15.75" customHeight="1" x14ac:dyDescent="0.2">
      <c r="A183" s="24"/>
      <c r="B183" s="46"/>
      <c r="C183" s="46"/>
      <c r="D183" s="46"/>
      <c r="E183" s="26" t="s">
        <v>70</v>
      </c>
      <c r="F183" s="26" t="s">
        <v>29</v>
      </c>
      <c r="G183" s="26" t="s">
        <v>9</v>
      </c>
      <c r="H183" s="27" t="s">
        <v>38</v>
      </c>
      <c r="I183" s="28">
        <f t="shared" si="7"/>
        <v>0</v>
      </c>
      <c r="J183" s="28">
        <f t="shared" si="8"/>
        <v>0</v>
      </c>
      <c r="K183" s="28">
        <f t="shared" si="9"/>
        <v>0</v>
      </c>
      <c r="L183" s="28">
        <f t="shared" si="10"/>
        <v>0</v>
      </c>
      <c r="M183" s="28">
        <f t="shared" si="11"/>
        <v>1</v>
      </c>
      <c r="N183" s="29" t="str">
        <f t="shared" si="39"/>
        <v/>
      </c>
      <c r="O183" s="40"/>
      <c r="P183" s="40"/>
      <c r="Q183" s="40"/>
      <c r="R183" s="40"/>
    </row>
    <row r="184" spans="1:18" ht="15.75" customHeight="1" x14ac:dyDescent="0.2">
      <c r="A184" s="24"/>
      <c r="B184" s="46"/>
      <c r="C184" s="46"/>
      <c r="D184" s="46"/>
      <c r="E184" s="26" t="s">
        <v>71</v>
      </c>
      <c r="F184" s="26" t="s">
        <v>29</v>
      </c>
      <c r="G184" s="26" t="s">
        <v>9</v>
      </c>
      <c r="H184" s="27" t="s">
        <v>38</v>
      </c>
      <c r="I184" s="28">
        <f t="shared" si="7"/>
        <v>0</v>
      </c>
      <c r="J184" s="28">
        <f t="shared" si="8"/>
        <v>0</v>
      </c>
      <c r="K184" s="28">
        <f t="shared" si="9"/>
        <v>0</v>
      </c>
      <c r="L184" s="28">
        <f t="shared" si="10"/>
        <v>0</v>
      </c>
      <c r="M184" s="28">
        <f t="shared" si="11"/>
        <v>1</v>
      </c>
      <c r="N184" s="29" t="str">
        <f t="shared" si="39"/>
        <v/>
      </c>
      <c r="O184" s="40"/>
      <c r="P184" s="40"/>
      <c r="Q184" s="40"/>
      <c r="R184" s="40"/>
    </row>
    <row r="185" spans="1:18" ht="15.75" customHeight="1" thickBot="1" x14ac:dyDescent="0.25">
      <c r="A185" s="24"/>
      <c r="B185" s="46"/>
      <c r="C185" s="46"/>
      <c r="D185" s="47"/>
      <c r="E185" s="32" t="s">
        <v>72</v>
      </c>
      <c r="F185" s="32" t="s">
        <v>29</v>
      </c>
      <c r="G185" s="32" t="s">
        <v>9</v>
      </c>
      <c r="H185" s="33" t="s">
        <v>38</v>
      </c>
      <c r="I185" s="34">
        <f t="shared" si="7"/>
        <v>0</v>
      </c>
      <c r="J185" s="34">
        <f t="shared" si="8"/>
        <v>0</v>
      </c>
      <c r="K185" s="34">
        <f t="shared" si="9"/>
        <v>0</v>
      </c>
      <c r="L185" s="34">
        <f t="shared" si="10"/>
        <v>0</v>
      </c>
      <c r="M185" s="34">
        <f t="shared" si="11"/>
        <v>1</v>
      </c>
      <c r="N185" s="35" t="str">
        <f t="shared" si="39"/>
        <v/>
      </c>
      <c r="O185" s="40"/>
      <c r="P185" s="40"/>
      <c r="Q185" s="40"/>
      <c r="R185" s="40"/>
    </row>
    <row r="186" spans="1:18" ht="15.75" customHeight="1" x14ac:dyDescent="0.2">
      <c r="A186" s="24"/>
      <c r="B186" s="46"/>
      <c r="C186" s="46"/>
      <c r="D186" s="50" t="s">
        <v>98</v>
      </c>
      <c r="E186" s="19" t="s">
        <v>67</v>
      </c>
      <c r="F186" s="19" t="s">
        <v>29</v>
      </c>
      <c r="G186" s="19" t="s">
        <v>26</v>
      </c>
      <c r="H186" s="20" t="s">
        <v>38</v>
      </c>
      <c r="I186" s="21">
        <f t="shared" si="7"/>
        <v>0</v>
      </c>
      <c r="J186" s="21">
        <f t="shared" si="8"/>
        <v>0</v>
      </c>
      <c r="K186" s="21">
        <f t="shared" si="9"/>
        <v>0</v>
      </c>
      <c r="L186" s="21">
        <f t="shared" si="10"/>
        <v>0</v>
      </c>
      <c r="M186" s="21">
        <f t="shared" si="11"/>
        <v>1</v>
      </c>
      <c r="N186" s="22">
        <v>1</v>
      </c>
      <c r="O186" s="40"/>
      <c r="P186" s="40"/>
      <c r="Q186" s="40"/>
      <c r="R186" s="40"/>
    </row>
    <row r="187" spans="1:18" ht="15.75" customHeight="1" x14ac:dyDescent="0.2">
      <c r="A187" s="24"/>
      <c r="B187" s="46"/>
      <c r="C187" s="46"/>
      <c r="D187" s="46"/>
      <c r="E187" s="26" t="s">
        <v>68</v>
      </c>
      <c r="F187" s="26" t="s">
        <v>29</v>
      </c>
      <c r="G187" s="26" t="s">
        <v>26</v>
      </c>
      <c r="H187" s="27" t="s">
        <v>38</v>
      </c>
      <c r="I187" s="28">
        <f t="shared" si="7"/>
        <v>0</v>
      </c>
      <c r="J187" s="28">
        <f t="shared" si="8"/>
        <v>0</v>
      </c>
      <c r="K187" s="28">
        <f t="shared" si="9"/>
        <v>0</v>
      </c>
      <c r="L187" s="28">
        <f t="shared" si="10"/>
        <v>0</v>
      </c>
      <c r="M187" s="28">
        <f t="shared" si="11"/>
        <v>1</v>
      </c>
      <c r="N187" s="29" t="str">
        <f t="shared" ref="N187:N191" si="40">IF(F187="цифровой",IF(AND(F186="цифровой",OR(N186=1,N186="")),"",1),0)</f>
        <v/>
      </c>
      <c r="O187" s="40"/>
      <c r="P187" s="40"/>
      <c r="Q187" s="40"/>
      <c r="R187" s="40"/>
    </row>
    <row r="188" spans="1:18" ht="15.75" customHeight="1" x14ac:dyDescent="0.2">
      <c r="A188" s="24"/>
      <c r="B188" s="46"/>
      <c r="C188" s="46"/>
      <c r="D188" s="46"/>
      <c r="E188" s="26" t="s">
        <v>69</v>
      </c>
      <c r="F188" s="26" t="s">
        <v>29</v>
      </c>
      <c r="G188" s="26" t="s">
        <v>9</v>
      </c>
      <c r="H188" s="27" t="s">
        <v>38</v>
      </c>
      <c r="I188" s="28">
        <f t="shared" si="7"/>
        <v>0</v>
      </c>
      <c r="J188" s="28">
        <f t="shared" si="8"/>
        <v>0</v>
      </c>
      <c r="K188" s="28">
        <f t="shared" si="9"/>
        <v>0</v>
      </c>
      <c r="L188" s="28">
        <f t="shared" si="10"/>
        <v>0</v>
      </c>
      <c r="M188" s="28">
        <f t="shared" si="11"/>
        <v>1</v>
      </c>
      <c r="N188" s="29" t="str">
        <f t="shared" si="40"/>
        <v/>
      </c>
      <c r="O188" s="40"/>
      <c r="P188" s="40"/>
      <c r="Q188" s="40"/>
      <c r="R188" s="40"/>
    </row>
    <row r="189" spans="1:18" ht="15.75" customHeight="1" x14ac:dyDescent="0.2">
      <c r="A189" s="24"/>
      <c r="B189" s="46"/>
      <c r="C189" s="46"/>
      <c r="D189" s="46"/>
      <c r="E189" s="26" t="s">
        <v>70</v>
      </c>
      <c r="F189" s="26" t="s">
        <v>29</v>
      </c>
      <c r="G189" s="26" t="s">
        <v>9</v>
      </c>
      <c r="H189" s="27" t="s">
        <v>38</v>
      </c>
      <c r="I189" s="28">
        <f t="shared" si="7"/>
        <v>0</v>
      </c>
      <c r="J189" s="28">
        <f t="shared" si="8"/>
        <v>0</v>
      </c>
      <c r="K189" s="28">
        <f t="shared" si="9"/>
        <v>0</v>
      </c>
      <c r="L189" s="28">
        <f t="shared" si="10"/>
        <v>0</v>
      </c>
      <c r="M189" s="28">
        <f t="shared" si="11"/>
        <v>1</v>
      </c>
      <c r="N189" s="29" t="str">
        <f t="shared" si="40"/>
        <v/>
      </c>
      <c r="O189" s="40"/>
      <c r="P189" s="40"/>
      <c r="Q189" s="40"/>
      <c r="R189" s="40"/>
    </row>
    <row r="190" spans="1:18" ht="15.75" customHeight="1" x14ac:dyDescent="0.2">
      <c r="A190" s="24"/>
      <c r="B190" s="46"/>
      <c r="C190" s="46"/>
      <c r="D190" s="46"/>
      <c r="E190" s="26" t="s">
        <v>71</v>
      </c>
      <c r="F190" s="26" t="s">
        <v>29</v>
      </c>
      <c r="G190" s="26" t="s">
        <v>9</v>
      </c>
      <c r="H190" s="27" t="s">
        <v>38</v>
      </c>
      <c r="I190" s="28">
        <f t="shared" si="7"/>
        <v>0</v>
      </c>
      <c r="J190" s="28">
        <f t="shared" si="8"/>
        <v>0</v>
      </c>
      <c r="K190" s="28">
        <f t="shared" si="9"/>
        <v>0</v>
      </c>
      <c r="L190" s="28">
        <f t="shared" si="10"/>
        <v>0</v>
      </c>
      <c r="M190" s="28">
        <f t="shared" si="11"/>
        <v>1</v>
      </c>
      <c r="N190" s="29" t="str">
        <f t="shared" si="40"/>
        <v/>
      </c>
      <c r="O190" s="40"/>
      <c r="P190" s="40"/>
      <c r="Q190" s="40"/>
      <c r="R190" s="40"/>
    </row>
    <row r="191" spans="1:18" ht="15.75" customHeight="1" thickBot="1" x14ac:dyDescent="0.25">
      <c r="A191" s="24"/>
      <c r="B191" s="46"/>
      <c r="C191" s="46"/>
      <c r="D191" s="47"/>
      <c r="E191" s="32" t="s">
        <v>72</v>
      </c>
      <c r="F191" s="32" t="s">
        <v>29</v>
      </c>
      <c r="G191" s="32" t="s">
        <v>9</v>
      </c>
      <c r="H191" s="33" t="s">
        <v>38</v>
      </c>
      <c r="I191" s="34">
        <f t="shared" si="7"/>
        <v>0</v>
      </c>
      <c r="J191" s="34">
        <f t="shared" si="8"/>
        <v>0</v>
      </c>
      <c r="K191" s="34">
        <f t="shared" si="9"/>
        <v>0</v>
      </c>
      <c r="L191" s="34">
        <f t="shared" si="10"/>
        <v>0</v>
      </c>
      <c r="M191" s="34">
        <f t="shared" si="11"/>
        <v>1</v>
      </c>
      <c r="N191" s="35" t="str">
        <f t="shared" si="40"/>
        <v/>
      </c>
      <c r="O191" s="40"/>
      <c r="P191" s="40"/>
      <c r="Q191" s="40"/>
      <c r="R191" s="40"/>
    </row>
    <row r="192" spans="1:18" ht="15.75" customHeight="1" x14ac:dyDescent="0.2">
      <c r="A192" s="24"/>
      <c r="B192" s="46"/>
      <c r="C192" s="46"/>
      <c r="D192" s="50" t="s">
        <v>99</v>
      </c>
      <c r="E192" s="19" t="s">
        <v>67</v>
      </c>
      <c r="F192" s="19" t="s">
        <v>29</v>
      </c>
      <c r="G192" s="19" t="s">
        <v>26</v>
      </c>
      <c r="H192" s="20" t="s">
        <v>38</v>
      </c>
      <c r="I192" s="21">
        <f t="shared" si="7"/>
        <v>0</v>
      </c>
      <c r="J192" s="21">
        <f t="shared" si="8"/>
        <v>0</v>
      </c>
      <c r="K192" s="21">
        <f t="shared" si="9"/>
        <v>0</v>
      </c>
      <c r="L192" s="21">
        <f t="shared" si="10"/>
        <v>0</v>
      </c>
      <c r="M192" s="21">
        <f t="shared" si="11"/>
        <v>1</v>
      </c>
      <c r="N192" s="22">
        <v>1</v>
      </c>
      <c r="O192" s="40"/>
      <c r="P192" s="40"/>
      <c r="Q192" s="40"/>
      <c r="R192" s="40"/>
    </row>
    <row r="193" spans="1:18" ht="15.75" customHeight="1" x14ac:dyDescent="0.2">
      <c r="A193" s="24"/>
      <c r="B193" s="46"/>
      <c r="C193" s="46"/>
      <c r="D193" s="46"/>
      <c r="E193" s="26" t="s">
        <v>68</v>
      </c>
      <c r="F193" s="26" t="s">
        <v>29</v>
      </c>
      <c r="G193" s="26" t="s">
        <v>26</v>
      </c>
      <c r="H193" s="27" t="s">
        <v>38</v>
      </c>
      <c r="I193" s="28">
        <f t="shared" si="7"/>
        <v>0</v>
      </c>
      <c r="J193" s="28">
        <f t="shared" si="8"/>
        <v>0</v>
      </c>
      <c r="K193" s="28">
        <f t="shared" si="9"/>
        <v>0</v>
      </c>
      <c r="L193" s="28">
        <f t="shared" si="10"/>
        <v>0</v>
      </c>
      <c r="M193" s="28">
        <f t="shared" si="11"/>
        <v>1</v>
      </c>
      <c r="N193" s="29" t="str">
        <f t="shared" ref="N193:N197" si="41">IF(F193="цифровой",IF(AND(F192="цифровой",OR(N192=1,N192="")),"",1),0)</f>
        <v/>
      </c>
      <c r="O193" s="40"/>
      <c r="P193" s="40"/>
      <c r="Q193" s="40"/>
      <c r="R193" s="40"/>
    </row>
    <row r="194" spans="1:18" ht="15.75" customHeight="1" x14ac:dyDescent="0.2">
      <c r="A194" s="24"/>
      <c r="B194" s="46"/>
      <c r="C194" s="46"/>
      <c r="D194" s="46"/>
      <c r="E194" s="26" t="s">
        <v>69</v>
      </c>
      <c r="F194" s="26" t="s">
        <v>29</v>
      </c>
      <c r="G194" s="26" t="s">
        <v>9</v>
      </c>
      <c r="H194" s="27" t="s">
        <v>38</v>
      </c>
      <c r="I194" s="28">
        <f t="shared" si="7"/>
        <v>0</v>
      </c>
      <c r="J194" s="28">
        <f t="shared" si="8"/>
        <v>0</v>
      </c>
      <c r="K194" s="28">
        <f t="shared" si="9"/>
        <v>0</v>
      </c>
      <c r="L194" s="28">
        <f t="shared" si="10"/>
        <v>0</v>
      </c>
      <c r="M194" s="28">
        <f t="shared" si="11"/>
        <v>1</v>
      </c>
      <c r="N194" s="29" t="str">
        <f t="shared" si="41"/>
        <v/>
      </c>
      <c r="O194" s="40"/>
      <c r="P194" s="40"/>
      <c r="Q194" s="40"/>
      <c r="R194" s="40"/>
    </row>
    <row r="195" spans="1:18" ht="15.75" customHeight="1" x14ac:dyDescent="0.2">
      <c r="A195" s="24"/>
      <c r="B195" s="46"/>
      <c r="C195" s="46"/>
      <c r="D195" s="46"/>
      <c r="E195" s="26" t="s">
        <v>70</v>
      </c>
      <c r="F195" s="26" t="s">
        <v>29</v>
      </c>
      <c r="G195" s="26" t="s">
        <v>9</v>
      </c>
      <c r="H195" s="27" t="s">
        <v>38</v>
      </c>
      <c r="I195" s="28">
        <f t="shared" si="7"/>
        <v>0</v>
      </c>
      <c r="J195" s="28">
        <f t="shared" si="8"/>
        <v>0</v>
      </c>
      <c r="K195" s="28">
        <f t="shared" si="9"/>
        <v>0</v>
      </c>
      <c r="L195" s="28">
        <f t="shared" si="10"/>
        <v>0</v>
      </c>
      <c r="M195" s="28">
        <f t="shared" si="11"/>
        <v>1</v>
      </c>
      <c r="N195" s="29" t="str">
        <f t="shared" si="41"/>
        <v/>
      </c>
      <c r="O195" s="40"/>
      <c r="P195" s="40"/>
      <c r="Q195" s="40"/>
      <c r="R195" s="40"/>
    </row>
    <row r="196" spans="1:18" ht="15.75" customHeight="1" x14ac:dyDescent="0.2">
      <c r="A196" s="24"/>
      <c r="B196" s="46"/>
      <c r="C196" s="46"/>
      <c r="D196" s="46"/>
      <c r="E196" s="26" t="s">
        <v>71</v>
      </c>
      <c r="F196" s="26" t="s">
        <v>29</v>
      </c>
      <c r="G196" s="26" t="s">
        <v>9</v>
      </c>
      <c r="H196" s="27" t="s">
        <v>38</v>
      </c>
      <c r="I196" s="28">
        <f t="shared" si="7"/>
        <v>0</v>
      </c>
      <c r="J196" s="28">
        <f t="shared" si="8"/>
        <v>0</v>
      </c>
      <c r="K196" s="28">
        <f t="shared" si="9"/>
        <v>0</v>
      </c>
      <c r="L196" s="28">
        <f t="shared" si="10"/>
        <v>0</v>
      </c>
      <c r="M196" s="28">
        <f t="shared" si="11"/>
        <v>1</v>
      </c>
      <c r="N196" s="29" t="str">
        <f t="shared" si="41"/>
        <v/>
      </c>
      <c r="O196" s="40"/>
      <c r="P196" s="40"/>
      <c r="Q196" s="40"/>
      <c r="R196" s="40"/>
    </row>
    <row r="197" spans="1:18" ht="15.75" customHeight="1" thickBot="1" x14ac:dyDescent="0.25">
      <c r="A197" s="24"/>
      <c r="B197" s="46"/>
      <c r="C197" s="46"/>
      <c r="D197" s="47"/>
      <c r="E197" s="32" t="s">
        <v>72</v>
      </c>
      <c r="F197" s="32" t="s">
        <v>29</v>
      </c>
      <c r="G197" s="32" t="s">
        <v>9</v>
      </c>
      <c r="H197" s="33" t="s">
        <v>38</v>
      </c>
      <c r="I197" s="34">
        <f t="shared" si="7"/>
        <v>0</v>
      </c>
      <c r="J197" s="34">
        <f t="shared" si="8"/>
        <v>0</v>
      </c>
      <c r="K197" s="34">
        <f t="shared" si="9"/>
        <v>0</v>
      </c>
      <c r="L197" s="34">
        <f t="shared" si="10"/>
        <v>0</v>
      </c>
      <c r="M197" s="34">
        <f t="shared" si="11"/>
        <v>1</v>
      </c>
      <c r="N197" s="35" t="str">
        <f t="shared" si="41"/>
        <v/>
      </c>
      <c r="O197" s="40"/>
      <c r="P197" s="40"/>
      <c r="Q197" s="40"/>
      <c r="R197" s="40"/>
    </row>
    <row r="198" spans="1:18" ht="15.75" customHeight="1" x14ac:dyDescent="0.2">
      <c r="A198" s="24"/>
      <c r="B198" s="46"/>
      <c r="C198" s="46"/>
      <c r="D198" s="51" t="s">
        <v>100</v>
      </c>
      <c r="E198" s="36" t="s">
        <v>67</v>
      </c>
      <c r="F198" s="36" t="s">
        <v>29</v>
      </c>
      <c r="G198" s="36" t="s">
        <v>26</v>
      </c>
      <c r="H198" s="37" t="s">
        <v>38</v>
      </c>
      <c r="I198" s="38">
        <f t="shared" si="7"/>
        <v>0</v>
      </c>
      <c r="J198" s="38">
        <f t="shared" si="8"/>
        <v>0</v>
      </c>
      <c r="K198" s="38">
        <f t="shared" si="9"/>
        <v>0</v>
      </c>
      <c r="L198" s="38">
        <f t="shared" si="10"/>
        <v>0</v>
      </c>
      <c r="M198" s="38">
        <f t="shared" si="11"/>
        <v>1</v>
      </c>
      <c r="N198" s="39">
        <v>1</v>
      </c>
      <c r="O198" s="40"/>
      <c r="P198" s="40"/>
      <c r="Q198" s="40"/>
      <c r="R198" s="40"/>
    </row>
    <row r="199" spans="1:18" ht="15.75" customHeight="1" x14ac:dyDescent="0.2">
      <c r="A199" s="24"/>
      <c r="B199" s="46"/>
      <c r="C199" s="46"/>
      <c r="D199" s="46"/>
      <c r="E199" s="26" t="s">
        <v>68</v>
      </c>
      <c r="F199" s="26" t="s">
        <v>29</v>
      </c>
      <c r="G199" s="26" t="s">
        <v>26</v>
      </c>
      <c r="H199" s="27" t="s">
        <v>38</v>
      </c>
      <c r="I199" s="28">
        <f t="shared" si="7"/>
        <v>0</v>
      </c>
      <c r="J199" s="28">
        <f t="shared" si="8"/>
        <v>0</v>
      </c>
      <c r="K199" s="28">
        <f t="shared" si="9"/>
        <v>0</v>
      </c>
      <c r="L199" s="28">
        <f t="shared" si="10"/>
        <v>0</v>
      </c>
      <c r="M199" s="28">
        <f t="shared" si="11"/>
        <v>1</v>
      </c>
      <c r="N199" s="29" t="str">
        <f t="shared" ref="N199:N203" si="42">IF(F199="цифровой",IF(AND(F198="цифровой",OR(N198=1,N198="")),"",1),0)</f>
        <v/>
      </c>
      <c r="O199" s="40"/>
      <c r="P199" s="40"/>
      <c r="Q199" s="40"/>
      <c r="R199" s="40"/>
    </row>
    <row r="200" spans="1:18" ht="15.75" customHeight="1" x14ac:dyDescent="0.2">
      <c r="A200" s="24"/>
      <c r="B200" s="46"/>
      <c r="C200" s="46"/>
      <c r="D200" s="46"/>
      <c r="E200" s="26" t="s">
        <v>69</v>
      </c>
      <c r="F200" s="26" t="s">
        <v>29</v>
      </c>
      <c r="G200" s="26" t="s">
        <v>9</v>
      </c>
      <c r="H200" s="27" t="s">
        <v>38</v>
      </c>
      <c r="I200" s="28">
        <f t="shared" si="7"/>
        <v>0</v>
      </c>
      <c r="J200" s="28">
        <f t="shared" si="8"/>
        <v>0</v>
      </c>
      <c r="K200" s="28">
        <f t="shared" si="9"/>
        <v>0</v>
      </c>
      <c r="L200" s="28">
        <f t="shared" si="10"/>
        <v>0</v>
      </c>
      <c r="M200" s="28">
        <f t="shared" si="11"/>
        <v>1</v>
      </c>
      <c r="N200" s="29" t="str">
        <f t="shared" si="42"/>
        <v/>
      </c>
      <c r="O200" s="40"/>
      <c r="P200" s="40"/>
      <c r="Q200" s="40"/>
      <c r="R200" s="40"/>
    </row>
    <row r="201" spans="1:18" ht="15.75" customHeight="1" x14ac:dyDescent="0.2">
      <c r="A201" s="24"/>
      <c r="B201" s="46"/>
      <c r="C201" s="46"/>
      <c r="D201" s="46"/>
      <c r="E201" s="26" t="s">
        <v>70</v>
      </c>
      <c r="F201" s="26" t="s">
        <v>29</v>
      </c>
      <c r="G201" s="26" t="s">
        <v>9</v>
      </c>
      <c r="H201" s="27" t="s">
        <v>38</v>
      </c>
      <c r="I201" s="28">
        <f t="shared" si="7"/>
        <v>0</v>
      </c>
      <c r="J201" s="28">
        <f t="shared" si="8"/>
        <v>0</v>
      </c>
      <c r="K201" s="28">
        <f t="shared" si="9"/>
        <v>0</v>
      </c>
      <c r="L201" s="28">
        <f t="shared" si="10"/>
        <v>0</v>
      </c>
      <c r="M201" s="28">
        <f t="shared" si="11"/>
        <v>1</v>
      </c>
      <c r="N201" s="29" t="str">
        <f t="shared" si="42"/>
        <v/>
      </c>
      <c r="O201" s="40"/>
      <c r="P201" s="40"/>
      <c r="Q201" s="40"/>
      <c r="R201" s="40"/>
    </row>
    <row r="202" spans="1:18" ht="15.75" customHeight="1" x14ac:dyDescent="0.2">
      <c r="A202" s="24"/>
      <c r="B202" s="46"/>
      <c r="C202" s="46"/>
      <c r="D202" s="46"/>
      <c r="E202" s="26" t="s">
        <v>71</v>
      </c>
      <c r="F202" s="26" t="s">
        <v>29</v>
      </c>
      <c r="G202" s="26" t="s">
        <v>9</v>
      </c>
      <c r="H202" s="27" t="s">
        <v>38</v>
      </c>
      <c r="I202" s="28">
        <f t="shared" si="7"/>
        <v>0</v>
      </c>
      <c r="J202" s="28">
        <f t="shared" si="8"/>
        <v>0</v>
      </c>
      <c r="K202" s="28">
        <f t="shared" si="9"/>
        <v>0</v>
      </c>
      <c r="L202" s="28">
        <f t="shared" si="10"/>
        <v>0</v>
      </c>
      <c r="M202" s="28">
        <f t="shared" si="11"/>
        <v>1</v>
      </c>
      <c r="N202" s="29" t="str">
        <f t="shared" si="42"/>
        <v/>
      </c>
      <c r="O202" s="40"/>
      <c r="P202" s="40"/>
      <c r="Q202" s="40"/>
      <c r="R202" s="40"/>
    </row>
    <row r="203" spans="1:18" ht="15.75" customHeight="1" thickBot="1" x14ac:dyDescent="0.25">
      <c r="A203" s="30"/>
      <c r="B203" s="47"/>
      <c r="C203" s="47"/>
      <c r="D203" s="47"/>
      <c r="E203" s="32" t="s">
        <v>72</v>
      </c>
      <c r="F203" s="32" t="s">
        <v>29</v>
      </c>
      <c r="G203" s="32" t="s">
        <v>9</v>
      </c>
      <c r="H203" s="33" t="s">
        <v>38</v>
      </c>
      <c r="I203" s="34">
        <f t="shared" si="7"/>
        <v>0</v>
      </c>
      <c r="J203" s="34">
        <f t="shared" si="8"/>
        <v>0</v>
      </c>
      <c r="K203" s="34">
        <f t="shared" si="9"/>
        <v>0</v>
      </c>
      <c r="L203" s="34">
        <f t="shared" si="10"/>
        <v>0</v>
      </c>
      <c r="M203" s="34">
        <f t="shared" si="11"/>
        <v>1</v>
      </c>
      <c r="N203" s="35" t="str">
        <f t="shared" si="42"/>
        <v/>
      </c>
      <c r="O203" s="40"/>
      <c r="P203" s="40"/>
      <c r="Q203" s="40"/>
      <c r="R203" s="40"/>
    </row>
    <row r="204" spans="1:18" ht="15.75" customHeight="1" x14ac:dyDescent="0.2">
      <c r="A204" s="17"/>
      <c r="B204" s="49" t="s">
        <v>35</v>
      </c>
      <c r="C204" s="48" t="s">
        <v>101</v>
      </c>
      <c r="D204" s="50" t="s">
        <v>102</v>
      </c>
      <c r="E204" s="20" t="s">
        <v>54</v>
      </c>
      <c r="F204" s="19" t="s">
        <v>25</v>
      </c>
      <c r="G204" s="19" t="s">
        <v>9</v>
      </c>
      <c r="H204" s="20" t="s">
        <v>6</v>
      </c>
      <c r="I204" s="21">
        <f t="shared" si="7"/>
        <v>0</v>
      </c>
      <c r="J204" s="21">
        <f t="shared" si="8"/>
        <v>0</v>
      </c>
      <c r="K204" s="21">
        <f t="shared" si="9"/>
        <v>1</v>
      </c>
      <c r="L204" s="21">
        <f t="shared" si="10"/>
        <v>0</v>
      </c>
      <c r="M204" s="21">
        <f t="shared" si="11"/>
        <v>0</v>
      </c>
      <c r="N204" s="22">
        <f>IF(F204="цифровой",IF(AND(F104="цифровой",OR(N104=1,N104="")),"",1),0)</f>
        <v>0</v>
      </c>
      <c r="O204" s="40"/>
      <c r="P204" s="40"/>
      <c r="Q204" s="40"/>
      <c r="R204" s="40"/>
    </row>
    <row r="205" spans="1:18" ht="15.75" customHeight="1" x14ac:dyDescent="0.2">
      <c r="A205" s="24"/>
      <c r="B205" s="46"/>
      <c r="C205" s="46"/>
      <c r="D205" s="46"/>
      <c r="E205" s="27" t="s">
        <v>55</v>
      </c>
      <c r="F205" s="26" t="s">
        <v>25</v>
      </c>
      <c r="G205" s="26" t="s">
        <v>9</v>
      </c>
      <c r="H205" s="27" t="s">
        <v>6</v>
      </c>
      <c r="I205" s="28">
        <f t="shared" si="7"/>
        <v>0</v>
      </c>
      <c r="J205" s="28">
        <f t="shared" si="8"/>
        <v>0</v>
      </c>
      <c r="K205" s="28">
        <f t="shared" si="9"/>
        <v>1</v>
      </c>
      <c r="L205" s="28">
        <f t="shared" si="10"/>
        <v>0</v>
      </c>
      <c r="M205" s="28">
        <f t="shared" si="11"/>
        <v>0</v>
      </c>
      <c r="N205" s="29">
        <f>IF(F205="цифровой",IF(AND(F104="цифровой",OR(N104=1,N104="")),"",1),0)</f>
        <v>0</v>
      </c>
      <c r="O205" s="40"/>
      <c r="P205" s="40"/>
      <c r="Q205" s="40"/>
      <c r="R205" s="40"/>
    </row>
    <row r="206" spans="1:18" ht="15.75" customHeight="1" x14ac:dyDescent="0.2">
      <c r="A206" s="24"/>
      <c r="B206" s="46"/>
      <c r="C206" s="46"/>
      <c r="D206" s="46"/>
      <c r="E206" s="27" t="s">
        <v>56</v>
      </c>
      <c r="F206" s="26" t="s">
        <v>25</v>
      </c>
      <c r="G206" s="26" t="s">
        <v>9</v>
      </c>
      <c r="H206" s="27" t="s">
        <v>6</v>
      </c>
      <c r="I206" s="28">
        <f t="shared" si="7"/>
        <v>0</v>
      </c>
      <c r="J206" s="28">
        <f t="shared" si="8"/>
        <v>0</v>
      </c>
      <c r="K206" s="28">
        <f t="shared" si="9"/>
        <v>1</v>
      </c>
      <c r="L206" s="28">
        <f t="shared" si="10"/>
        <v>0</v>
      </c>
      <c r="M206" s="28">
        <f t="shared" si="11"/>
        <v>0</v>
      </c>
      <c r="N206" s="29">
        <f t="shared" ref="N206:N208" si="43">IF(F206="цифровой",IF(AND(F204="цифровой",OR(N204=1,N204="")),"",1),0)</f>
        <v>0</v>
      </c>
      <c r="O206" s="40"/>
      <c r="P206" s="40"/>
      <c r="Q206" s="40"/>
      <c r="R206" s="40"/>
    </row>
    <row r="207" spans="1:18" ht="15.75" customHeight="1" x14ac:dyDescent="0.2">
      <c r="A207" s="24"/>
      <c r="B207" s="46"/>
      <c r="C207" s="46"/>
      <c r="D207" s="46"/>
      <c r="E207" s="27" t="s">
        <v>57</v>
      </c>
      <c r="F207" s="26" t="s">
        <v>25</v>
      </c>
      <c r="G207" s="26" t="s">
        <v>9</v>
      </c>
      <c r="H207" s="27" t="s">
        <v>6</v>
      </c>
      <c r="I207" s="28">
        <f t="shared" si="7"/>
        <v>0</v>
      </c>
      <c r="J207" s="28">
        <f t="shared" si="8"/>
        <v>0</v>
      </c>
      <c r="K207" s="28">
        <f t="shared" si="9"/>
        <v>1</v>
      </c>
      <c r="L207" s="28">
        <f t="shared" si="10"/>
        <v>0</v>
      </c>
      <c r="M207" s="28">
        <f t="shared" si="11"/>
        <v>0</v>
      </c>
      <c r="N207" s="29">
        <f t="shared" si="43"/>
        <v>0</v>
      </c>
      <c r="O207" s="40"/>
      <c r="P207" s="40"/>
      <c r="Q207" s="40"/>
      <c r="R207" s="40"/>
    </row>
    <row r="208" spans="1:18" ht="15.75" customHeight="1" x14ac:dyDescent="0.2">
      <c r="A208" s="24"/>
      <c r="B208" s="46"/>
      <c r="C208" s="46"/>
      <c r="D208" s="46"/>
      <c r="E208" s="27" t="s">
        <v>58</v>
      </c>
      <c r="F208" s="26" t="s">
        <v>25</v>
      </c>
      <c r="G208" s="26" t="s">
        <v>9</v>
      </c>
      <c r="H208" s="27" t="s">
        <v>6</v>
      </c>
      <c r="I208" s="28">
        <f t="shared" si="7"/>
        <v>0</v>
      </c>
      <c r="J208" s="28">
        <f t="shared" si="8"/>
        <v>0</v>
      </c>
      <c r="K208" s="28">
        <f t="shared" si="9"/>
        <v>1</v>
      </c>
      <c r="L208" s="28">
        <f t="shared" si="10"/>
        <v>0</v>
      </c>
      <c r="M208" s="28">
        <f t="shared" si="11"/>
        <v>0</v>
      </c>
      <c r="N208" s="29">
        <f t="shared" si="43"/>
        <v>0</v>
      </c>
      <c r="O208" s="40"/>
      <c r="P208" s="40"/>
      <c r="Q208" s="40"/>
      <c r="R208" s="40"/>
    </row>
    <row r="209" spans="1:18" ht="15.75" customHeight="1" x14ac:dyDescent="0.2">
      <c r="A209" s="24"/>
      <c r="B209" s="46"/>
      <c r="C209" s="46"/>
      <c r="D209" s="46"/>
      <c r="E209" s="27" t="s">
        <v>59</v>
      </c>
      <c r="F209" s="26" t="s">
        <v>25</v>
      </c>
      <c r="G209" s="26" t="s">
        <v>9</v>
      </c>
      <c r="H209" s="27" t="s">
        <v>6</v>
      </c>
      <c r="I209" s="28">
        <f t="shared" si="7"/>
        <v>0</v>
      </c>
      <c r="J209" s="28">
        <f t="shared" si="8"/>
        <v>0</v>
      </c>
      <c r="K209" s="28">
        <f t="shared" si="9"/>
        <v>1</v>
      </c>
      <c r="L209" s="28">
        <f t="shared" si="10"/>
        <v>0</v>
      </c>
      <c r="M209" s="28">
        <f t="shared" si="11"/>
        <v>0</v>
      </c>
      <c r="N209" s="29">
        <f t="shared" ref="N209:N211" si="44">IF(F209="цифровой",IF(AND(F208="цифровой",OR(N208=1,N208="")),"",1),0)</f>
        <v>0</v>
      </c>
      <c r="O209" s="40"/>
      <c r="P209" s="40"/>
      <c r="Q209" s="40"/>
      <c r="R209" s="40"/>
    </row>
    <row r="210" spans="1:18" ht="15.75" customHeight="1" x14ac:dyDescent="0.2">
      <c r="A210" s="24"/>
      <c r="B210" s="46"/>
      <c r="C210" s="46"/>
      <c r="D210" s="46"/>
      <c r="E210" s="27" t="s">
        <v>103</v>
      </c>
      <c r="F210" s="26" t="s">
        <v>8</v>
      </c>
      <c r="G210" s="26" t="s">
        <v>26</v>
      </c>
      <c r="H210" s="27" t="s">
        <v>32</v>
      </c>
      <c r="I210" s="28">
        <f t="shared" si="7"/>
        <v>0</v>
      </c>
      <c r="J210" s="28">
        <f t="shared" si="8"/>
        <v>1</v>
      </c>
      <c r="K210" s="28">
        <f t="shared" si="9"/>
        <v>0</v>
      </c>
      <c r="L210" s="28">
        <f t="shared" si="10"/>
        <v>0</v>
      </c>
      <c r="M210" s="28">
        <f t="shared" si="11"/>
        <v>0</v>
      </c>
      <c r="N210" s="29">
        <f t="shared" si="44"/>
        <v>0</v>
      </c>
      <c r="O210" s="40"/>
      <c r="P210" s="40"/>
      <c r="Q210" s="40"/>
      <c r="R210" s="40"/>
    </row>
    <row r="211" spans="1:18" ht="15.75" customHeight="1" x14ac:dyDescent="0.2">
      <c r="A211" s="24"/>
      <c r="B211" s="46"/>
      <c r="C211" s="46"/>
      <c r="D211" s="46"/>
      <c r="E211" s="27" t="s">
        <v>104</v>
      </c>
      <c r="F211" s="26" t="s">
        <v>8</v>
      </c>
      <c r="G211" s="26" t="s">
        <v>26</v>
      </c>
      <c r="H211" s="27" t="s">
        <v>32</v>
      </c>
      <c r="I211" s="28">
        <f t="shared" si="7"/>
        <v>0</v>
      </c>
      <c r="J211" s="28">
        <f t="shared" si="8"/>
        <v>1</v>
      </c>
      <c r="K211" s="28">
        <f t="shared" si="9"/>
        <v>0</v>
      </c>
      <c r="L211" s="28">
        <f t="shared" si="10"/>
        <v>0</v>
      </c>
      <c r="M211" s="28">
        <f t="shared" si="11"/>
        <v>0</v>
      </c>
      <c r="N211" s="29">
        <f t="shared" si="44"/>
        <v>0</v>
      </c>
      <c r="O211" s="40"/>
      <c r="P211" s="40"/>
      <c r="Q211" s="40"/>
      <c r="R211" s="40"/>
    </row>
    <row r="212" spans="1:18" ht="15.75" customHeight="1" x14ac:dyDescent="0.2">
      <c r="A212" s="24"/>
      <c r="B212" s="46"/>
      <c r="C212" s="46"/>
      <c r="D212" s="46"/>
      <c r="E212" s="43" t="s">
        <v>60</v>
      </c>
      <c r="F212" s="26" t="s">
        <v>25</v>
      </c>
      <c r="G212" s="26" t="s">
        <v>9</v>
      </c>
      <c r="H212" s="27" t="s">
        <v>6</v>
      </c>
      <c r="I212" s="28">
        <f t="shared" si="7"/>
        <v>0</v>
      </c>
      <c r="J212" s="28">
        <f t="shared" si="8"/>
        <v>0</v>
      </c>
      <c r="K212" s="28">
        <f t="shared" si="9"/>
        <v>1</v>
      </c>
      <c r="L212" s="28">
        <f t="shared" si="10"/>
        <v>0</v>
      </c>
      <c r="M212" s="28">
        <f t="shared" si="11"/>
        <v>0</v>
      </c>
      <c r="N212" s="29">
        <f>IF(F212="цифровой",IF(AND(#REF!="цифровой",OR(#REF!=1,#REF!="")),"",1),0)</f>
        <v>0</v>
      </c>
      <c r="O212" s="40"/>
      <c r="P212" s="40"/>
      <c r="Q212" s="40"/>
      <c r="R212" s="40"/>
    </row>
    <row r="213" spans="1:18" ht="15.75" customHeight="1" x14ac:dyDescent="0.2">
      <c r="A213" s="24"/>
      <c r="B213" s="46"/>
      <c r="C213" s="46"/>
      <c r="D213" s="46"/>
      <c r="E213" s="43" t="s">
        <v>61</v>
      </c>
      <c r="F213" s="26" t="s">
        <v>25</v>
      </c>
      <c r="G213" s="26" t="s">
        <v>9</v>
      </c>
      <c r="H213" s="27" t="s">
        <v>6</v>
      </c>
      <c r="I213" s="28">
        <f t="shared" si="7"/>
        <v>0</v>
      </c>
      <c r="J213" s="28">
        <f t="shared" si="8"/>
        <v>0</v>
      </c>
      <c r="K213" s="28">
        <f t="shared" si="9"/>
        <v>1</v>
      </c>
      <c r="L213" s="28">
        <f t="shared" si="10"/>
        <v>0</v>
      </c>
      <c r="M213" s="28">
        <f t="shared" si="11"/>
        <v>0</v>
      </c>
      <c r="N213" s="29">
        <f t="shared" ref="N213:N217" si="45">IF(F213="цифровой",IF(AND(F212="цифровой",OR(N212=1,N212="")),"",1),0)</f>
        <v>0</v>
      </c>
      <c r="O213" s="40"/>
      <c r="P213" s="40"/>
      <c r="Q213" s="40"/>
      <c r="R213" s="40"/>
    </row>
    <row r="214" spans="1:18" ht="15.75" customHeight="1" x14ac:dyDescent="0.2">
      <c r="A214" s="24"/>
      <c r="B214" s="46"/>
      <c r="C214" s="46"/>
      <c r="D214" s="46"/>
      <c r="E214" s="43" t="s">
        <v>62</v>
      </c>
      <c r="F214" s="26" t="s">
        <v>25</v>
      </c>
      <c r="G214" s="26" t="s">
        <v>9</v>
      </c>
      <c r="H214" s="27" t="s">
        <v>6</v>
      </c>
      <c r="I214" s="28">
        <f t="shared" si="7"/>
        <v>0</v>
      </c>
      <c r="J214" s="28">
        <f t="shared" si="8"/>
        <v>0</v>
      </c>
      <c r="K214" s="28">
        <f t="shared" si="9"/>
        <v>1</v>
      </c>
      <c r="L214" s="28">
        <f t="shared" si="10"/>
        <v>0</v>
      </c>
      <c r="M214" s="28">
        <f t="shared" si="11"/>
        <v>0</v>
      </c>
      <c r="N214" s="29">
        <f t="shared" si="45"/>
        <v>0</v>
      </c>
      <c r="O214" s="40"/>
      <c r="P214" s="40"/>
      <c r="Q214" s="40"/>
      <c r="R214" s="40"/>
    </row>
    <row r="215" spans="1:18" ht="15.75" customHeight="1" x14ac:dyDescent="0.2">
      <c r="A215" s="24"/>
      <c r="B215" s="46"/>
      <c r="C215" s="46"/>
      <c r="D215" s="46"/>
      <c r="E215" s="43" t="s">
        <v>63</v>
      </c>
      <c r="F215" s="26" t="s">
        <v>25</v>
      </c>
      <c r="G215" s="26" t="s">
        <v>9</v>
      </c>
      <c r="H215" s="27" t="s">
        <v>6</v>
      </c>
      <c r="I215" s="28">
        <f t="shared" si="7"/>
        <v>0</v>
      </c>
      <c r="J215" s="28">
        <f t="shared" si="8"/>
        <v>0</v>
      </c>
      <c r="K215" s="28">
        <f t="shared" si="9"/>
        <v>1</v>
      </c>
      <c r="L215" s="28">
        <f t="shared" si="10"/>
        <v>0</v>
      </c>
      <c r="M215" s="28">
        <f t="shared" si="11"/>
        <v>0</v>
      </c>
      <c r="N215" s="29">
        <f t="shared" si="45"/>
        <v>0</v>
      </c>
      <c r="O215" s="40"/>
      <c r="P215" s="40"/>
      <c r="Q215" s="40"/>
      <c r="R215" s="40"/>
    </row>
    <row r="216" spans="1:18" ht="15.75" customHeight="1" x14ac:dyDescent="0.2">
      <c r="A216" s="24"/>
      <c r="B216" s="46"/>
      <c r="C216" s="46"/>
      <c r="D216" s="46"/>
      <c r="E216" s="43" t="s">
        <v>64</v>
      </c>
      <c r="F216" s="26" t="s">
        <v>25</v>
      </c>
      <c r="G216" s="26" t="s">
        <v>9</v>
      </c>
      <c r="H216" s="27" t="s">
        <v>6</v>
      </c>
      <c r="I216" s="28">
        <f t="shared" si="7"/>
        <v>0</v>
      </c>
      <c r="J216" s="28">
        <f t="shared" si="8"/>
        <v>0</v>
      </c>
      <c r="K216" s="28">
        <f t="shared" si="9"/>
        <v>1</v>
      </c>
      <c r="L216" s="28">
        <f t="shared" si="10"/>
        <v>0</v>
      </c>
      <c r="M216" s="28">
        <f t="shared" si="11"/>
        <v>0</v>
      </c>
      <c r="N216" s="29">
        <f t="shared" si="45"/>
        <v>0</v>
      </c>
      <c r="O216" s="40"/>
      <c r="P216" s="40"/>
      <c r="Q216" s="40"/>
      <c r="R216" s="40"/>
    </row>
    <row r="217" spans="1:18" ht="15.75" customHeight="1" x14ac:dyDescent="0.2">
      <c r="A217" s="24"/>
      <c r="B217" s="46"/>
      <c r="C217" s="46"/>
      <c r="D217" s="46"/>
      <c r="E217" s="27" t="s">
        <v>105</v>
      </c>
      <c r="F217" s="26" t="s">
        <v>8</v>
      </c>
      <c r="G217" s="26" t="s">
        <v>9</v>
      </c>
      <c r="H217" s="27" t="s">
        <v>32</v>
      </c>
      <c r="I217" s="28">
        <f t="shared" si="7"/>
        <v>1</v>
      </c>
      <c r="J217" s="28">
        <f t="shared" si="8"/>
        <v>0</v>
      </c>
      <c r="K217" s="28">
        <f t="shared" si="9"/>
        <v>0</v>
      </c>
      <c r="L217" s="28">
        <f t="shared" si="10"/>
        <v>0</v>
      </c>
      <c r="M217" s="28">
        <f t="shared" si="11"/>
        <v>0</v>
      </c>
      <c r="N217" s="29">
        <f t="shared" si="45"/>
        <v>0</v>
      </c>
      <c r="O217" s="40"/>
      <c r="P217" s="40"/>
      <c r="Q217" s="40"/>
      <c r="R217" s="40"/>
    </row>
    <row r="218" spans="1:18" ht="15.75" customHeight="1" thickBot="1" x14ac:dyDescent="0.25">
      <c r="A218" s="24"/>
      <c r="B218" s="46"/>
      <c r="C218" s="46"/>
      <c r="D218" s="47"/>
      <c r="E218" s="33" t="s">
        <v>106</v>
      </c>
      <c r="F218" s="32" t="s">
        <v>8</v>
      </c>
      <c r="G218" s="32" t="s">
        <v>26</v>
      </c>
      <c r="H218" s="33" t="s">
        <v>32</v>
      </c>
      <c r="I218" s="34">
        <f t="shared" si="7"/>
        <v>0</v>
      </c>
      <c r="J218" s="34">
        <f t="shared" si="8"/>
        <v>1</v>
      </c>
      <c r="K218" s="34">
        <f t="shared" si="9"/>
        <v>0</v>
      </c>
      <c r="L218" s="34">
        <f t="shared" si="10"/>
        <v>0</v>
      </c>
      <c r="M218" s="34">
        <f t="shared" si="11"/>
        <v>0</v>
      </c>
      <c r="N218" s="35">
        <f>IF(F218="цифровой",IF(AND(F214="цифровой",OR(N214=1,N214="")),"",1),0)</f>
        <v>0</v>
      </c>
      <c r="O218" s="40"/>
      <c r="P218" s="40"/>
      <c r="Q218" s="40"/>
      <c r="R218" s="40"/>
    </row>
    <row r="219" spans="1:18" ht="15.75" customHeight="1" x14ac:dyDescent="0.2">
      <c r="A219" s="24"/>
      <c r="B219" s="46"/>
      <c r="C219" s="46"/>
      <c r="D219" s="51" t="s">
        <v>107</v>
      </c>
      <c r="E219" s="37" t="s">
        <v>54</v>
      </c>
      <c r="F219" s="36" t="s">
        <v>25</v>
      </c>
      <c r="G219" s="36" t="s">
        <v>9</v>
      </c>
      <c r="H219" s="37" t="s">
        <v>6</v>
      </c>
      <c r="I219" s="38">
        <f t="shared" si="7"/>
        <v>0</v>
      </c>
      <c r="J219" s="38">
        <f t="shared" si="8"/>
        <v>0</v>
      </c>
      <c r="K219" s="38">
        <f t="shared" si="9"/>
        <v>1</v>
      </c>
      <c r="L219" s="38">
        <f t="shared" si="10"/>
        <v>0</v>
      </c>
      <c r="M219" s="38">
        <f t="shared" si="11"/>
        <v>0</v>
      </c>
      <c r="N219" s="39">
        <f>IF(F219="цифровой",IF(AND(F115="цифровой",OR(N115=1,N115="")),"",1),0)</f>
        <v>0</v>
      </c>
      <c r="O219" s="40"/>
      <c r="P219" s="40"/>
      <c r="Q219" s="40"/>
      <c r="R219" s="40"/>
    </row>
    <row r="220" spans="1:18" ht="15.75" customHeight="1" x14ac:dyDescent="0.2">
      <c r="A220" s="24"/>
      <c r="B220" s="46"/>
      <c r="C220" s="46"/>
      <c r="D220" s="46"/>
      <c r="E220" s="27" t="s">
        <v>55</v>
      </c>
      <c r="F220" s="26" t="s">
        <v>25</v>
      </c>
      <c r="G220" s="26" t="s">
        <v>9</v>
      </c>
      <c r="H220" s="27" t="s">
        <v>6</v>
      </c>
      <c r="I220" s="28">
        <f t="shared" si="7"/>
        <v>0</v>
      </c>
      <c r="J220" s="28">
        <f t="shared" si="8"/>
        <v>0</v>
      </c>
      <c r="K220" s="28">
        <f t="shared" si="9"/>
        <v>1</v>
      </c>
      <c r="L220" s="28">
        <f t="shared" si="10"/>
        <v>0</v>
      </c>
      <c r="M220" s="28">
        <f t="shared" si="11"/>
        <v>0</v>
      </c>
      <c r="N220" s="29">
        <f>IF(F220="цифровой",IF(AND(F115="цифровой",OR(N115=1,N115="")),"",1),0)</f>
        <v>0</v>
      </c>
      <c r="O220" s="40"/>
      <c r="P220" s="40"/>
      <c r="Q220" s="40"/>
      <c r="R220" s="40"/>
    </row>
    <row r="221" spans="1:18" ht="15.75" customHeight="1" x14ac:dyDescent="0.2">
      <c r="A221" s="24"/>
      <c r="B221" s="46"/>
      <c r="C221" s="46"/>
      <c r="D221" s="46"/>
      <c r="E221" s="27" t="s">
        <v>56</v>
      </c>
      <c r="F221" s="26" t="s">
        <v>25</v>
      </c>
      <c r="G221" s="26" t="s">
        <v>9</v>
      </c>
      <c r="H221" s="27" t="s">
        <v>6</v>
      </c>
      <c r="I221" s="28">
        <f t="shared" si="7"/>
        <v>0</v>
      </c>
      <c r="J221" s="28">
        <f t="shared" si="8"/>
        <v>0</v>
      </c>
      <c r="K221" s="28">
        <f t="shared" si="9"/>
        <v>1</v>
      </c>
      <c r="L221" s="28">
        <f t="shared" si="10"/>
        <v>0</v>
      </c>
      <c r="M221" s="28">
        <f t="shared" si="11"/>
        <v>0</v>
      </c>
      <c r="N221" s="29">
        <f t="shared" ref="N221:N223" si="46">IF(F221="цифровой",IF(AND(F219="цифровой",OR(N219=1,N219="")),"",1),0)</f>
        <v>0</v>
      </c>
      <c r="O221" s="40"/>
      <c r="P221" s="40"/>
      <c r="Q221" s="40"/>
      <c r="R221" s="40"/>
    </row>
    <row r="222" spans="1:18" ht="15.75" customHeight="1" x14ac:dyDescent="0.2">
      <c r="A222" s="24"/>
      <c r="B222" s="46"/>
      <c r="C222" s="46"/>
      <c r="D222" s="46"/>
      <c r="E222" s="27" t="s">
        <v>57</v>
      </c>
      <c r="F222" s="26" t="s">
        <v>25</v>
      </c>
      <c r="G222" s="26" t="s">
        <v>9</v>
      </c>
      <c r="H222" s="27" t="s">
        <v>6</v>
      </c>
      <c r="I222" s="28">
        <f t="shared" si="7"/>
        <v>0</v>
      </c>
      <c r="J222" s="28">
        <f t="shared" si="8"/>
        <v>0</v>
      </c>
      <c r="K222" s="28">
        <f t="shared" si="9"/>
        <v>1</v>
      </c>
      <c r="L222" s="28">
        <f t="shared" si="10"/>
        <v>0</v>
      </c>
      <c r="M222" s="28">
        <f t="shared" si="11"/>
        <v>0</v>
      </c>
      <c r="N222" s="29">
        <f t="shared" si="46"/>
        <v>0</v>
      </c>
      <c r="O222" s="40"/>
      <c r="P222" s="40"/>
      <c r="Q222" s="40"/>
      <c r="R222" s="40"/>
    </row>
    <row r="223" spans="1:18" ht="15.75" customHeight="1" x14ac:dyDescent="0.2">
      <c r="A223" s="24"/>
      <c r="B223" s="46"/>
      <c r="C223" s="46"/>
      <c r="D223" s="46"/>
      <c r="E223" s="27" t="s">
        <v>58</v>
      </c>
      <c r="F223" s="26" t="s">
        <v>25</v>
      </c>
      <c r="G223" s="26" t="s">
        <v>9</v>
      </c>
      <c r="H223" s="27" t="s">
        <v>6</v>
      </c>
      <c r="I223" s="28">
        <f t="shared" si="7"/>
        <v>0</v>
      </c>
      <c r="J223" s="28">
        <f t="shared" si="8"/>
        <v>0</v>
      </c>
      <c r="K223" s="28">
        <f t="shared" si="9"/>
        <v>1</v>
      </c>
      <c r="L223" s="28">
        <f t="shared" si="10"/>
        <v>0</v>
      </c>
      <c r="M223" s="28">
        <f t="shared" si="11"/>
        <v>0</v>
      </c>
      <c r="N223" s="29">
        <f t="shared" si="46"/>
        <v>0</v>
      </c>
      <c r="O223" s="40"/>
      <c r="P223" s="40"/>
      <c r="Q223" s="40"/>
      <c r="R223" s="40"/>
    </row>
    <row r="224" spans="1:18" ht="15.75" customHeight="1" x14ac:dyDescent="0.2">
      <c r="A224" s="24"/>
      <c r="B224" s="46"/>
      <c r="C224" s="46"/>
      <c r="D224" s="46"/>
      <c r="E224" s="27" t="s">
        <v>59</v>
      </c>
      <c r="F224" s="26" t="s">
        <v>25</v>
      </c>
      <c r="G224" s="26" t="s">
        <v>9</v>
      </c>
      <c r="H224" s="27" t="s">
        <v>6</v>
      </c>
      <c r="I224" s="28">
        <f t="shared" si="7"/>
        <v>0</v>
      </c>
      <c r="J224" s="28">
        <f t="shared" si="8"/>
        <v>0</v>
      </c>
      <c r="K224" s="28">
        <f t="shared" si="9"/>
        <v>1</v>
      </c>
      <c r="L224" s="28">
        <f t="shared" si="10"/>
        <v>0</v>
      </c>
      <c r="M224" s="28">
        <f t="shared" si="11"/>
        <v>0</v>
      </c>
      <c r="N224" s="29">
        <f t="shared" ref="N224:N226" si="47">IF(F224="цифровой",IF(AND(F223="цифровой",OR(N223=1,N223="")),"",1),0)</f>
        <v>0</v>
      </c>
      <c r="O224" s="40"/>
      <c r="P224" s="40"/>
      <c r="Q224" s="40"/>
      <c r="R224" s="40"/>
    </row>
    <row r="225" spans="1:18" ht="15.75" customHeight="1" x14ac:dyDescent="0.2">
      <c r="A225" s="24"/>
      <c r="B225" s="46"/>
      <c r="C225" s="46"/>
      <c r="D225" s="46"/>
      <c r="E225" s="27" t="s">
        <v>103</v>
      </c>
      <c r="F225" s="26" t="s">
        <v>8</v>
      </c>
      <c r="G225" s="26" t="s">
        <v>26</v>
      </c>
      <c r="H225" s="27" t="s">
        <v>32</v>
      </c>
      <c r="I225" s="28">
        <f t="shared" si="7"/>
        <v>0</v>
      </c>
      <c r="J225" s="28">
        <f t="shared" si="8"/>
        <v>1</v>
      </c>
      <c r="K225" s="28">
        <f t="shared" si="9"/>
        <v>0</v>
      </c>
      <c r="L225" s="28">
        <f t="shared" si="10"/>
        <v>0</v>
      </c>
      <c r="M225" s="28">
        <f t="shared" si="11"/>
        <v>0</v>
      </c>
      <c r="N225" s="29">
        <f t="shared" si="47"/>
        <v>0</v>
      </c>
      <c r="O225" s="40"/>
      <c r="P225" s="40"/>
      <c r="Q225" s="40"/>
      <c r="R225" s="40"/>
    </row>
    <row r="226" spans="1:18" ht="15.75" customHeight="1" x14ac:dyDescent="0.2">
      <c r="A226" s="24"/>
      <c r="B226" s="46"/>
      <c r="C226" s="46"/>
      <c r="D226" s="46"/>
      <c r="E226" s="27" t="s">
        <v>104</v>
      </c>
      <c r="F226" s="26" t="s">
        <v>8</v>
      </c>
      <c r="G226" s="26" t="s">
        <v>26</v>
      </c>
      <c r="H226" s="27" t="s">
        <v>32</v>
      </c>
      <c r="I226" s="28">
        <f t="shared" si="7"/>
        <v>0</v>
      </c>
      <c r="J226" s="28">
        <f t="shared" si="8"/>
        <v>1</v>
      </c>
      <c r="K226" s="28">
        <f t="shared" si="9"/>
        <v>0</v>
      </c>
      <c r="L226" s="28">
        <f t="shared" si="10"/>
        <v>0</v>
      </c>
      <c r="M226" s="28">
        <f t="shared" si="11"/>
        <v>0</v>
      </c>
      <c r="N226" s="29">
        <f t="shared" si="47"/>
        <v>0</v>
      </c>
      <c r="O226" s="40"/>
      <c r="P226" s="40"/>
      <c r="Q226" s="40"/>
      <c r="R226" s="40"/>
    </row>
    <row r="227" spans="1:18" ht="15.75" customHeight="1" x14ac:dyDescent="0.2">
      <c r="A227" s="24"/>
      <c r="B227" s="46"/>
      <c r="C227" s="46"/>
      <c r="D227" s="46"/>
      <c r="E227" s="43" t="s">
        <v>60</v>
      </c>
      <c r="F227" s="26" t="s">
        <v>25</v>
      </c>
      <c r="G227" s="26" t="s">
        <v>9</v>
      </c>
      <c r="H227" s="27" t="s">
        <v>6</v>
      </c>
      <c r="I227" s="28">
        <f t="shared" si="7"/>
        <v>0</v>
      </c>
      <c r="J227" s="28">
        <f t="shared" si="8"/>
        <v>0</v>
      </c>
      <c r="K227" s="28">
        <f t="shared" si="9"/>
        <v>1</v>
      </c>
      <c r="L227" s="28">
        <f t="shared" si="10"/>
        <v>0</v>
      </c>
      <c r="M227" s="28">
        <f t="shared" si="11"/>
        <v>0</v>
      </c>
      <c r="N227" s="29">
        <f>IF(F227="цифровой",IF(AND(#REF!="цифровой",OR(#REF!=1,#REF!="")),"",1),0)</f>
        <v>0</v>
      </c>
      <c r="O227" s="40"/>
      <c r="P227" s="40"/>
      <c r="Q227" s="40"/>
      <c r="R227" s="40"/>
    </row>
    <row r="228" spans="1:18" ht="15.75" customHeight="1" x14ac:dyDescent="0.2">
      <c r="A228" s="24"/>
      <c r="B228" s="46"/>
      <c r="C228" s="46"/>
      <c r="D228" s="46"/>
      <c r="E228" s="43" t="s">
        <v>61</v>
      </c>
      <c r="F228" s="26" t="s">
        <v>25</v>
      </c>
      <c r="G228" s="26" t="s">
        <v>9</v>
      </c>
      <c r="H228" s="27" t="s">
        <v>6</v>
      </c>
      <c r="I228" s="28">
        <f t="shared" si="7"/>
        <v>0</v>
      </c>
      <c r="J228" s="28">
        <f t="shared" si="8"/>
        <v>0</v>
      </c>
      <c r="K228" s="28">
        <f t="shared" si="9"/>
        <v>1</v>
      </c>
      <c r="L228" s="28">
        <f t="shared" si="10"/>
        <v>0</v>
      </c>
      <c r="M228" s="28">
        <f t="shared" si="11"/>
        <v>0</v>
      </c>
      <c r="N228" s="29">
        <f t="shared" ref="N228:N234" si="48">IF(F228="цифровой",IF(AND(F227="цифровой",OR(N227=1,N227="")),"",1),0)</f>
        <v>0</v>
      </c>
      <c r="O228" s="40"/>
      <c r="P228" s="40"/>
      <c r="Q228" s="40"/>
      <c r="R228" s="40"/>
    </row>
    <row r="229" spans="1:18" ht="15.75" customHeight="1" x14ac:dyDescent="0.2">
      <c r="A229" s="24"/>
      <c r="B229" s="46"/>
      <c r="C229" s="46"/>
      <c r="D229" s="46"/>
      <c r="E229" s="43" t="s">
        <v>62</v>
      </c>
      <c r="F229" s="26" t="s">
        <v>25</v>
      </c>
      <c r="G229" s="26" t="s">
        <v>9</v>
      </c>
      <c r="H229" s="27" t="s">
        <v>6</v>
      </c>
      <c r="I229" s="28">
        <f t="shared" si="7"/>
        <v>0</v>
      </c>
      <c r="J229" s="28">
        <f t="shared" si="8"/>
        <v>0</v>
      </c>
      <c r="K229" s="28">
        <f t="shared" si="9"/>
        <v>1</v>
      </c>
      <c r="L229" s="28">
        <f t="shared" si="10"/>
        <v>0</v>
      </c>
      <c r="M229" s="28">
        <f t="shared" si="11"/>
        <v>0</v>
      </c>
      <c r="N229" s="29">
        <f t="shared" si="48"/>
        <v>0</v>
      </c>
      <c r="O229" s="40"/>
      <c r="P229" s="40"/>
      <c r="Q229" s="40"/>
      <c r="R229" s="40"/>
    </row>
    <row r="230" spans="1:18" ht="15.75" customHeight="1" x14ac:dyDescent="0.2">
      <c r="A230" s="24"/>
      <c r="B230" s="46"/>
      <c r="C230" s="46"/>
      <c r="D230" s="46"/>
      <c r="E230" s="43" t="s">
        <v>63</v>
      </c>
      <c r="F230" s="26" t="s">
        <v>25</v>
      </c>
      <c r="G230" s="26" t="s">
        <v>9</v>
      </c>
      <c r="H230" s="27" t="s">
        <v>6</v>
      </c>
      <c r="I230" s="28">
        <f t="shared" si="7"/>
        <v>0</v>
      </c>
      <c r="J230" s="28">
        <f t="shared" si="8"/>
        <v>0</v>
      </c>
      <c r="K230" s="28">
        <f t="shared" si="9"/>
        <v>1</v>
      </c>
      <c r="L230" s="28">
        <f t="shared" si="10"/>
        <v>0</v>
      </c>
      <c r="M230" s="28">
        <f t="shared" si="11"/>
        <v>0</v>
      </c>
      <c r="N230" s="29">
        <f t="shared" si="48"/>
        <v>0</v>
      </c>
      <c r="O230" s="40"/>
      <c r="P230" s="40"/>
      <c r="Q230" s="40"/>
      <c r="R230" s="40"/>
    </row>
    <row r="231" spans="1:18" ht="15.75" customHeight="1" x14ac:dyDescent="0.2">
      <c r="A231" s="24"/>
      <c r="B231" s="46"/>
      <c r="C231" s="46"/>
      <c r="D231" s="46"/>
      <c r="E231" s="43" t="s">
        <v>64</v>
      </c>
      <c r="F231" s="26" t="s">
        <v>25</v>
      </c>
      <c r="G231" s="26" t="s">
        <v>9</v>
      </c>
      <c r="H231" s="27" t="s">
        <v>6</v>
      </c>
      <c r="I231" s="28">
        <f t="shared" si="7"/>
        <v>0</v>
      </c>
      <c r="J231" s="28">
        <f t="shared" si="8"/>
        <v>0</v>
      </c>
      <c r="K231" s="28">
        <f t="shared" si="9"/>
        <v>1</v>
      </c>
      <c r="L231" s="28">
        <f t="shared" si="10"/>
        <v>0</v>
      </c>
      <c r="M231" s="28">
        <f t="shared" si="11"/>
        <v>0</v>
      </c>
      <c r="N231" s="29">
        <f t="shared" si="48"/>
        <v>0</v>
      </c>
      <c r="O231" s="40"/>
      <c r="P231" s="40"/>
      <c r="Q231" s="40"/>
      <c r="R231" s="40"/>
    </row>
    <row r="232" spans="1:18" ht="15" customHeight="1" x14ac:dyDescent="0.2">
      <c r="A232" s="24"/>
      <c r="B232" s="46"/>
      <c r="C232" s="46"/>
      <c r="D232" s="46"/>
      <c r="E232" s="27" t="s">
        <v>105</v>
      </c>
      <c r="F232" s="26" t="s">
        <v>8</v>
      </c>
      <c r="G232" s="26" t="s">
        <v>9</v>
      </c>
      <c r="H232" s="27" t="s">
        <v>32</v>
      </c>
      <c r="I232" s="28">
        <f t="shared" si="7"/>
        <v>1</v>
      </c>
      <c r="J232" s="28">
        <f t="shared" si="8"/>
        <v>0</v>
      </c>
      <c r="K232" s="28">
        <f t="shared" si="9"/>
        <v>0</v>
      </c>
      <c r="L232" s="28">
        <f t="shared" si="10"/>
        <v>0</v>
      </c>
      <c r="M232" s="28">
        <f t="shared" si="11"/>
        <v>0</v>
      </c>
      <c r="N232" s="29">
        <f t="shared" si="48"/>
        <v>0</v>
      </c>
      <c r="O232" s="40"/>
      <c r="P232" s="40"/>
      <c r="Q232" s="40"/>
      <c r="R232" s="40"/>
    </row>
    <row r="233" spans="1:18" ht="15.75" customHeight="1" thickBot="1" x14ac:dyDescent="0.25">
      <c r="A233" s="30"/>
      <c r="B233" s="47"/>
      <c r="C233" s="47"/>
      <c r="D233" s="47"/>
      <c r="E233" s="33" t="s">
        <v>106</v>
      </c>
      <c r="F233" s="32" t="s">
        <v>8</v>
      </c>
      <c r="G233" s="32" t="s">
        <v>26</v>
      </c>
      <c r="H233" s="33" t="s">
        <v>32</v>
      </c>
      <c r="I233" s="34">
        <f t="shared" si="7"/>
        <v>0</v>
      </c>
      <c r="J233" s="34">
        <f t="shared" si="8"/>
        <v>1</v>
      </c>
      <c r="K233" s="34">
        <f t="shared" si="9"/>
        <v>0</v>
      </c>
      <c r="L233" s="34">
        <f t="shared" si="10"/>
        <v>0</v>
      </c>
      <c r="M233" s="34">
        <f t="shared" si="11"/>
        <v>0</v>
      </c>
      <c r="N233" s="35">
        <f t="shared" si="48"/>
        <v>0</v>
      </c>
      <c r="O233" s="40"/>
      <c r="P233" s="40"/>
      <c r="Q233" s="40"/>
      <c r="R233" s="40"/>
    </row>
    <row r="234" spans="1:18" ht="15.75" customHeight="1" x14ac:dyDescent="0.2">
      <c r="A234" s="17"/>
      <c r="B234" s="49" t="s">
        <v>35</v>
      </c>
      <c r="C234" s="48" t="s">
        <v>42</v>
      </c>
      <c r="D234" s="18"/>
      <c r="E234" s="20" t="s">
        <v>43</v>
      </c>
      <c r="F234" s="19" t="s">
        <v>8</v>
      </c>
      <c r="G234" s="19" t="s">
        <v>9</v>
      </c>
      <c r="H234" s="20" t="s">
        <v>32</v>
      </c>
      <c r="I234" s="21">
        <f t="shared" si="7"/>
        <v>1</v>
      </c>
      <c r="J234" s="21">
        <f t="shared" si="8"/>
        <v>0</v>
      </c>
      <c r="K234" s="21">
        <f t="shared" si="9"/>
        <v>0</v>
      </c>
      <c r="L234" s="21">
        <f t="shared" si="10"/>
        <v>0</v>
      </c>
      <c r="M234" s="21">
        <f t="shared" si="11"/>
        <v>0</v>
      </c>
      <c r="N234" s="22">
        <f t="shared" si="48"/>
        <v>0</v>
      </c>
      <c r="O234" s="40"/>
      <c r="P234" s="40"/>
      <c r="Q234" s="40"/>
      <c r="R234" s="40"/>
    </row>
    <row r="235" spans="1:18" ht="15.75" customHeight="1" x14ac:dyDescent="0.2">
      <c r="A235" s="24"/>
      <c r="B235" s="46"/>
      <c r="C235" s="46"/>
      <c r="D235" s="25"/>
      <c r="E235" s="27" t="s">
        <v>44</v>
      </c>
      <c r="F235" s="26" t="s">
        <v>8</v>
      </c>
      <c r="G235" s="26" t="s">
        <v>9</v>
      </c>
      <c r="H235" s="27" t="s">
        <v>32</v>
      </c>
      <c r="I235" s="28">
        <f t="shared" si="7"/>
        <v>1</v>
      </c>
      <c r="J235" s="28">
        <f t="shared" si="8"/>
        <v>0</v>
      </c>
      <c r="K235" s="28">
        <f t="shared" si="9"/>
        <v>0</v>
      </c>
      <c r="L235" s="28">
        <f t="shared" si="10"/>
        <v>0</v>
      </c>
      <c r="M235" s="28">
        <f t="shared" si="11"/>
        <v>0</v>
      </c>
      <c r="N235" s="29">
        <f t="shared" ref="N235:N239" si="49">IF(F235="цифровой",IF(AND(#REF!="цифровой",OR(#REF!=1,#REF!="")),"",1),0)</f>
        <v>0</v>
      </c>
      <c r="O235" s="40"/>
      <c r="P235" s="40"/>
      <c r="Q235" s="40"/>
      <c r="R235" s="40"/>
    </row>
    <row r="236" spans="1:18" ht="15.75" customHeight="1" x14ac:dyDescent="0.2">
      <c r="A236" s="24"/>
      <c r="B236" s="46"/>
      <c r="C236" s="46"/>
      <c r="D236" s="25"/>
      <c r="E236" s="27" t="s">
        <v>45</v>
      </c>
      <c r="F236" s="26" t="s">
        <v>8</v>
      </c>
      <c r="G236" s="26" t="s">
        <v>9</v>
      </c>
      <c r="H236" s="27" t="s">
        <v>32</v>
      </c>
      <c r="I236" s="28">
        <f t="shared" si="7"/>
        <v>1</v>
      </c>
      <c r="J236" s="28">
        <f t="shared" si="8"/>
        <v>0</v>
      </c>
      <c r="K236" s="28">
        <f t="shared" si="9"/>
        <v>0</v>
      </c>
      <c r="L236" s="28">
        <f t="shared" si="10"/>
        <v>0</v>
      </c>
      <c r="M236" s="28">
        <f t="shared" si="11"/>
        <v>0</v>
      </c>
      <c r="N236" s="29">
        <f t="shared" si="49"/>
        <v>0</v>
      </c>
      <c r="O236" s="40"/>
      <c r="P236" s="40"/>
      <c r="Q236" s="40"/>
      <c r="R236" s="40"/>
    </row>
    <row r="237" spans="1:18" ht="15.75" customHeight="1" x14ac:dyDescent="0.2">
      <c r="A237" s="24"/>
      <c r="B237" s="46"/>
      <c r="C237" s="46"/>
      <c r="D237" s="25"/>
      <c r="E237" s="27" t="s">
        <v>46</v>
      </c>
      <c r="F237" s="26" t="s">
        <v>8</v>
      </c>
      <c r="G237" s="26" t="s">
        <v>9</v>
      </c>
      <c r="H237" s="27" t="s">
        <v>32</v>
      </c>
      <c r="I237" s="28">
        <f t="shared" si="7"/>
        <v>1</v>
      </c>
      <c r="J237" s="28">
        <f t="shared" si="8"/>
        <v>0</v>
      </c>
      <c r="K237" s="28">
        <f t="shared" si="9"/>
        <v>0</v>
      </c>
      <c r="L237" s="28">
        <f t="shared" si="10"/>
        <v>0</v>
      </c>
      <c r="M237" s="28">
        <f t="shared" si="11"/>
        <v>0</v>
      </c>
      <c r="N237" s="29">
        <f t="shared" si="49"/>
        <v>0</v>
      </c>
      <c r="O237" s="40"/>
      <c r="P237" s="40"/>
      <c r="Q237" s="40"/>
      <c r="R237" s="40"/>
    </row>
    <row r="238" spans="1:18" ht="15.75" customHeight="1" x14ac:dyDescent="0.2">
      <c r="A238" s="24"/>
      <c r="B238" s="46"/>
      <c r="C238" s="46"/>
      <c r="D238" s="25"/>
      <c r="E238" s="27" t="s">
        <v>47</v>
      </c>
      <c r="F238" s="26" t="s">
        <v>8</v>
      </c>
      <c r="G238" s="26" t="s">
        <v>9</v>
      </c>
      <c r="H238" s="27" t="s">
        <v>32</v>
      </c>
      <c r="I238" s="28">
        <f t="shared" si="7"/>
        <v>1</v>
      </c>
      <c r="J238" s="28">
        <f t="shared" si="8"/>
        <v>0</v>
      </c>
      <c r="K238" s="28">
        <f t="shared" si="9"/>
        <v>0</v>
      </c>
      <c r="L238" s="28">
        <f t="shared" si="10"/>
        <v>0</v>
      </c>
      <c r="M238" s="28">
        <f t="shared" si="11"/>
        <v>0</v>
      </c>
      <c r="N238" s="29">
        <f t="shared" si="49"/>
        <v>0</v>
      </c>
      <c r="O238" s="40"/>
      <c r="P238" s="40"/>
      <c r="Q238" s="40"/>
      <c r="R238" s="40"/>
    </row>
    <row r="239" spans="1:18" ht="15.75" customHeight="1" x14ac:dyDescent="0.2">
      <c r="A239" s="24"/>
      <c r="B239" s="46"/>
      <c r="C239" s="46"/>
      <c r="D239" s="25"/>
      <c r="E239" s="27" t="s">
        <v>48</v>
      </c>
      <c r="F239" s="26" t="s">
        <v>8</v>
      </c>
      <c r="G239" s="26" t="s">
        <v>9</v>
      </c>
      <c r="H239" s="27" t="s">
        <v>32</v>
      </c>
      <c r="I239" s="28">
        <f t="shared" si="7"/>
        <v>1</v>
      </c>
      <c r="J239" s="28">
        <f t="shared" si="8"/>
        <v>0</v>
      </c>
      <c r="K239" s="28">
        <f t="shared" si="9"/>
        <v>0</v>
      </c>
      <c r="L239" s="28">
        <f t="shared" si="10"/>
        <v>0</v>
      </c>
      <c r="M239" s="28">
        <f t="shared" si="11"/>
        <v>0</v>
      </c>
      <c r="N239" s="29">
        <f t="shared" si="49"/>
        <v>0</v>
      </c>
      <c r="O239" s="40"/>
      <c r="P239" s="40"/>
      <c r="Q239" s="40"/>
      <c r="R239" s="40"/>
    </row>
    <row r="240" spans="1:18" ht="15.75" customHeight="1" x14ac:dyDescent="0.2">
      <c r="A240" s="24"/>
      <c r="B240" s="46"/>
      <c r="C240" s="46"/>
      <c r="D240" s="25"/>
      <c r="E240" s="27" t="s">
        <v>49</v>
      </c>
      <c r="F240" s="26" t="s">
        <v>8</v>
      </c>
      <c r="G240" s="26" t="s">
        <v>9</v>
      </c>
      <c r="H240" s="27" t="s">
        <v>32</v>
      </c>
      <c r="I240" s="28">
        <f t="shared" si="7"/>
        <v>1</v>
      </c>
      <c r="J240" s="28">
        <f t="shared" si="8"/>
        <v>0</v>
      </c>
      <c r="K240" s="28">
        <f t="shared" si="9"/>
        <v>0</v>
      </c>
      <c r="L240" s="28">
        <f t="shared" si="10"/>
        <v>0</v>
      </c>
      <c r="M240" s="28">
        <f t="shared" si="11"/>
        <v>0</v>
      </c>
      <c r="N240" s="29">
        <f>IF(F240="цифровой",IF(AND(F238="цифровой",OR(N238=1,N238="")),"",1),0)</f>
        <v>0</v>
      </c>
      <c r="O240" s="40"/>
      <c r="P240" s="40"/>
      <c r="Q240" s="40"/>
      <c r="R240" s="40"/>
    </row>
    <row r="241" spans="1:18" ht="15.75" customHeight="1" x14ac:dyDescent="0.2">
      <c r="A241" s="24"/>
      <c r="B241" s="46"/>
      <c r="C241" s="46"/>
      <c r="D241" s="25"/>
      <c r="E241" s="27" t="s">
        <v>50</v>
      </c>
      <c r="F241" s="26" t="s">
        <v>8</v>
      </c>
      <c r="G241" s="26" t="s">
        <v>9</v>
      </c>
      <c r="H241" s="27" t="s">
        <v>32</v>
      </c>
      <c r="I241" s="28">
        <f t="shared" si="7"/>
        <v>1</v>
      </c>
      <c r="J241" s="28">
        <f t="shared" si="8"/>
        <v>0</v>
      </c>
      <c r="K241" s="28">
        <f t="shared" si="9"/>
        <v>0</v>
      </c>
      <c r="L241" s="28">
        <f t="shared" si="10"/>
        <v>0</v>
      </c>
      <c r="M241" s="28">
        <f t="shared" si="11"/>
        <v>0</v>
      </c>
      <c r="N241" s="29">
        <f>IF(F241="цифровой",IF(AND(#REF!="цифровой",OR(#REF!=1,#REF!="")),"",1),0)</f>
        <v>0</v>
      </c>
      <c r="O241" s="40"/>
      <c r="P241" s="40"/>
      <c r="Q241" s="40"/>
      <c r="R241" s="40"/>
    </row>
    <row r="242" spans="1:18" ht="15.75" customHeight="1" thickBot="1" x14ac:dyDescent="0.25">
      <c r="A242" s="30"/>
      <c r="B242" s="47"/>
      <c r="C242" s="47"/>
      <c r="D242" s="31"/>
      <c r="E242" s="33" t="s">
        <v>51</v>
      </c>
      <c r="F242" s="32" t="s">
        <v>8</v>
      </c>
      <c r="G242" s="32" t="s">
        <v>9</v>
      </c>
      <c r="H242" s="33" t="s">
        <v>32</v>
      </c>
      <c r="I242" s="34">
        <f t="shared" si="7"/>
        <v>1</v>
      </c>
      <c r="J242" s="34">
        <f t="shared" si="8"/>
        <v>0</v>
      </c>
      <c r="K242" s="34">
        <f t="shared" si="9"/>
        <v>0</v>
      </c>
      <c r="L242" s="34">
        <f t="shared" si="10"/>
        <v>0</v>
      </c>
      <c r="M242" s="34">
        <f t="shared" si="11"/>
        <v>0</v>
      </c>
      <c r="N242" s="35">
        <f>IF(F242="цифровой",IF(AND(F238="цифровой",OR(N238=1,N238="")),"",1),0)</f>
        <v>0</v>
      </c>
      <c r="O242" s="40"/>
      <c r="P242" s="40"/>
      <c r="Q242" s="40"/>
      <c r="R242" s="40"/>
    </row>
    <row r="244" spans="1:18" ht="15.75" customHeight="1" x14ac:dyDescent="0.2"/>
    <row r="245" spans="1:18" ht="15.75" customHeight="1" x14ac:dyDescent="0.2"/>
    <row r="246" spans="1:18" ht="15.75" customHeight="1" x14ac:dyDescent="0.2"/>
    <row r="247" spans="1:18" ht="15.75" customHeight="1" x14ac:dyDescent="0.2"/>
    <row r="248" spans="1:18" ht="15.75" customHeight="1" x14ac:dyDescent="0.2"/>
    <row r="249" spans="1:18" ht="15.75" customHeight="1" x14ac:dyDescent="0.2"/>
    <row r="250" spans="1:18" ht="15.75" customHeight="1" x14ac:dyDescent="0.2"/>
    <row r="251" spans="1:18" ht="15.75" customHeight="1" x14ac:dyDescent="0.2"/>
    <row r="253" spans="1:18" ht="15.75" customHeight="1" x14ac:dyDescent="0.2"/>
    <row r="254" spans="1:18" ht="15.75" customHeight="1" x14ac:dyDescent="0.2"/>
    <row r="255" spans="1:18" ht="15.75" customHeight="1" x14ac:dyDescent="0.2"/>
    <row r="256" spans="1:18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spans="22:22" ht="15.75" customHeight="1" x14ac:dyDescent="0.2"/>
    <row r="1218" spans="22:22" ht="15.75" customHeight="1" x14ac:dyDescent="0.2"/>
    <row r="1219" spans="22:22" ht="15.75" customHeight="1" x14ac:dyDescent="0.2"/>
    <row r="1220" spans="22:22" ht="15.75" customHeight="1" x14ac:dyDescent="0.2"/>
    <row r="1221" spans="22:22" ht="15.75" customHeight="1" x14ac:dyDescent="0.2"/>
    <row r="1222" spans="22:22" ht="15.75" customHeight="1" x14ac:dyDescent="0.2"/>
    <row r="1223" spans="22:22" ht="15.75" customHeight="1" x14ac:dyDescent="0.2"/>
    <row r="1224" spans="22:22" ht="15.75" customHeight="1" x14ac:dyDescent="0.2"/>
    <row r="1225" spans="22:22" ht="15.75" customHeight="1" x14ac:dyDescent="0.2"/>
    <row r="1226" spans="22:22" ht="15.75" customHeight="1" x14ac:dyDescent="0.2"/>
    <row r="1227" spans="22:22" ht="15.75" customHeight="1" x14ac:dyDescent="0.2"/>
    <row r="1228" spans="22:22" ht="15.75" customHeight="1" x14ac:dyDescent="0.2"/>
    <row r="1229" spans="22:22" ht="15.75" customHeight="1" x14ac:dyDescent="0.2">
      <c r="V1229" s="41">
        <v>1</v>
      </c>
    </row>
    <row r="1230" spans="22:22" ht="15.75" customHeight="1" x14ac:dyDescent="0.2"/>
    <row r="1231" spans="22:22" ht="15.75" customHeight="1" x14ac:dyDescent="0.2"/>
    <row r="1232" spans="22:2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4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2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6" ht="15.75" customHeight="1" x14ac:dyDescent="0.2"/>
    <row r="2047" ht="15.75" customHeight="1" x14ac:dyDescent="0.2"/>
    <row r="2048" ht="15.75" customHeight="1" x14ac:dyDescent="0.2"/>
    <row r="2049" ht="15.75" customHeight="1" x14ac:dyDescent="0.2"/>
    <row r="2050" ht="15.75" customHeight="1" x14ac:dyDescent="0.2"/>
    <row r="2051" ht="15.75" customHeight="1" x14ac:dyDescent="0.2"/>
    <row r="2052" ht="15.75" customHeight="1" x14ac:dyDescent="0.2"/>
    <row r="2053" ht="15.75" customHeight="1" x14ac:dyDescent="0.2"/>
    <row r="2055" ht="15.75" customHeight="1" x14ac:dyDescent="0.2"/>
    <row r="2056" ht="15.75" customHeight="1" x14ac:dyDescent="0.2"/>
    <row r="2057" ht="15.75" customHeight="1" x14ac:dyDescent="0.2"/>
    <row r="2058" ht="15.75" customHeight="1" x14ac:dyDescent="0.2"/>
    <row r="2059" ht="15.75" customHeight="1" x14ac:dyDescent="0.2"/>
    <row r="2060" ht="15.75" customHeight="1" x14ac:dyDescent="0.2"/>
    <row r="2061" ht="15.75" customHeight="1" x14ac:dyDescent="0.2"/>
    <row r="2062" ht="15.75" customHeight="1" x14ac:dyDescent="0.2"/>
    <row r="2064" ht="15.75" customHeight="1" x14ac:dyDescent="0.2"/>
    <row r="2065" ht="15.75" customHeight="1" x14ac:dyDescent="0.2"/>
    <row r="2066" ht="15.75" customHeight="1" x14ac:dyDescent="0.2"/>
    <row r="2067" ht="15.75" customHeight="1" x14ac:dyDescent="0.2"/>
    <row r="2068" ht="15.75" customHeight="1" x14ac:dyDescent="0.2"/>
    <row r="2069" ht="15.75" customHeight="1" x14ac:dyDescent="0.2"/>
    <row r="2070" ht="15.75" customHeight="1" x14ac:dyDescent="0.2"/>
    <row r="2071" ht="15.75" customHeight="1" x14ac:dyDescent="0.2"/>
    <row r="2072" ht="15.75" customHeight="1" x14ac:dyDescent="0.2"/>
    <row r="2073" ht="15.75" customHeight="1" x14ac:dyDescent="0.2"/>
    <row r="2075" ht="15.75" customHeight="1" x14ac:dyDescent="0.2"/>
    <row r="2076" ht="15.75" customHeight="1" x14ac:dyDescent="0.2"/>
    <row r="2077" ht="15.75" customHeight="1" x14ac:dyDescent="0.2"/>
    <row r="2078" ht="15.75" customHeight="1" x14ac:dyDescent="0.2"/>
    <row r="2079" ht="15.75" customHeight="1" x14ac:dyDescent="0.2"/>
    <row r="2080" ht="15.75" customHeight="1" x14ac:dyDescent="0.2"/>
    <row r="2081" ht="15.75" customHeight="1" x14ac:dyDescent="0.2"/>
    <row r="2082" ht="15.75" customHeight="1" x14ac:dyDescent="0.2"/>
    <row r="2083" ht="15.75" customHeight="1" x14ac:dyDescent="0.2"/>
    <row r="2084" ht="15.75" customHeight="1" x14ac:dyDescent="0.2"/>
    <row r="2085" ht="15.75" customHeight="1" x14ac:dyDescent="0.2"/>
    <row r="2086" ht="15.75" customHeight="1" x14ac:dyDescent="0.2"/>
    <row r="2087" ht="15.75" customHeight="1" x14ac:dyDescent="0.2"/>
    <row r="2088" ht="15.75" customHeight="1" x14ac:dyDescent="0.2"/>
    <row r="2089" ht="15.75" customHeight="1" x14ac:dyDescent="0.2"/>
    <row r="2090" ht="15.75" customHeight="1" x14ac:dyDescent="0.2"/>
    <row r="2091" ht="15.75" customHeight="1" x14ac:dyDescent="0.2"/>
    <row r="2092" ht="15.75" customHeight="1" x14ac:dyDescent="0.2"/>
    <row r="2093" ht="15.75" customHeight="1" x14ac:dyDescent="0.2"/>
    <row r="2095" ht="15.75" customHeight="1" x14ac:dyDescent="0.2"/>
    <row r="2096" ht="15.75" customHeight="1" x14ac:dyDescent="0.2"/>
    <row r="2097" ht="15.75" customHeight="1" x14ac:dyDescent="0.2"/>
    <row r="2098" ht="15.75" customHeight="1" x14ac:dyDescent="0.2"/>
    <row r="2099" ht="15.75" customHeight="1" x14ac:dyDescent="0.2"/>
    <row r="2100" ht="15.75" customHeight="1" x14ac:dyDescent="0.2"/>
    <row r="2101" ht="15.75" customHeight="1" x14ac:dyDescent="0.2"/>
    <row r="2102" ht="15.75" customHeight="1" x14ac:dyDescent="0.2"/>
    <row r="2104" ht="15.75" customHeight="1" x14ac:dyDescent="0.2"/>
    <row r="2105" ht="15.75" customHeight="1" x14ac:dyDescent="0.2"/>
    <row r="2106" ht="15.75" customHeight="1" x14ac:dyDescent="0.2"/>
    <row r="2107" ht="15.75" customHeight="1" x14ac:dyDescent="0.2"/>
    <row r="2108" ht="15.75" customHeight="1" x14ac:dyDescent="0.2"/>
    <row r="2109" ht="15.75" customHeight="1" x14ac:dyDescent="0.2"/>
    <row r="2110" ht="15.75" customHeight="1" x14ac:dyDescent="0.2"/>
    <row r="2111" ht="15.75" customHeight="1" x14ac:dyDescent="0.2"/>
    <row r="2112" ht="15.75" customHeight="1" x14ac:dyDescent="0.2"/>
    <row r="2113" ht="15.75" customHeight="1" x14ac:dyDescent="0.2"/>
    <row r="2115" ht="15.75" customHeight="1" x14ac:dyDescent="0.2"/>
    <row r="2116" ht="15.75" customHeight="1" x14ac:dyDescent="0.2"/>
    <row r="2117" ht="15.75" customHeight="1" x14ac:dyDescent="0.2"/>
    <row r="2118" ht="15.75" customHeight="1" x14ac:dyDescent="0.2"/>
    <row r="2119" ht="15.75" customHeight="1" x14ac:dyDescent="0.2"/>
    <row r="2120" ht="15.75" customHeight="1" x14ac:dyDescent="0.2"/>
    <row r="2121" ht="15.75" customHeight="1" x14ac:dyDescent="0.2"/>
    <row r="2122" ht="15.75" customHeight="1" x14ac:dyDescent="0.2"/>
    <row r="2123" ht="15.75" customHeight="1" x14ac:dyDescent="0.2"/>
    <row r="2124" ht="15.75" customHeight="1" x14ac:dyDescent="0.2"/>
    <row r="2125" ht="15.75" customHeight="1" x14ac:dyDescent="0.2"/>
    <row r="2126" ht="15.75" customHeight="1" x14ac:dyDescent="0.2"/>
    <row r="2127" ht="15.75" customHeight="1" x14ac:dyDescent="0.2"/>
    <row r="2128" ht="15.75" customHeight="1" x14ac:dyDescent="0.2"/>
    <row r="2129" ht="15.75" customHeight="1" x14ac:dyDescent="0.2"/>
    <row r="2130" ht="15.75" customHeight="1" x14ac:dyDescent="0.2"/>
    <row r="2132" ht="15.75" customHeight="1" x14ac:dyDescent="0.2"/>
    <row r="2133" ht="15.75" customHeight="1" x14ac:dyDescent="0.2"/>
    <row r="2135" ht="15.75" customHeight="1" x14ac:dyDescent="0.2"/>
    <row r="2136" ht="15.75" customHeight="1" x14ac:dyDescent="0.2"/>
    <row r="2137" ht="15.75" customHeight="1" x14ac:dyDescent="0.2"/>
    <row r="2138" ht="15.75" customHeight="1" x14ac:dyDescent="0.2"/>
    <row r="2139" ht="15.75" customHeight="1" x14ac:dyDescent="0.2"/>
    <row r="2140" ht="15.75" customHeight="1" x14ac:dyDescent="0.2"/>
    <row r="2141" ht="15.75" customHeight="1" x14ac:dyDescent="0.2"/>
    <row r="2142" ht="15.75" customHeight="1" x14ac:dyDescent="0.2"/>
    <row r="2144" ht="15.75" customHeight="1" x14ac:dyDescent="0.2"/>
    <row r="2145" ht="15.75" customHeight="1" x14ac:dyDescent="0.2"/>
    <row r="2146" ht="15.75" customHeight="1" x14ac:dyDescent="0.2"/>
    <row r="2147" ht="15.75" customHeight="1" x14ac:dyDescent="0.2"/>
    <row r="2148" ht="15.75" customHeight="1" x14ac:dyDescent="0.2"/>
    <row r="2149" ht="15.75" customHeight="1" x14ac:dyDescent="0.2"/>
    <row r="2150" ht="15.75" customHeight="1" x14ac:dyDescent="0.2"/>
    <row r="2151" ht="15.75" customHeight="1" x14ac:dyDescent="0.2"/>
    <row r="2152" ht="15.75" customHeight="1" x14ac:dyDescent="0.2"/>
    <row r="2153" ht="15.75" customHeight="1" x14ac:dyDescent="0.2"/>
    <row r="2155" ht="15.75" customHeight="1" x14ac:dyDescent="0.2"/>
    <row r="2156" ht="15.75" customHeight="1" x14ac:dyDescent="0.2"/>
    <row r="2157" ht="15.75" customHeight="1" x14ac:dyDescent="0.2"/>
    <row r="2158" ht="15.75" customHeight="1" x14ac:dyDescent="0.2"/>
    <row r="2159" ht="15.75" customHeight="1" x14ac:dyDescent="0.2"/>
    <row r="2160" ht="15.75" customHeight="1" x14ac:dyDescent="0.2"/>
    <row r="2161" ht="15.75" customHeight="1" x14ac:dyDescent="0.2"/>
    <row r="2162" ht="15.75" customHeight="1" x14ac:dyDescent="0.2"/>
    <row r="2163" ht="15.75" customHeight="1" x14ac:dyDescent="0.2"/>
    <row r="2164" ht="15.75" customHeight="1" x14ac:dyDescent="0.2"/>
    <row r="2165" ht="15.75" customHeight="1" x14ac:dyDescent="0.2"/>
    <row r="2166" ht="15.75" customHeight="1" x14ac:dyDescent="0.2"/>
    <row r="2167" ht="15.75" customHeight="1" x14ac:dyDescent="0.2"/>
    <row r="2168" ht="15.75" customHeight="1" x14ac:dyDescent="0.2"/>
    <row r="2169" ht="15.75" customHeight="1" x14ac:dyDescent="0.2"/>
    <row r="2170" ht="15.75" customHeight="1" x14ac:dyDescent="0.2"/>
    <row r="2171" ht="15.75" customHeight="1" x14ac:dyDescent="0.2"/>
    <row r="2172" ht="15.75" customHeight="1" x14ac:dyDescent="0.2"/>
    <row r="2173" ht="15.75" customHeight="1" x14ac:dyDescent="0.2"/>
    <row r="2175" ht="15.75" customHeight="1" x14ac:dyDescent="0.2"/>
    <row r="2176" ht="15.75" customHeight="1" x14ac:dyDescent="0.2"/>
    <row r="2177" ht="15.75" customHeight="1" x14ac:dyDescent="0.2"/>
    <row r="2178" ht="15.75" customHeight="1" x14ac:dyDescent="0.2"/>
    <row r="2179" ht="15.75" customHeight="1" x14ac:dyDescent="0.2"/>
    <row r="2180" ht="15.75" customHeight="1" x14ac:dyDescent="0.2"/>
    <row r="2181" ht="15.75" customHeight="1" x14ac:dyDescent="0.2"/>
    <row r="2182" ht="15.75" customHeight="1" x14ac:dyDescent="0.2"/>
    <row r="2184" ht="15.75" customHeight="1" x14ac:dyDescent="0.2"/>
    <row r="2185" ht="15.75" customHeight="1" x14ac:dyDescent="0.2"/>
    <row r="2186" ht="15.75" customHeight="1" x14ac:dyDescent="0.2"/>
    <row r="2187" ht="15.75" customHeight="1" x14ac:dyDescent="0.2"/>
    <row r="2188" ht="15.75" customHeight="1" x14ac:dyDescent="0.2"/>
    <row r="2189" ht="15.75" customHeight="1" x14ac:dyDescent="0.2"/>
    <row r="2190" ht="15.75" customHeight="1" x14ac:dyDescent="0.2"/>
    <row r="2191" ht="15.75" customHeight="1" x14ac:dyDescent="0.2"/>
    <row r="2193" ht="15.75" customHeight="1" x14ac:dyDescent="0.2"/>
    <row r="2194" ht="15.75" customHeight="1" x14ac:dyDescent="0.2"/>
    <row r="2195" ht="15.75" customHeight="1" x14ac:dyDescent="0.2"/>
    <row r="2196" ht="15.75" customHeight="1" x14ac:dyDescent="0.2"/>
    <row r="2197" ht="15.75" customHeight="1" x14ac:dyDescent="0.2"/>
    <row r="2198" ht="15.75" customHeight="1" x14ac:dyDescent="0.2"/>
    <row r="2199" ht="15.75" customHeight="1" x14ac:dyDescent="0.2"/>
    <row r="2200" ht="15.75" customHeight="1" x14ac:dyDescent="0.2"/>
    <row r="2201" ht="15.75" customHeight="1" x14ac:dyDescent="0.2"/>
    <row r="2202" ht="15.75" customHeight="1" x14ac:dyDescent="0.2"/>
    <row r="2203" ht="15.75" customHeight="1" x14ac:dyDescent="0.2"/>
    <row r="2204" ht="15.75" customHeight="1" x14ac:dyDescent="0.2"/>
    <row r="2205" ht="15.75" customHeight="1" x14ac:dyDescent="0.2"/>
    <row r="2206" ht="15.75" customHeight="1" x14ac:dyDescent="0.2"/>
    <row r="2207" ht="15.75" customHeight="1" x14ac:dyDescent="0.2"/>
    <row r="2208" ht="15.75" customHeight="1" x14ac:dyDescent="0.2"/>
    <row r="2209" ht="15.75" customHeight="1" x14ac:dyDescent="0.2"/>
    <row r="2210" ht="15.75" customHeight="1" x14ac:dyDescent="0.2"/>
    <row r="2211" ht="15.75" customHeight="1" x14ac:dyDescent="0.2"/>
    <row r="2212" ht="15.75" customHeight="1" x14ac:dyDescent="0.2"/>
    <row r="2213" ht="15.75" customHeight="1" x14ac:dyDescent="0.2"/>
    <row r="2215" ht="15.75" customHeight="1" x14ac:dyDescent="0.2"/>
    <row r="2216" ht="15.75" customHeight="1" x14ac:dyDescent="0.2"/>
    <row r="2217" ht="15.75" customHeight="1" x14ac:dyDescent="0.2"/>
    <row r="2218" ht="15.75" customHeight="1" x14ac:dyDescent="0.2"/>
    <row r="2219" ht="15.75" customHeight="1" x14ac:dyDescent="0.2"/>
    <row r="2220" ht="15.75" customHeight="1" x14ac:dyDescent="0.2"/>
    <row r="2221" ht="15.75" customHeight="1" x14ac:dyDescent="0.2"/>
    <row r="2222" ht="15.75" customHeight="1" x14ac:dyDescent="0.2"/>
    <row r="2224" ht="15.75" customHeight="1" x14ac:dyDescent="0.2"/>
    <row r="2225" ht="15.75" customHeight="1" x14ac:dyDescent="0.2"/>
    <row r="2226" ht="15.75" customHeight="1" x14ac:dyDescent="0.2"/>
    <row r="2227" ht="15.75" customHeight="1" x14ac:dyDescent="0.2"/>
    <row r="2228" ht="15.75" customHeight="1" x14ac:dyDescent="0.2"/>
    <row r="2229" ht="15.75" customHeight="1" x14ac:dyDescent="0.2"/>
    <row r="2230" ht="15.75" customHeight="1" x14ac:dyDescent="0.2"/>
    <row r="2231" ht="15.75" customHeight="1" x14ac:dyDescent="0.2"/>
    <row r="2232" ht="15.75" customHeight="1" x14ac:dyDescent="0.2"/>
    <row r="2233" ht="15.75" customHeight="1" x14ac:dyDescent="0.2"/>
    <row r="2234" ht="15.75" customHeight="1" x14ac:dyDescent="0.2"/>
    <row r="2235" ht="15.75" customHeight="1" x14ac:dyDescent="0.2"/>
    <row r="2237" ht="15.75" customHeight="1" x14ac:dyDescent="0.2"/>
    <row r="2238" ht="15.75" customHeight="1" x14ac:dyDescent="0.2"/>
    <row r="2239" ht="15.75" customHeight="1" x14ac:dyDescent="0.2"/>
    <row r="2240" ht="15.75" customHeight="1" x14ac:dyDescent="0.2"/>
    <row r="2241" ht="15.75" customHeight="1" x14ac:dyDescent="0.2"/>
    <row r="2242" ht="15.75" customHeight="1" x14ac:dyDescent="0.2"/>
    <row r="2243" ht="15.75" customHeight="1" x14ac:dyDescent="0.2"/>
    <row r="2244" ht="15.75" customHeight="1" x14ac:dyDescent="0.2"/>
    <row r="2245" ht="15.75" customHeight="1" x14ac:dyDescent="0.2"/>
    <row r="2246" ht="15.75" customHeight="1" x14ac:dyDescent="0.2"/>
    <row r="2247" ht="15.75" customHeight="1" x14ac:dyDescent="0.2"/>
    <row r="2248" ht="15.75" customHeight="1" x14ac:dyDescent="0.2"/>
    <row r="2249" ht="15.75" customHeight="1" x14ac:dyDescent="0.2"/>
    <row r="2250" ht="15.75" customHeight="1" x14ac:dyDescent="0.2"/>
    <row r="2251" ht="15.75" customHeight="1" x14ac:dyDescent="0.2"/>
    <row r="2252" ht="15.75" customHeight="1" x14ac:dyDescent="0.2"/>
    <row r="2253" ht="15.75" customHeight="1" x14ac:dyDescent="0.2"/>
    <row r="2254" ht="15.75" customHeight="1" x14ac:dyDescent="0.2"/>
    <row r="2255" ht="15.75" customHeight="1" x14ac:dyDescent="0.2"/>
    <row r="2256" ht="15.75" customHeight="1" x14ac:dyDescent="0.2"/>
    <row r="2257" ht="15.75" customHeight="1" x14ac:dyDescent="0.2"/>
    <row r="2258" ht="15.75" customHeight="1" x14ac:dyDescent="0.2"/>
    <row r="2259" ht="15.75" customHeight="1" x14ac:dyDescent="0.2"/>
    <row r="2260" ht="15.75" customHeight="1" x14ac:dyDescent="0.2"/>
    <row r="2262" ht="15.75" customHeight="1" x14ac:dyDescent="0.2"/>
    <row r="2263" ht="15.75" customHeight="1" x14ac:dyDescent="0.2"/>
    <row r="2264" ht="15.75" customHeight="1" x14ac:dyDescent="0.2"/>
    <row r="2265" ht="15.75" customHeight="1" x14ac:dyDescent="0.2"/>
    <row r="2266" ht="15.75" customHeight="1" x14ac:dyDescent="0.2"/>
    <row r="2267" ht="15.75" customHeight="1" x14ac:dyDescent="0.2"/>
    <row r="2268" ht="15.75" customHeight="1" x14ac:dyDescent="0.2"/>
    <row r="2269" ht="15.75" customHeight="1" x14ac:dyDescent="0.2"/>
    <row r="2271" ht="15.75" customHeight="1" x14ac:dyDescent="0.2"/>
    <row r="2273" ht="15.75" customHeight="1" x14ac:dyDescent="0.2"/>
    <row r="2274" ht="15.75" customHeight="1" x14ac:dyDescent="0.2"/>
    <row r="2275" ht="15.75" customHeight="1" x14ac:dyDescent="0.2"/>
    <row r="2276" ht="15.75" customHeight="1" x14ac:dyDescent="0.2"/>
    <row r="2277" ht="15.75" customHeight="1" x14ac:dyDescent="0.2"/>
    <row r="2278" ht="15.75" customHeight="1" x14ac:dyDescent="0.2"/>
    <row r="2279" ht="15.75" customHeight="1" x14ac:dyDescent="0.2"/>
    <row r="2280" ht="15.75" customHeight="1" x14ac:dyDescent="0.2"/>
    <row r="2282" ht="15.75" customHeight="1" x14ac:dyDescent="0.2"/>
    <row r="2283" ht="15.75" customHeight="1" x14ac:dyDescent="0.2"/>
    <row r="2284" ht="15.75" customHeight="1" x14ac:dyDescent="0.2"/>
    <row r="2285" ht="15.75" customHeight="1" x14ac:dyDescent="0.2"/>
    <row r="2286" ht="15.75" customHeight="1" x14ac:dyDescent="0.2"/>
    <row r="2287" ht="15.75" customHeight="1" x14ac:dyDescent="0.2"/>
    <row r="2288" ht="15.75" customHeight="1" x14ac:dyDescent="0.2"/>
    <row r="2289" ht="15.75" customHeight="1" x14ac:dyDescent="0.2"/>
    <row r="2291" ht="15.75" customHeight="1" x14ac:dyDescent="0.2"/>
    <row r="2292" ht="15.75" customHeight="1" x14ac:dyDescent="0.2"/>
    <row r="2293" ht="15.75" customHeight="1" x14ac:dyDescent="0.2"/>
    <row r="2294" ht="15.75" customHeight="1" x14ac:dyDescent="0.2"/>
    <row r="2295" ht="15.75" customHeight="1" x14ac:dyDescent="0.2"/>
    <row r="2296" ht="15.75" customHeight="1" x14ac:dyDescent="0.2"/>
    <row r="2297" ht="15.75" customHeight="1" x14ac:dyDescent="0.2"/>
    <row r="2298" ht="15.75" customHeight="1" x14ac:dyDescent="0.2"/>
    <row r="2300" ht="15.75" customHeight="1" x14ac:dyDescent="0.2"/>
    <row r="2301" ht="15.75" customHeight="1" x14ac:dyDescent="0.2"/>
    <row r="2302" ht="15.75" customHeight="1" x14ac:dyDescent="0.2"/>
    <row r="2303" ht="15.75" customHeight="1" x14ac:dyDescent="0.2"/>
    <row r="2304" ht="15.75" customHeight="1" x14ac:dyDescent="0.2"/>
    <row r="2305" ht="15.75" customHeight="1" x14ac:dyDescent="0.2"/>
    <row r="2306" ht="15.75" customHeight="1" x14ac:dyDescent="0.2"/>
    <row r="2307" ht="15.75" customHeight="1" x14ac:dyDescent="0.2"/>
    <row r="2308" ht="15.75" customHeight="1" x14ac:dyDescent="0.2"/>
    <row r="2310" ht="15.75" customHeight="1" x14ac:dyDescent="0.2"/>
    <row r="2311" ht="15.75" customHeight="1" x14ac:dyDescent="0.2"/>
    <row r="2312" ht="15.75" customHeight="1" x14ac:dyDescent="0.2"/>
    <row r="2313" ht="15.75" customHeight="1" x14ac:dyDescent="0.2"/>
    <row r="2314" ht="15.75" customHeight="1" x14ac:dyDescent="0.2"/>
    <row r="2315" ht="15.75" customHeight="1" x14ac:dyDescent="0.2"/>
    <row r="2316" ht="15.75" customHeight="1" x14ac:dyDescent="0.2"/>
    <row r="2317" ht="15.75" customHeight="1" x14ac:dyDescent="0.2"/>
    <row r="2319" ht="15.75" customHeight="1" x14ac:dyDescent="0.2"/>
    <row r="2320" ht="15.75" customHeight="1" x14ac:dyDescent="0.2"/>
    <row r="2321" ht="15.75" customHeight="1" x14ac:dyDescent="0.2"/>
    <row r="2322" ht="15.75" customHeight="1" x14ac:dyDescent="0.2"/>
    <row r="2323" ht="15.75" customHeight="1" x14ac:dyDescent="0.2"/>
    <row r="2324" ht="15.75" customHeight="1" x14ac:dyDescent="0.2"/>
    <row r="2325" ht="15.75" customHeight="1" x14ac:dyDescent="0.2"/>
    <row r="2326" ht="15.75" customHeight="1" x14ac:dyDescent="0.2"/>
    <row r="2328" ht="15.75" customHeight="1" x14ac:dyDescent="0.2"/>
    <row r="2330" ht="15.75" customHeight="1" x14ac:dyDescent="0.2"/>
    <row r="2331" ht="15.75" customHeight="1" x14ac:dyDescent="0.2"/>
    <row r="2332" ht="15.75" customHeight="1" x14ac:dyDescent="0.2"/>
    <row r="2333" ht="15.75" customHeight="1" x14ac:dyDescent="0.2"/>
    <row r="2334" ht="15.75" customHeight="1" x14ac:dyDescent="0.2"/>
    <row r="2335" ht="15.75" customHeight="1" x14ac:dyDescent="0.2"/>
    <row r="2336" ht="15.75" customHeight="1" x14ac:dyDescent="0.2"/>
    <row r="2337" ht="15.75" customHeight="1" x14ac:dyDescent="0.2"/>
    <row r="2339" ht="15.75" customHeight="1" x14ac:dyDescent="0.2"/>
    <row r="2340" ht="15.75" customHeight="1" x14ac:dyDescent="0.2"/>
    <row r="2341" ht="15.75" customHeight="1" x14ac:dyDescent="0.2"/>
    <row r="2342" ht="15.75" customHeight="1" x14ac:dyDescent="0.2"/>
    <row r="2343" ht="15.75" customHeight="1" x14ac:dyDescent="0.2"/>
    <row r="2344" ht="15.75" customHeight="1" x14ac:dyDescent="0.2"/>
    <row r="2345" ht="15.75" customHeight="1" x14ac:dyDescent="0.2"/>
    <row r="2346" ht="15.75" customHeight="1" x14ac:dyDescent="0.2"/>
    <row r="2348" ht="15.75" customHeight="1" x14ac:dyDescent="0.2"/>
    <row r="2350" ht="15.75" customHeight="1" x14ac:dyDescent="0.2"/>
    <row r="2351" ht="15.75" customHeight="1" x14ac:dyDescent="0.2"/>
    <row r="2352" ht="15.75" customHeight="1" x14ac:dyDescent="0.2"/>
    <row r="2353" ht="15.75" customHeight="1" x14ac:dyDescent="0.2"/>
    <row r="2354" ht="15.75" customHeight="1" x14ac:dyDescent="0.2"/>
    <row r="2355" ht="15.75" customHeight="1" x14ac:dyDescent="0.2"/>
    <row r="2356" ht="15.75" customHeight="1" x14ac:dyDescent="0.2"/>
    <row r="2357" ht="15.75" customHeight="1" x14ac:dyDescent="0.2"/>
    <row r="2359" ht="15.75" customHeight="1" x14ac:dyDescent="0.2"/>
    <row r="2360" ht="15.75" customHeight="1" x14ac:dyDescent="0.2"/>
    <row r="2361" ht="15.75" customHeight="1" x14ac:dyDescent="0.2"/>
    <row r="2362" ht="15.75" customHeight="1" x14ac:dyDescent="0.2"/>
    <row r="2363" ht="15.75" customHeight="1" x14ac:dyDescent="0.2"/>
    <row r="2364" ht="15.75" customHeight="1" x14ac:dyDescent="0.2"/>
    <row r="2365" ht="15.75" customHeight="1" x14ac:dyDescent="0.2"/>
    <row r="2366" ht="15.75" customHeight="1" x14ac:dyDescent="0.2"/>
    <row r="2368" ht="15.75" customHeight="1" x14ac:dyDescent="0.2"/>
    <row r="2370" ht="15.75" customHeight="1" x14ac:dyDescent="0.2"/>
    <row r="2371" ht="15.75" customHeight="1" x14ac:dyDescent="0.2"/>
    <row r="2372" ht="15.75" customHeight="1" x14ac:dyDescent="0.2"/>
    <row r="2373" ht="15.75" customHeight="1" x14ac:dyDescent="0.2"/>
    <row r="2374" ht="15.75" customHeight="1" x14ac:dyDescent="0.2"/>
    <row r="2375" ht="15.75" customHeight="1" x14ac:dyDescent="0.2"/>
    <row r="2376" ht="15.75" customHeight="1" x14ac:dyDescent="0.2"/>
    <row r="2377" ht="15.75" customHeight="1" x14ac:dyDescent="0.2"/>
    <row r="2379" ht="15.75" customHeight="1" x14ac:dyDescent="0.2"/>
    <row r="2380" ht="15.75" customHeight="1" x14ac:dyDescent="0.2"/>
    <row r="2381" ht="15.75" customHeight="1" x14ac:dyDescent="0.2"/>
    <row r="2382" ht="15.75" customHeight="1" x14ac:dyDescent="0.2"/>
    <row r="2383" ht="15.75" customHeight="1" x14ac:dyDescent="0.2"/>
    <row r="2384" ht="15.75" customHeight="1" x14ac:dyDescent="0.2"/>
    <row r="2385" ht="15.75" customHeight="1" x14ac:dyDescent="0.2"/>
    <row r="2386" ht="15.75" customHeight="1" x14ac:dyDescent="0.2"/>
    <row r="2388" ht="15.75" customHeight="1" x14ac:dyDescent="0.2"/>
    <row r="2390" ht="15.75" customHeight="1" x14ac:dyDescent="0.2"/>
    <row r="2391" ht="15.75" customHeight="1" x14ac:dyDescent="0.2"/>
    <row r="2392" ht="15.75" customHeight="1" x14ac:dyDescent="0.2"/>
    <row r="2393" ht="15.75" customHeight="1" x14ac:dyDescent="0.2"/>
    <row r="2394" ht="15.75" customHeight="1" x14ac:dyDescent="0.2"/>
    <row r="2395" ht="15.75" customHeight="1" x14ac:dyDescent="0.2"/>
    <row r="2396" ht="15.75" customHeight="1" x14ac:dyDescent="0.2"/>
    <row r="2397" ht="15.75" customHeight="1" x14ac:dyDescent="0.2"/>
    <row r="2399" ht="15.75" customHeight="1" x14ac:dyDescent="0.2"/>
    <row r="2400" ht="15.75" customHeight="1" x14ac:dyDescent="0.2"/>
    <row r="2401" ht="15.75" customHeight="1" x14ac:dyDescent="0.2"/>
    <row r="2402" ht="15.75" customHeight="1" x14ac:dyDescent="0.2"/>
    <row r="2403" ht="15.75" customHeight="1" x14ac:dyDescent="0.2"/>
    <row r="2404" ht="15.75" customHeight="1" x14ac:dyDescent="0.2"/>
    <row r="2405" ht="15.75" customHeight="1" x14ac:dyDescent="0.2"/>
    <row r="2406" ht="15.75" customHeight="1" x14ac:dyDescent="0.2"/>
    <row r="2408" ht="15.75" customHeight="1" x14ac:dyDescent="0.2"/>
    <row r="2410" ht="15.75" customHeight="1" x14ac:dyDescent="0.2"/>
    <row r="2411" ht="15.75" customHeight="1" x14ac:dyDescent="0.2"/>
    <row r="2412" ht="15.75" customHeight="1" x14ac:dyDescent="0.2"/>
    <row r="2413" ht="15.75" customHeight="1" x14ac:dyDescent="0.2"/>
    <row r="2414" ht="15.75" customHeight="1" x14ac:dyDescent="0.2"/>
    <row r="2415" ht="15.75" customHeight="1" x14ac:dyDescent="0.2"/>
    <row r="2416" ht="15.75" customHeight="1" x14ac:dyDescent="0.2"/>
    <row r="2417" ht="15.75" customHeight="1" x14ac:dyDescent="0.2"/>
    <row r="2419" ht="15.75" customHeight="1" x14ac:dyDescent="0.2"/>
    <row r="2420" ht="15.75" customHeight="1" x14ac:dyDescent="0.2"/>
    <row r="2421" ht="15.75" customHeight="1" x14ac:dyDescent="0.2"/>
    <row r="2422" ht="15.75" customHeight="1" x14ac:dyDescent="0.2"/>
    <row r="2423" ht="15.75" customHeight="1" x14ac:dyDescent="0.2"/>
    <row r="2424" ht="15.75" customHeight="1" x14ac:dyDescent="0.2"/>
    <row r="2425" ht="15.75" customHeight="1" x14ac:dyDescent="0.2"/>
    <row r="2426" ht="15.75" customHeight="1" x14ac:dyDescent="0.2"/>
    <row r="2428" ht="15.75" customHeight="1" x14ac:dyDescent="0.2"/>
    <row r="2430" ht="15.75" customHeight="1" x14ac:dyDescent="0.2"/>
    <row r="2431" ht="15.75" customHeight="1" x14ac:dyDescent="0.2"/>
    <row r="2432" ht="15.75" customHeight="1" x14ac:dyDescent="0.2"/>
    <row r="2433" ht="15.75" customHeight="1" x14ac:dyDescent="0.2"/>
    <row r="2434" ht="15.75" customHeight="1" x14ac:dyDescent="0.2"/>
    <row r="2435" ht="15.75" customHeight="1" x14ac:dyDescent="0.2"/>
    <row r="2436" ht="15.75" customHeight="1" x14ac:dyDescent="0.2"/>
    <row r="2437" ht="15.75" customHeight="1" x14ac:dyDescent="0.2"/>
    <row r="2439" ht="15.75" customHeight="1" x14ac:dyDescent="0.2"/>
    <row r="2440" ht="15.75" customHeight="1" x14ac:dyDescent="0.2"/>
    <row r="2441" ht="15.75" customHeight="1" x14ac:dyDescent="0.2"/>
    <row r="2442" ht="15.75" customHeight="1" x14ac:dyDescent="0.2"/>
    <row r="2443" ht="15.75" customHeight="1" x14ac:dyDescent="0.2"/>
    <row r="2444" ht="15.75" customHeight="1" x14ac:dyDescent="0.2"/>
    <row r="2445" ht="15.75" customHeight="1" x14ac:dyDescent="0.2"/>
    <row r="2446" ht="15.75" customHeight="1" x14ac:dyDescent="0.2"/>
    <row r="2448" ht="15.75" customHeight="1" x14ac:dyDescent="0.2"/>
    <row r="2450" ht="15.75" customHeight="1" x14ac:dyDescent="0.2"/>
    <row r="2451" ht="15.75" customHeight="1" x14ac:dyDescent="0.2"/>
    <row r="2452" ht="15.75" customHeight="1" x14ac:dyDescent="0.2"/>
    <row r="2453" ht="15.75" customHeight="1" x14ac:dyDescent="0.2"/>
    <row r="2454" ht="15.75" customHeight="1" x14ac:dyDescent="0.2"/>
    <row r="2455" ht="15.75" customHeight="1" x14ac:dyDescent="0.2"/>
    <row r="2456" ht="15.75" customHeight="1" x14ac:dyDescent="0.2"/>
    <row r="2457" ht="15.75" customHeight="1" x14ac:dyDescent="0.2"/>
    <row r="2459" ht="15.75" customHeight="1" x14ac:dyDescent="0.2"/>
    <row r="2460" ht="15.75" customHeight="1" x14ac:dyDescent="0.2"/>
    <row r="2461" ht="15.75" customHeight="1" x14ac:dyDescent="0.2"/>
    <row r="2462" ht="15.75" customHeight="1" x14ac:dyDescent="0.2"/>
    <row r="2463" ht="15.75" customHeight="1" x14ac:dyDescent="0.2"/>
    <row r="2464" ht="15.75" customHeight="1" x14ac:dyDescent="0.2"/>
    <row r="2465" ht="15.75" customHeight="1" x14ac:dyDescent="0.2"/>
    <row r="2466" ht="15.75" customHeight="1" x14ac:dyDescent="0.2"/>
    <row r="2467" ht="15.75" customHeight="1" x14ac:dyDescent="0.2"/>
    <row r="2468" ht="15.75" customHeight="1" x14ac:dyDescent="0.2"/>
    <row r="2469" ht="15.75" customHeight="1" x14ac:dyDescent="0.2"/>
    <row r="2470" ht="15.75" customHeight="1" x14ac:dyDescent="0.2"/>
    <row r="2471" ht="15.75" customHeight="1" x14ac:dyDescent="0.2"/>
    <row r="2472" ht="15.75" customHeight="1" x14ac:dyDescent="0.2"/>
    <row r="2473" ht="15.75" customHeight="1" x14ac:dyDescent="0.2"/>
    <row r="2474" ht="15.75" customHeight="1" x14ac:dyDescent="0.2"/>
    <row r="2475" ht="15.75" customHeight="1" x14ac:dyDescent="0.2"/>
    <row r="2476" ht="15.75" customHeight="1" x14ac:dyDescent="0.2"/>
    <row r="2477" ht="15.75" customHeight="1" x14ac:dyDescent="0.2"/>
    <row r="2478" ht="15.75" customHeight="1" x14ac:dyDescent="0.2"/>
    <row r="2480" ht="15.75" customHeight="1" x14ac:dyDescent="0.2"/>
    <row r="2482" ht="15.75" customHeight="1" x14ac:dyDescent="0.2"/>
    <row r="2483" ht="15.75" customHeight="1" x14ac:dyDescent="0.2"/>
    <row r="2484" ht="15.75" customHeight="1" x14ac:dyDescent="0.2"/>
    <row r="2485" ht="15.75" customHeight="1" x14ac:dyDescent="0.2"/>
    <row r="2486" ht="15.75" customHeight="1" x14ac:dyDescent="0.2"/>
    <row r="2487" ht="15.75" customHeight="1" x14ac:dyDescent="0.2"/>
    <row r="2488" ht="15.75" customHeight="1" x14ac:dyDescent="0.2"/>
    <row r="2489" ht="15.75" customHeight="1" x14ac:dyDescent="0.2"/>
    <row r="2490" ht="15.75" customHeight="1" x14ac:dyDescent="0.2"/>
    <row r="2492" ht="15.75" customHeight="1" x14ac:dyDescent="0.2"/>
    <row r="2493" ht="15.75" customHeight="1" x14ac:dyDescent="0.2"/>
    <row r="2494" ht="15.75" customHeight="1" x14ac:dyDescent="0.2"/>
    <row r="2495" ht="15.75" customHeight="1" x14ac:dyDescent="0.2"/>
    <row r="2496" ht="15.75" customHeight="1" x14ac:dyDescent="0.2"/>
    <row r="2497" ht="15.75" customHeight="1" x14ac:dyDescent="0.2"/>
    <row r="2498" ht="15.75" customHeight="1" x14ac:dyDescent="0.2"/>
    <row r="2500" ht="15.75" customHeight="1" x14ac:dyDescent="0.2"/>
    <row r="2502" ht="15.75" customHeight="1" x14ac:dyDescent="0.2"/>
    <row r="2503" ht="15.75" customHeight="1" x14ac:dyDescent="0.2"/>
    <row r="2504" ht="15.75" customHeight="1" x14ac:dyDescent="0.2"/>
    <row r="2505" ht="15.75" customHeight="1" x14ac:dyDescent="0.2"/>
    <row r="2506" ht="15.75" customHeight="1" x14ac:dyDescent="0.2"/>
    <row r="2507" ht="15.75" customHeight="1" x14ac:dyDescent="0.2"/>
    <row r="2509" ht="15.75" customHeight="1" x14ac:dyDescent="0.2"/>
    <row r="2511" ht="15.75" customHeight="1" x14ac:dyDescent="0.2"/>
    <row r="2512" ht="15.75" customHeight="1" x14ac:dyDescent="0.2"/>
    <row r="2513" ht="15.75" customHeight="1" x14ac:dyDescent="0.2"/>
    <row r="2514" ht="15.75" customHeight="1" x14ac:dyDescent="0.2"/>
    <row r="2515" ht="15.75" customHeight="1" x14ac:dyDescent="0.2"/>
    <row r="2516" ht="15.75" customHeight="1" x14ac:dyDescent="0.2"/>
    <row r="2517" ht="15.75" customHeight="1" x14ac:dyDescent="0.2"/>
    <row r="2518" ht="15.75" customHeight="1" x14ac:dyDescent="0.2"/>
    <row r="2519" ht="15.75" customHeight="1" x14ac:dyDescent="0.2"/>
    <row r="2520" ht="15.75" customHeight="1" x14ac:dyDescent="0.2"/>
    <row r="2521" ht="15.75" customHeight="1" x14ac:dyDescent="0.2"/>
    <row r="2522" ht="15.75" customHeight="1" x14ac:dyDescent="0.2"/>
    <row r="2523" ht="15.75" customHeight="1" x14ac:dyDescent="0.2"/>
    <row r="2524" ht="15.75" customHeight="1" x14ac:dyDescent="0.2"/>
    <row r="2525" ht="15.75" customHeight="1" x14ac:dyDescent="0.2"/>
    <row r="2526" ht="15.75" customHeight="1" x14ac:dyDescent="0.2"/>
    <row r="2528" ht="15.75" customHeight="1" x14ac:dyDescent="0.2"/>
    <row r="2530" ht="15.75" customHeight="1" x14ac:dyDescent="0.2"/>
    <row r="2531" ht="15.75" customHeight="1" x14ac:dyDescent="0.2"/>
    <row r="2532" ht="15.75" customHeight="1" x14ac:dyDescent="0.2"/>
    <row r="2533" ht="15.75" customHeight="1" x14ac:dyDescent="0.2"/>
    <row r="2534" ht="15.75" customHeight="1" x14ac:dyDescent="0.2"/>
    <row r="2535" ht="15.75" customHeight="1" x14ac:dyDescent="0.2"/>
    <row r="2537" ht="15.75" customHeight="1" x14ac:dyDescent="0.2"/>
    <row r="2539" ht="15.75" customHeight="1" x14ac:dyDescent="0.2"/>
    <row r="2540" ht="15.75" customHeight="1" x14ac:dyDescent="0.2"/>
    <row r="2541" ht="15.75" customHeight="1" x14ac:dyDescent="0.2"/>
    <row r="2542" ht="15.75" customHeight="1" x14ac:dyDescent="0.2"/>
    <row r="2543" ht="15.75" customHeight="1" x14ac:dyDescent="0.2"/>
    <row r="2544" ht="15.75" customHeight="1" x14ac:dyDescent="0.2"/>
    <row r="2545" ht="15.75" customHeight="1" x14ac:dyDescent="0.2"/>
    <row r="2547" ht="15.75" customHeight="1" x14ac:dyDescent="0.2"/>
    <row r="2549" ht="15.75" customHeight="1" x14ac:dyDescent="0.2"/>
    <row r="2550" ht="15.75" customHeight="1" x14ac:dyDescent="0.2"/>
    <row r="2551" ht="15.75" customHeight="1" x14ac:dyDescent="0.2"/>
    <row r="2552" ht="15.75" customHeight="1" x14ac:dyDescent="0.2"/>
    <row r="2553" ht="15.75" customHeight="1" x14ac:dyDescent="0.2"/>
    <row r="2554" ht="15.75" customHeight="1" x14ac:dyDescent="0.2"/>
    <row r="2556" ht="15.75" customHeight="1" x14ac:dyDescent="0.2"/>
    <row r="2559" ht="15.75" customHeight="1" x14ac:dyDescent="0.2"/>
    <row r="2588" ht="15.75" customHeight="1" x14ac:dyDescent="0.2"/>
    <row r="2616" ht="15.75" customHeight="1" x14ac:dyDescent="0.2"/>
    <row r="2617" ht="15.75" customHeight="1" x14ac:dyDescent="0.2"/>
    <row r="2618" ht="15.75" customHeight="1" x14ac:dyDescent="0.2"/>
    <row r="2619" ht="15.75" customHeight="1" x14ac:dyDescent="0.2"/>
    <row r="2620" ht="15.75" customHeight="1" x14ac:dyDescent="0.2"/>
    <row r="2623" ht="15.75" customHeight="1" x14ac:dyDescent="0.2"/>
    <row r="2652" ht="15.75" customHeight="1" x14ac:dyDescent="0.2"/>
    <row r="2680" ht="15.75" customHeight="1" x14ac:dyDescent="0.2"/>
    <row r="2681" ht="15.75" customHeight="1" x14ac:dyDescent="0.2"/>
    <row r="2682" ht="15.75" customHeight="1" x14ac:dyDescent="0.2"/>
    <row r="2683" ht="15.75" customHeight="1" x14ac:dyDescent="0.2"/>
    <row r="2684" ht="15.75" customHeight="1" x14ac:dyDescent="0.2"/>
    <row r="2686" ht="15.75" customHeight="1" x14ac:dyDescent="0.2"/>
    <row r="2688" ht="15.75" customHeight="1" x14ac:dyDescent="0.2"/>
    <row r="2689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5" ht="15.75" customHeight="1" x14ac:dyDescent="0.2"/>
    <row r="2696" ht="15.75" customHeight="1" x14ac:dyDescent="0.2"/>
    <row r="2697" ht="15.75" customHeight="1" x14ac:dyDescent="0.2"/>
    <row r="2698" ht="15.75" customHeight="1" x14ac:dyDescent="0.2"/>
    <row r="2699" ht="15.75" customHeight="1" x14ac:dyDescent="0.2"/>
    <row r="2700" ht="15.75" customHeight="1" x14ac:dyDescent="0.2"/>
    <row r="2701" ht="15.75" customHeight="1" x14ac:dyDescent="0.2"/>
    <row r="2702" ht="15.75" customHeight="1" x14ac:dyDescent="0.2"/>
    <row r="2703" ht="15.75" customHeight="1" x14ac:dyDescent="0.2"/>
    <row r="2704" ht="15.75" customHeight="1" x14ac:dyDescent="0.2"/>
    <row r="2705" ht="15.75" customHeight="1" x14ac:dyDescent="0.2"/>
    <row r="2706" ht="15.75" customHeight="1" x14ac:dyDescent="0.2"/>
    <row r="2707" ht="15.75" customHeight="1" x14ac:dyDescent="0.2"/>
    <row r="2710" ht="15.75" customHeight="1" x14ac:dyDescent="0.2"/>
    <row r="2711" ht="15.75" customHeight="1" x14ac:dyDescent="0.2"/>
    <row r="2712" ht="15.75" customHeight="1" x14ac:dyDescent="0.2"/>
    <row r="2715" ht="15.75" customHeight="1" x14ac:dyDescent="0.2"/>
    <row r="2716" ht="15.75" customHeight="1" x14ac:dyDescent="0.2"/>
    <row r="2717" ht="15.75" customHeight="1" x14ac:dyDescent="0.2"/>
    <row r="2718" ht="15.75" customHeight="1" x14ac:dyDescent="0.2"/>
    <row r="2722" ht="15.75" customHeight="1" x14ac:dyDescent="0.2"/>
    <row r="2723" ht="15.75" customHeight="1" x14ac:dyDescent="0.2"/>
    <row r="2724" ht="15.75" customHeight="1" x14ac:dyDescent="0.2"/>
    <row r="2725" ht="15.75" customHeight="1" x14ac:dyDescent="0.2"/>
    <row r="2729" ht="15.75" customHeight="1" x14ac:dyDescent="0.2"/>
    <row r="2730" ht="15.75" customHeight="1" x14ac:dyDescent="0.2"/>
    <row r="2731" ht="15.75" customHeight="1" x14ac:dyDescent="0.2"/>
    <row r="2732" ht="15.75" customHeight="1" x14ac:dyDescent="0.2"/>
    <row r="2733" ht="15.75" customHeight="1" x14ac:dyDescent="0.2"/>
    <row r="2737" ht="15.75" customHeight="1" x14ac:dyDescent="0.2"/>
    <row r="2738" ht="15.75" customHeight="1" x14ac:dyDescent="0.2"/>
    <row r="2739" ht="15.75" customHeight="1" x14ac:dyDescent="0.2"/>
    <row r="2740" ht="15.75" customHeight="1" x14ac:dyDescent="0.2"/>
    <row r="2741" ht="15.75" customHeight="1" x14ac:dyDescent="0.2"/>
    <row r="2742" ht="15.75" customHeight="1" x14ac:dyDescent="0.2"/>
    <row r="2743" ht="15.75" customHeight="1" x14ac:dyDescent="0.2"/>
    <row r="2744" ht="15.75" customHeight="1" x14ac:dyDescent="0.2"/>
    <row r="2745" ht="15.75" customHeight="1" x14ac:dyDescent="0.2"/>
    <row r="2746" ht="15.75" customHeight="1" x14ac:dyDescent="0.2"/>
    <row r="2747" ht="15.75" customHeight="1" x14ac:dyDescent="0.2"/>
    <row r="2748" ht="15.75" customHeight="1" x14ac:dyDescent="0.2"/>
    <row r="2749" ht="15.75" customHeight="1" x14ac:dyDescent="0.2"/>
    <row r="2750" ht="15.75" customHeight="1" x14ac:dyDescent="0.2"/>
    <row r="2751" ht="15.75" customHeight="1" x14ac:dyDescent="0.2"/>
    <row r="2752" ht="15.75" customHeight="1" x14ac:dyDescent="0.2"/>
    <row r="2753" ht="15.75" customHeight="1" x14ac:dyDescent="0.2"/>
    <row r="2754" ht="15.75" customHeight="1" x14ac:dyDescent="0.2"/>
    <row r="2755" ht="15.75" customHeight="1" x14ac:dyDescent="0.2"/>
    <row r="2756" ht="15.75" customHeight="1" x14ac:dyDescent="0.2"/>
    <row r="2757" ht="15.75" customHeight="1" x14ac:dyDescent="0.2"/>
    <row r="2758" ht="15.75" customHeight="1" x14ac:dyDescent="0.2"/>
    <row r="2759" ht="15.75" customHeight="1" x14ac:dyDescent="0.2"/>
    <row r="2760" ht="15.75" customHeight="1" x14ac:dyDescent="0.2"/>
    <row r="2761" ht="15.75" customHeight="1" x14ac:dyDescent="0.2"/>
    <row r="2762" ht="15.75" customHeight="1" x14ac:dyDescent="0.2"/>
    <row r="2763" ht="15.75" customHeight="1" x14ac:dyDescent="0.2"/>
    <row r="2764" ht="15.75" customHeight="1" x14ac:dyDescent="0.2"/>
    <row r="2765" ht="15.75" customHeight="1" x14ac:dyDescent="0.2"/>
    <row r="2768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21" ht="15.75" customHeight="1" x14ac:dyDescent="0.2"/>
    <row r="2822" ht="15.75" customHeight="1" x14ac:dyDescent="0.2"/>
    <row r="2823" ht="15.75" customHeight="1" x14ac:dyDescent="0.2"/>
    <row r="2824" ht="15.75" customHeight="1" x14ac:dyDescent="0.2"/>
    <row r="2828" ht="15.75" customHeight="1" x14ac:dyDescent="0.2"/>
    <row r="2829" ht="15.75" customHeight="1" x14ac:dyDescent="0.2"/>
    <row r="2830" ht="15.75" customHeight="1" x14ac:dyDescent="0.2"/>
    <row r="2831" ht="15.75" customHeight="1" x14ac:dyDescent="0.2"/>
    <row r="2832" ht="15.75" customHeight="1" x14ac:dyDescent="0.2"/>
    <row r="2836" ht="15.75" customHeight="1" x14ac:dyDescent="0.2"/>
    <row r="2837" ht="15.75" customHeight="1" x14ac:dyDescent="0.2"/>
    <row r="2838" ht="15.75" customHeight="1" x14ac:dyDescent="0.2"/>
    <row r="2839" ht="15.75" customHeight="1" x14ac:dyDescent="0.2"/>
    <row r="2840" ht="15.75" customHeight="1" x14ac:dyDescent="0.2"/>
    <row r="2841" ht="15.75" customHeight="1" x14ac:dyDescent="0.2"/>
    <row r="2845" ht="15.75" customHeight="1" x14ac:dyDescent="0.2"/>
    <row r="2846" ht="15.75" customHeight="1" x14ac:dyDescent="0.2"/>
    <row r="2847" ht="15.75" customHeight="1" x14ac:dyDescent="0.2"/>
    <row r="2848" ht="15.75" customHeight="1" x14ac:dyDescent="0.2"/>
    <row r="2849" ht="15.75" customHeight="1" x14ac:dyDescent="0.2"/>
    <row r="2850" ht="15.75" customHeight="1" x14ac:dyDescent="0.2"/>
    <row r="2851" ht="15.75" customHeight="1" x14ac:dyDescent="0.2"/>
    <row r="2852" ht="15.75" customHeight="1" x14ac:dyDescent="0.2"/>
    <row r="2853" ht="15.75" customHeight="1" x14ac:dyDescent="0.2"/>
    <row r="2854" ht="15.75" customHeight="1" x14ac:dyDescent="0.2"/>
    <row r="2855" ht="15.75" customHeight="1" x14ac:dyDescent="0.2"/>
    <row r="2856" ht="15.75" customHeight="1" x14ac:dyDescent="0.2"/>
    <row r="2857" ht="15.75" customHeight="1" x14ac:dyDescent="0.2"/>
    <row r="2859" ht="15.75" customHeight="1" x14ac:dyDescent="0.2"/>
    <row r="2860" ht="15.75" customHeight="1" x14ac:dyDescent="0.2"/>
    <row r="2861" ht="15.75" customHeight="1" x14ac:dyDescent="0.2"/>
    <row r="2862" ht="15.75" customHeight="1" x14ac:dyDescent="0.2"/>
    <row r="2863" ht="15.75" customHeight="1" x14ac:dyDescent="0.2"/>
    <row r="2864" ht="15.75" customHeight="1" x14ac:dyDescent="0.2"/>
    <row r="2865" ht="15.75" customHeight="1" x14ac:dyDescent="0.2"/>
    <row r="2866" ht="15.75" customHeight="1" x14ac:dyDescent="0.2"/>
    <row r="2870" ht="15.75" customHeight="1" x14ac:dyDescent="0.2"/>
    <row r="2871" ht="15.75" customHeight="1" x14ac:dyDescent="0.2"/>
    <row r="2872" ht="15.75" customHeight="1" x14ac:dyDescent="0.2"/>
    <row r="2873" ht="15.75" customHeight="1" x14ac:dyDescent="0.2"/>
    <row r="2877" ht="15.75" customHeight="1" x14ac:dyDescent="0.2"/>
    <row r="2878" ht="15.75" customHeight="1" x14ac:dyDescent="0.2"/>
    <row r="2879" ht="15.75" customHeight="1" x14ac:dyDescent="0.2"/>
    <row r="2882" ht="15.75" customHeight="1" x14ac:dyDescent="0.2"/>
    <row r="2883" ht="15.75" customHeight="1" x14ac:dyDescent="0.2"/>
    <row r="2884" ht="15.75" customHeight="1" x14ac:dyDescent="0.2"/>
    <row r="2885" ht="15.75" customHeight="1" x14ac:dyDescent="0.2"/>
    <row r="2886" ht="15.75" customHeight="1" x14ac:dyDescent="0.2"/>
    <row r="2887" ht="15.75" customHeight="1" x14ac:dyDescent="0.2"/>
    <row r="2888" ht="15.75" customHeight="1" x14ac:dyDescent="0.2"/>
    <row r="2889" ht="15.75" customHeight="1" x14ac:dyDescent="0.2"/>
    <row r="2890" ht="15.75" customHeight="1" x14ac:dyDescent="0.2"/>
    <row r="2891" ht="15.75" customHeight="1" x14ac:dyDescent="0.2"/>
    <row r="2892" ht="15.75" customHeight="1" x14ac:dyDescent="0.2"/>
    <row r="2893" ht="15.75" customHeight="1" x14ac:dyDescent="0.2"/>
    <row r="2894" ht="15.75" customHeight="1" x14ac:dyDescent="0.2"/>
    <row r="2895" ht="15.75" customHeight="1" x14ac:dyDescent="0.2"/>
    <row r="2896" ht="15.75" customHeight="1" x14ac:dyDescent="0.2"/>
    <row r="2897" ht="15.75" customHeight="1" x14ac:dyDescent="0.2"/>
    <row r="2898" ht="15.75" customHeight="1" x14ac:dyDescent="0.2"/>
    <row r="2899" ht="15.75" customHeight="1" x14ac:dyDescent="0.2"/>
    <row r="2900" ht="15.75" customHeight="1" x14ac:dyDescent="0.2"/>
    <row r="2901" ht="15.75" customHeight="1" x14ac:dyDescent="0.2"/>
    <row r="2902" ht="15.75" customHeight="1" x14ac:dyDescent="0.2"/>
    <row r="2903" ht="15.75" customHeight="1" x14ac:dyDescent="0.2"/>
    <row r="2904" ht="15.75" customHeight="1" x14ac:dyDescent="0.2"/>
    <row r="2905" ht="15.75" customHeight="1" x14ac:dyDescent="0.2"/>
    <row r="2906" ht="15.75" customHeight="1" x14ac:dyDescent="0.2"/>
    <row r="2907" ht="15.75" customHeight="1" x14ac:dyDescent="0.2"/>
    <row r="2908" ht="15.75" customHeight="1" x14ac:dyDescent="0.2"/>
    <row r="2909" ht="15.75" customHeight="1" x14ac:dyDescent="0.2"/>
    <row r="2910" ht="15.75" customHeight="1" x14ac:dyDescent="0.2"/>
    <row r="2911" ht="15.75" customHeight="1" x14ac:dyDescent="0.2"/>
    <row r="2912" ht="15.75" customHeight="1" x14ac:dyDescent="0.2"/>
    <row r="2913" ht="15.75" customHeight="1" x14ac:dyDescent="0.2"/>
    <row r="2914" ht="15.75" customHeight="1" x14ac:dyDescent="0.2"/>
    <row r="2915" ht="15.75" customHeight="1" x14ac:dyDescent="0.2"/>
    <row r="2916" ht="15.75" customHeight="1" x14ac:dyDescent="0.2"/>
    <row r="2917" ht="15.75" customHeight="1" x14ac:dyDescent="0.2"/>
    <row r="2918" ht="15.75" customHeight="1" x14ac:dyDescent="0.2"/>
    <row r="2919" ht="15.75" customHeight="1" x14ac:dyDescent="0.2"/>
    <row r="2920" ht="15.75" customHeight="1" x14ac:dyDescent="0.2"/>
    <row r="2921" ht="15.75" customHeight="1" x14ac:dyDescent="0.2"/>
    <row r="2923" ht="15.75" customHeight="1" x14ac:dyDescent="0.2"/>
    <row r="2924" ht="15.75" customHeight="1" x14ac:dyDescent="0.2"/>
    <row r="2925" ht="15.75" customHeight="1" x14ac:dyDescent="0.2"/>
    <row r="2926" ht="15.75" customHeight="1" x14ac:dyDescent="0.2"/>
    <row r="2927" ht="15.75" customHeight="1" x14ac:dyDescent="0.2"/>
    <row r="2929" ht="15.75" customHeight="1" x14ac:dyDescent="0.2"/>
    <row r="2930" ht="15.75" customHeight="1" x14ac:dyDescent="0.2"/>
    <row r="2931" ht="15.75" customHeight="1" x14ac:dyDescent="0.2"/>
    <row r="2932" ht="15.75" customHeight="1" x14ac:dyDescent="0.2"/>
    <row r="2933" ht="15.75" customHeight="1" x14ac:dyDescent="0.2"/>
    <row r="2935" ht="15.75" customHeight="1" x14ac:dyDescent="0.2"/>
    <row r="2936" ht="15.75" customHeight="1" x14ac:dyDescent="0.2"/>
    <row r="2937" ht="15.75" customHeight="1" x14ac:dyDescent="0.2"/>
    <row r="2938" ht="15.75" customHeight="1" x14ac:dyDescent="0.2"/>
    <row r="2939" ht="15.75" customHeight="1" x14ac:dyDescent="0.2"/>
    <row r="2941" ht="15.75" customHeight="1" x14ac:dyDescent="0.2"/>
    <row r="2942" ht="15.75" customHeight="1" x14ac:dyDescent="0.2"/>
    <row r="2943" ht="15.75" customHeight="1" x14ac:dyDescent="0.2"/>
    <row r="2944" ht="15.75" customHeight="1" x14ac:dyDescent="0.2"/>
    <row r="2945" ht="15.75" customHeight="1" x14ac:dyDescent="0.2"/>
    <row r="2947" ht="15.75" customHeight="1" x14ac:dyDescent="0.2"/>
    <row r="2948" ht="15.75" customHeight="1" x14ac:dyDescent="0.2"/>
    <row r="2949" ht="15.75" customHeight="1" x14ac:dyDescent="0.2"/>
    <row r="2950" ht="15.75" customHeight="1" x14ac:dyDescent="0.2"/>
    <row r="2951" ht="15.75" customHeight="1" x14ac:dyDescent="0.2"/>
    <row r="2953" ht="15.75" customHeight="1" x14ac:dyDescent="0.2"/>
    <row r="2954" ht="15.75" customHeight="1" x14ac:dyDescent="0.2"/>
    <row r="2955" ht="15.75" customHeight="1" x14ac:dyDescent="0.2"/>
    <row r="2956" ht="15.75" customHeight="1" x14ac:dyDescent="0.2"/>
    <row r="2957" ht="15.75" customHeight="1" x14ac:dyDescent="0.2"/>
    <row r="2959" ht="15.75" customHeight="1" x14ac:dyDescent="0.2"/>
    <row r="2960" ht="15.75" customHeight="1" x14ac:dyDescent="0.2"/>
    <row r="2961" ht="15.75" customHeight="1" x14ac:dyDescent="0.2"/>
    <row r="2962" ht="15.75" customHeight="1" x14ac:dyDescent="0.2"/>
    <row r="2963" ht="15.75" customHeight="1" x14ac:dyDescent="0.2"/>
    <row r="2965" ht="15.75" customHeight="1" x14ac:dyDescent="0.2"/>
    <row r="2966" ht="15.75" customHeight="1" x14ac:dyDescent="0.2"/>
    <row r="2967" ht="15.75" customHeight="1" x14ac:dyDescent="0.2"/>
    <row r="2968" ht="15.75" customHeight="1" x14ac:dyDescent="0.2"/>
    <row r="2969" ht="15.75" customHeight="1" x14ac:dyDescent="0.2"/>
    <row r="2971" ht="15.75" customHeight="1" x14ac:dyDescent="0.2"/>
    <row r="2972" ht="15.75" customHeight="1" x14ac:dyDescent="0.2"/>
    <row r="2973" ht="15.75" customHeight="1" x14ac:dyDescent="0.2"/>
    <row r="2974" ht="15.75" customHeight="1" x14ac:dyDescent="0.2"/>
    <row r="2975" ht="15.75" customHeight="1" x14ac:dyDescent="0.2"/>
    <row r="2977" ht="15.75" customHeight="1" x14ac:dyDescent="0.2"/>
    <row r="2978" ht="15.75" customHeight="1" x14ac:dyDescent="0.2"/>
    <row r="2979" ht="15.75" customHeight="1" x14ac:dyDescent="0.2"/>
    <row r="2980" ht="15.75" customHeight="1" x14ac:dyDescent="0.2"/>
    <row r="2981" ht="15.75" customHeight="1" x14ac:dyDescent="0.2"/>
    <row r="2982" ht="15.75" customHeight="1" x14ac:dyDescent="0.2"/>
    <row r="2983" ht="15.75" customHeight="1" x14ac:dyDescent="0.2"/>
    <row r="2984" ht="15.75" customHeight="1" x14ac:dyDescent="0.2"/>
    <row r="2985" ht="15.75" customHeight="1" x14ac:dyDescent="0.2"/>
    <row r="2986" ht="15.75" customHeight="1" x14ac:dyDescent="0.2"/>
    <row r="2987" ht="15.75" customHeight="1" x14ac:dyDescent="0.2"/>
    <row r="2988" ht="15.75" customHeight="1" x14ac:dyDescent="0.2"/>
    <row r="2989" ht="15.75" customHeight="1" x14ac:dyDescent="0.2"/>
    <row r="2990" ht="15.75" customHeight="1" x14ac:dyDescent="0.2"/>
    <row r="2991" ht="15.75" customHeight="1" x14ac:dyDescent="0.2"/>
    <row r="2992" ht="15.75" customHeight="1" x14ac:dyDescent="0.2"/>
    <row r="2993" ht="15.75" customHeight="1" x14ac:dyDescent="0.2"/>
    <row r="2994" ht="15.75" customHeight="1" x14ac:dyDescent="0.2"/>
    <row r="2995" ht="15.75" customHeight="1" x14ac:dyDescent="0.2"/>
    <row r="2996" ht="15.75" customHeight="1" x14ac:dyDescent="0.2"/>
    <row r="2997" ht="15.75" customHeight="1" x14ac:dyDescent="0.2"/>
    <row r="2998" ht="15.75" customHeight="1" x14ac:dyDescent="0.2"/>
    <row r="2999" ht="15.75" customHeight="1" x14ac:dyDescent="0.2"/>
    <row r="3000" ht="15.75" customHeight="1" x14ac:dyDescent="0.2"/>
    <row r="3001" ht="15.75" customHeight="1" x14ac:dyDescent="0.2"/>
    <row r="3002" ht="15.75" customHeight="1" x14ac:dyDescent="0.2"/>
    <row r="3003" ht="15.75" customHeight="1" x14ac:dyDescent="0.2"/>
    <row r="3004" ht="15.75" customHeight="1" x14ac:dyDescent="0.2"/>
    <row r="3005" ht="15.75" customHeight="1" x14ac:dyDescent="0.2"/>
    <row r="3006" ht="15.75" customHeight="1" x14ac:dyDescent="0.2"/>
    <row r="3007" ht="15.75" customHeight="1" x14ac:dyDescent="0.2"/>
    <row r="3008" ht="15.75" customHeight="1" x14ac:dyDescent="0.2"/>
    <row r="3009" ht="15.75" customHeight="1" x14ac:dyDescent="0.2"/>
    <row r="3011" ht="15.75" customHeight="1" x14ac:dyDescent="0.2"/>
    <row r="3012" ht="15.75" customHeight="1" x14ac:dyDescent="0.2"/>
    <row r="3013" ht="15.75" customHeight="1" x14ac:dyDescent="0.2"/>
    <row r="3014" ht="15.75" customHeight="1" x14ac:dyDescent="0.2"/>
    <row r="3015" ht="15.75" customHeight="1" x14ac:dyDescent="0.2"/>
    <row r="3017" ht="15.75" customHeight="1" x14ac:dyDescent="0.2"/>
    <row r="3018" ht="15.75" customHeight="1" x14ac:dyDescent="0.2"/>
    <row r="3019" ht="15.75" customHeight="1" x14ac:dyDescent="0.2"/>
    <row r="3020" ht="15.75" customHeight="1" x14ac:dyDescent="0.2"/>
    <row r="3021" ht="15.75" customHeight="1" x14ac:dyDescent="0.2"/>
    <row r="3023" ht="15.75" customHeight="1" x14ac:dyDescent="0.2"/>
    <row r="3024" ht="15.75" customHeight="1" x14ac:dyDescent="0.2"/>
    <row r="3025" ht="15.75" customHeight="1" x14ac:dyDescent="0.2"/>
    <row r="3026" ht="15.75" customHeight="1" x14ac:dyDescent="0.2"/>
    <row r="3027" ht="15.75" customHeight="1" x14ac:dyDescent="0.2"/>
    <row r="3029" ht="15.75" customHeight="1" x14ac:dyDescent="0.2"/>
    <row r="3030" ht="15.75" customHeight="1" x14ac:dyDescent="0.2"/>
    <row r="3031" ht="15.75" customHeight="1" x14ac:dyDescent="0.2"/>
    <row r="3032" ht="15.75" customHeight="1" x14ac:dyDescent="0.2"/>
    <row r="3033" ht="15.75" customHeight="1" x14ac:dyDescent="0.2"/>
    <row r="3035" ht="15.75" customHeight="1" x14ac:dyDescent="0.2"/>
    <row r="3036" ht="15.75" customHeight="1" x14ac:dyDescent="0.2"/>
    <row r="3037" ht="15.75" customHeight="1" x14ac:dyDescent="0.2"/>
    <row r="3038" ht="15.75" customHeight="1" x14ac:dyDescent="0.2"/>
    <row r="3039" ht="15.75" customHeight="1" x14ac:dyDescent="0.2"/>
    <row r="3041" ht="15.75" customHeight="1" x14ac:dyDescent="0.2"/>
    <row r="3042" ht="15.75" customHeight="1" x14ac:dyDescent="0.2"/>
    <row r="3043" ht="15.75" customHeight="1" x14ac:dyDescent="0.2"/>
    <row r="3044" ht="15.75" customHeight="1" x14ac:dyDescent="0.2"/>
    <row r="3045" ht="15.75" customHeight="1" x14ac:dyDescent="0.2"/>
    <row r="3047" ht="15.75" customHeight="1" x14ac:dyDescent="0.2"/>
    <row r="3048" ht="15.75" customHeight="1" x14ac:dyDescent="0.2"/>
    <row r="3049" ht="15.75" customHeight="1" x14ac:dyDescent="0.2"/>
    <row r="3050" ht="15.75" customHeight="1" x14ac:dyDescent="0.2"/>
    <row r="3051" ht="15.75" customHeight="1" x14ac:dyDescent="0.2"/>
    <row r="3053" ht="15.75" customHeight="1" x14ac:dyDescent="0.2"/>
    <row r="3054" ht="15.75" customHeight="1" x14ac:dyDescent="0.2"/>
    <row r="3055" ht="15.75" customHeight="1" x14ac:dyDescent="0.2"/>
    <row r="3056" ht="15.75" customHeight="1" x14ac:dyDescent="0.2"/>
    <row r="3057" ht="15.75" customHeight="1" x14ac:dyDescent="0.2"/>
    <row r="3059" ht="15.75" customHeight="1" x14ac:dyDescent="0.2"/>
    <row r="3060" ht="15.75" customHeight="1" x14ac:dyDescent="0.2"/>
    <row r="3061" ht="15.75" customHeight="1" x14ac:dyDescent="0.2"/>
    <row r="3062" ht="15.75" customHeight="1" x14ac:dyDescent="0.2"/>
    <row r="3063" ht="15.75" customHeight="1" x14ac:dyDescent="0.2"/>
    <row r="3065" ht="15.75" customHeight="1" x14ac:dyDescent="0.2"/>
    <row r="3066" ht="15.75" customHeight="1" x14ac:dyDescent="0.2"/>
    <row r="3067" ht="15.75" customHeight="1" x14ac:dyDescent="0.2"/>
    <row r="3068" ht="15.75" customHeight="1" x14ac:dyDescent="0.2"/>
    <row r="3069" ht="15.75" customHeight="1" x14ac:dyDescent="0.2"/>
    <row r="3071" ht="15.75" customHeight="1" x14ac:dyDescent="0.2"/>
    <row r="3072" ht="15.75" customHeight="1" x14ac:dyDescent="0.2"/>
    <row r="3073" ht="15.75" customHeight="1" x14ac:dyDescent="0.2"/>
    <row r="3074" ht="15.75" customHeight="1" x14ac:dyDescent="0.2"/>
    <row r="3075" ht="15.75" customHeight="1" x14ac:dyDescent="0.2"/>
    <row r="3077" ht="15.75" customHeight="1" x14ac:dyDescent="0.2"/>
    <row r="3078" ht="15.75" customHeight="1" x14ac:dyDescent="0.2"/>
    <row r="3079" ht="15.75" customHeight="1" x14ac:dyDescent="0.2"/>
    <row r="3080" ht="15.75" customHeight="1" x14ac:dyDescent="0.2"/>
    <row r="3081" ht="15.75" customHeight="1" x14ac:dyDescent="0.2"/>
    <row r="3082" ht="15.75" customHeight="1" x14ac:dyDescent="0.2"/>
    <row r="3083" ht="15.75" customHeight="1" x14ac:dyDescent="0.2"/>
    <row r="3084" ht="15.75" customHeight="1" x14ac:dyDescent="0.2"/>
    <row r="3085" ht="15.75" customHeight="1" x14ac:dyDescent="0.2"/>
    <row r="3086" ht="15.75" customHeight="1" x14ac:dyDescent="0.2"/>
    <row r="3087" ht="15.75" customHeight="1" x14ac:dyDescent="0.2"/>
    <row r="3088" ht="15.75" customHeight="1" x14ac:dyDescent="0.2"/>
    <row r="3089" ht="15.75" customHeight="1" x14ac:dyDescent="0.2"/>
    <row r="3090" ht="15.75" customHeight="1" x14ac:dyDescent="0.2"/>
    <row r="3091" ht="15.75" customHeight="1" x14ac:dyDescent="0.2"/>
    <row r="3092" ht="15.75" customHeight="1" x14ac:dyDescent="0.2"/>
    <row r="3093" ht="15.75" customHeight="1" x14ac:dyDescent="0.2"/>
    <row r="3094" ht="15.75" customHeight="1" x14ac:dyDescent="0.2"/>
    <row r="3095" ht="15.75" customHeight="1" x14ac:dyDescent="0.2"/>
    <row r="3096" ht="15.75" customHeight="1" x14ac:dyDescent="0.2"/>
    <row r="3097" ht="15.75" customHeight="1" x14ac:dyDescent="0.2"/>
    <row r="3098" ht="15.75" customHeight="1" x14ac:dyDescent="0.2"/>
    <row r="3099" ht="15.75" customHeight="1" x14ac:dyDescent="0.2"/>
    <row r="3100" ht="15.75" customHeight="1" x14ac:dyDescent="0.2"/>
    <row r="3101" ht="15.75" customHeight="1" x14ac:dyDescent="0.2"/>
    <row r="3102" ht="15.75" customHeight="1" x14ac:dyDescent="0.2"/>
    <row r="3103" ht="15.75" customHeight="1" x14ac:dyDescent="0.2"/>
    <row r="3104" ht="15.75" customHeight="1" x14ac:dyDescent="0.2"/>
    <row r="3105" ht="15.75" customHeight="1" x14ac:dyDescent="0.2"/>
    <row r="3106" ht="15.75" customHeight="1" x14ac:dyDescent="0.2"/>
    <row r="3107" ht="15.75" customHeight="1" x14ac:dyDescent="0.2"/>
    <row r="3108" ht="15.75" customHeight="1" x14ac:dyDescent="0.2"/>
    <row r="3109" ht="15.75" customHeight="1" x14ac:dyDescent="0.2"/>
    <row r="3110" ht="15.75" customHeight="1" x14ac:dyDescent="0.2"/>
    <row r="3111" ht="15.75" customHeight="1" x14ac:dyDescent="0.2"/>
    <row r="3112" ht="15.75" customHeight="1" x14ac:dyDescent="0.2"/>
    <row r="3113" ht="15.75" customHeight="1" x14ac:dyDescent="0.2"/>
    <row r="3114" ht="15.75" customHeight="1" x14ac:dyDescent="0.2"/>
    <row r="3115" ht="15.75" customHeight="1" x14ac:dyDescent="0.2"/>
    <row r="3116" ht="15.75" customHeight="1" x14ac:dyDescent="0.2"/>
    <row r="3117" ht="15.75" customHeight="1" x14ac:dyDescent="0.2"/>
    <row r="3118" ht="15.75" customHeight="1" x14ac:dyDescent="0.2"/>
    <row r="3119" ht="15.75" customHeight="1" x14ac:dyDescent="0.2"/>
    <row r="3120" ht="15.75" customHeight="1" x14ac:dyDescent="0.2"/>
  </sheetData>
  <mergeCells count="40">
    <mergeCell ref="D204:D218"/>
    <mergeCell ref="D219:D233"/>
    <mergeCell ref="D150:D155"/>
    <mergeCell ref="D156:D161"/>
    <mergeCell ref="D162:D167"/>
    <mergeCell ref="D168:D173"/>
    <mergeCell ref="D174:D179"/>
    <mergeCell ref="D180:D185"/>
    <mergeCell ref="D186:D191"/>
    <mergeCell ref="B204:B233"/>
    <mergeCell ref="C204:C233"/>
    <mergeCell ref="B234:B242"/>
    <mergeCell ref="C234:C242"/>
    <mergeCell ref="D4:D14"/>
    <mergeCell ref="D15:D25"/>
    <mergeCell ref="D26:D31"/>
    <mergeCell ref="D32:D37"/>
    <mergeCell ref="D38:D43"/>
    <mergeCell ref="D44:D49"/>
    <mergeCell ref="D50:D55"/>
    <mergeCell ref="D56:D61"/>
    <mergeCell ref="D62:D67"/>
    <mergeCell ref="D68:D73"/>
    <mergeCell ref="D74:D79"/>
    <mergeCell ref="D80:D85"/>
    <mergeCell ref="D86:D91"/>
    <mergeCell ref="B4:B97"/>
    <mergeCell ref="C4:C97"/>
    <mergeCell ref="B98:B203"/>
    <mergeCell ref="C98:C203"/>
    <mergeCell ref="D92:D97"/>
    <mergeCell ref="D98:D108"/>
    <mergeCell ref="D109:D119"/>
    <mergeCell ref="D120:D125"/>
    <mergeCell ref="D126:D131"/>
    <mergeCell ref="D132:D137"/>
    <mergeCell ref="D138:D143"/>
    <mergeCell ref="D144:D149"/>
    <mergeCell ref="D192:D197"/>
    <mergeCell ref="D198:D203"/>
  </mergeCells>
  <conditionalFormatting sqref="O1:O242 Q1:Q242">
    <cfRule type="expression" dxfId="0" priority="1">
      <formula>COUNTIF(O:O, O1)&gt;1</formula>
    </cfRule>
  </conditionalFormatting>
  <dataValidations count="4">
    <dataValidation type="list" allowBlank="1" showErrorMessage="1" sqref="B4 B98 B204 B234" xr:uid="{00000000-0002-0000-0000-000003000000}">
      <formula1>$T$1:$T$6</formula1>
    </dataValidation>
    <dataValidation type="list" allowBlank="1" showErrorMessage="1" sqref="F4:F242" xr:uid="{00000000-0002-0000-0000-000000000000}">
      <formula1>$U$1:$U$3</formula1>
    </dataValidation>
    <dataValidation type="list" allowBlank="1" showErrorMessage="1" sqref="G4:G242" xr:uid="{00000000-0002-0000-0000-000002000000}">
      <formula1>$V$1:$V$2</formula1>
    </dataValidation>
    <dataValidation type="list" allowBlank="1" showErrorMessage="1" sqref="H4:H242" xr:uid="{00000000-0002-0000-0000-000004000000}">
      <formula1>$S$1:$S$15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/>
  </sheetViews>
  <sheetFormatPr defaultColWidth="14.42578125" defaultRowHeight="15" customHeight="1" x14ac:dyDescent="0.2"/>
  <sheetData>
    <row r="1" spans="1:12" x14ac:dyDescent="0.25">
      <c r="A1" s="42" t="s">
        <v>108</v>
      </c>
      <c r="B1" s="42" t="s">
        <v>109</v>
      </c>
      <c r="C1" s="45" t="s">
        <v>110</v>
      </c>
      <c r="D1" s="45" t="s">
        <v>108</v>
      </c>
      <c r="E1" s="45" t="s">
        <v>109</v>
      </c>
      <c r="F1" s="45" t="s">
        <v>111</v>
      </c>
      <c r="G1" s="45" t="s">
        <v>112</v>
      </c>
      <c r="H1" s="45" t="s">
        <v>113</v>
      </c>
      <c r="I1" s="45" t="s">
        <v>114</v>
      </c>
      <c r="J1" s="45" t="s">
        <v>109</v>
      </c>
      <c r="K1" s="45" t="s">
        <v>108</v>
      </c>
      <c r="L1" s="45" t="s">
        <v>115</v>
      </c>
    </row>
    <row r="2" spans="1:12" x14ac:dyDescent="0.25">
      <c r="A2" s="42" t="s">
        <v>116</v>
      </c>
      <c r="B2" s="42" t="s">
        <v>117</v>
      </c>
      <c r="C2" s="42" t="s">
        <v>110</v>
      </c>
      <c r="D2" s="42" t="s">
        <v>116</v>
      </c>
      <c r="E2" s="42" t="s">
        <v>117</v>
      </c>
      <c r="F2" s="42" t="s">
        <v>111</v>
      </c>
      <c r="G2" s="42" t="s">
        <v>118</v>
      </c>
      <c r="H2" s="42" t="s">
        <v>119</v>
      </c>
      <c r="I2" s="42" t="s">
        <v>114</v>
      </c>
      <c r="J2" s="42" t="s">
        <v>120</v>
      </c>
      <c r="K2" s="42" t="s">
        <v>121</v>
      </c>
      <c r="L2" s="42" t="s">
        <v>122</v>
      </c>
    </row>
    <row r="3" spans="1:12" x14ac:dyDescent="0.25">
      <c r="A3" s="42" t="s">
        <v>121</v>
      </c>
      <c r="B3" s="42" t="s">
        <v>120</v>
      </c>
      <c r="C3" s="42" t="s">
        <v>110</v>
      </c>
      <c r="D3" s="42" t="s">
        <v>121</v>
      </c>
      <c r="E3" s="42" t="s">
        <v>120</v>
      </c>
      <c r="F3" s="42" t="s">
        <v>111</v>
      </c>
      <c r="G3" s="42" t="s">
        <v>123</v>
      </c>
      <c r="H3" s="42" t="s">
        <v>124</v>
      </c>
      <c r="I3" s="42" t="s">
        <v>114</v>
      </c>
      <c r="J3" s="42" t="s">
        <v>125</v>
      </c>
      <c r="K3" s="42" t="s">
        <v>126</v>
      </c>
      <c r="L3" s="42" t="s">
        <v>127</v>
      </c>
    </row>
    <row r="4" spans="1:12" x14ac:dyDescent="0.25">
      <c r="A4" s="42" t="s">
        <v>128</v>
      </c>
      <c r="B4" s="42" t="s">
        <v>129</v>
      </c>
      <c r="C4" s="42" t="s">
        <v>110</v>
      </c>
      <c r="D4" s="42" t="s">
        <v>116</v>
      </c>
      <c r="E4" s="42" t="s">
        <v>117</v>
      </c>
      <c r="F4" s="42" t="s">
        <v>111</v>
      </c>
      <c r="G4" s="42" t="s">
        <v>130</v>
      </c>
      <c r="H4" s="42" t="s">
        <v>131</v>
      </c>
      <c r="I4" s="42" t="s">
        <v>114</v>
      </c>
      <c r="J4" s="42" t="s">
        <v>120</v>
      </c>
      <c r="K4" s="42" t="s">
        <v>121</v>
      </c>
      <c r="L4" s="42" t="s">
        <v>122</v>
      </c>
    </row>
    <row r="5" spans="1:12" x14ac:dyDescent="0.25">
      <c r="A5" s="42" t="s">
        <v>126</v>
      </c>
      <c r="B5" s="42" t="s">
        <v>125</v>
      </c>
      <c r="C5" s="42" t="s">
        <v>110</v>
      </c>
      <c r="D5" s="42" t="s">
        <v>121</v>
      </c>
      <c r="E5" s="42" t="s">
        <v>120</v>
      </c>
      <c r="F5" s="42" t="s">
        <v>111</v>
      </c>
      <c r="G5" s="42" t="s">
        <v>132</v>
      </c>
      <c r="H5" s="42" t="s">
        <v>133</v>
      </c>
      <c r="I5" s="42" t="s">
        <v>114</v>
      </c>
      <c r="J5" s="42" t="s">
        <v>125</v>
      </c>
      <c r="K5" s="42" t="s">
        <v>126</v>
      </c>
      <c r="L5" s="42" t="s">
        <v>127</v>
      </c>
    </row>
    <row r="6" spans="1:12" x14ac:dyDescent="0.25">
      <c r="A6" s="42" t="s">
        <v>134</v>
      </c>
      <c r="B6" s="42" t="s">
        <v>135</v>
      </c>
      <c r="C6" s="42" t="s">
        <v>110</v>
      </c>
      <c r="D6" s="42" t="s">
        <v>116</v>
      </c>
      <c r="E6" s="42" t="s">
        <v>117</v>
      </c>
      <c r="F6" s="42" t="s">
        <v>111</v>
      </c>
      <c r="G6" s="42" t="s">
        <v>136</v>
      </c>
      <c r="H6" s="42" t="s">
        <v>137</v>
      </c>
      <c r="I6" s="42" t="s">
        <v>114</v>
      </c>
      <c r="J6" s="42" t="s">
        <v>120</v>
      </c>
      <c r="K6" s="42" t="s">
        <v>121</v>
      </c>
      <c r="L6" s="42" t="s">
        <v>122</v>
      </c>
    </row>
    <row r="7" spans="1:12" x14ac:dyDescent="0.25">
      <c r="A7" s="42" t="s">
        <v>138</v>
      </c>
      <c r="B7" s="42" t="s">
        <v>139</v>
      </c>
      <c r="C7" s="42" t="s">
        <v>110</v>
      </c>
      <c r="D7" s="42" t="s">
        <v>121</v>
      </c>
      <c r="E7" s="42" t="s">
        <v>120</v>
      </c>
      <c r="F7" s="42" t="s">
        <v>111</v>
      </c>
      <c r="G7" s="42" t="s">
        <v>140</v>
      </c>
      <c r="H7" s="42" t="s">
        <v>141</v>
      </c>
      <c r="I7" s="42" t="s">
        <v>114</v>
      </c>
      <c r="J7" s="42" t="s">
        <v>125</v>
      </c>
      <c r="K7" s="42" t="s">
        <v>126</v>
      </c>
      <c r="L7" s="42" t="s">
        <v>127</v>
      </c>
    </row>
    <row r="8" spans="1:12" x14ac:dyDescent="0.25">
      <c r="A8" s="42" t="s">
        <v>142</v>
      </c>
      <c r="B8" s="42" t="s">
        <v>143</v>
      </c>
      <c r="C8" s="42" t="s">
        <v>110</v>
      </c>
      <c r="D8" s="42" t="s">
        <v>116</v>
      </c>
      <c r="E8" s="42" t="s">
        <v>117</v>
      </c>
      <c r="F8" s="42" t="s">
        <v>111</v>
      </c>
      <c r="G8" s="42" t="s">
        <v>144</v>
      </c>
      <c r="H8" s="42" t="s">
        <v>145</v>
      </c>
      <c r="I8" s="42" t="s">
        <v>114</v>
      </c>
      <c r="J8" s="42" t="s">
        <v>120</v>
      </c>
      <c r="K8" s="42" t="s">
        <v>121</v>
      </c>
      <c r="L8" s="42" t="s">
        <v>122</v>
      </c>
    </row>
    <row r="9" spans="1:12" x14ac:dyDescent="0.25">
      <c r="A9" s="42" t="s">
        <v>108</v>
      </c>
      <c r="B9" s="42" t="s">
        <v>109</v>
      </c>
      <c r="C9" s="42" t="s">
        <v>110</v>
      </c>
      <c r="D9" s="42" t="s">
        <v>121</v>
      </c>
      <c r="E9" s="42" t="s">
        <v>120</v>
      </c>
      <c r="F9" s="42" t="s">
        <v>111</v>
      </c>
      <c r="G9" s="42" t="s">
        <v>146</v>
      </c>
      <c r="H9" s="42" t="s">
        <v>147</v>
      </c>
      <c r="I9" s="42" t="s">
        <v>114</v>
      </c>
      <c r="J9" s="42" t="s">
        <v>125</v>
      </c>
      <c r="K9" s="42" t="s">
        <v>126</v>
      </c>
      <c r="L9" s="42" t="s">
        <v>127</v>
      </c>
    </row>
    <row r="10" spans="1:12" x14ac:dyDescent="0.25">
      <c r="A10" s="42" t="s">
        <v>116</v>
      </c>
      <c r="B10" s="42" t="s">
        <v>117</v>
      </c>
      <c r="C10" s="42" t="s">
        <v>110</v>
      </c>
      <c r="D10" s="42" t="s">
        <v>116</v>
      </c>
      <c r="E10" s="42" t="s">
        <v>117</v>
      </c>
      <c r="F10" s="42" t="s">
        <v>111</v>
      </c>
      <c r="G10" s="42" t="s">
        <v>148</v>
      </c>
      <c r="H10" s="42" t="s">
        <v>149</v>
      </c>
      <c r="I10" s="42" t="s">
        <v>114</v>
      </c>
      <c r="J10" s="42" t="s">
        <v>120</v>
      </c>
      <c r="K10" s="42" t="s">
        <v>121</v>
      </c>
      <c r="L10" s="42" t="s">
        <v>122</v>
      </c>
    </row>
    <row r="11" spans="1:12" x14ac:dyDescent="0.25">
      <c r="A11" s="42" t="s">
        <v>121</v>
      </c>
      <c r="B11" s="42" t="s">
        <v>120</v>
      </c>
      <c r="C11" s="42" t="s">
        <v>110</v>
      </c>
      <c r="D11" s="42" t="s">
        <v>121</v>
      </c>
      <c r="E11" s="42" t="s">
        <v>120</v>
      </c>
      <c r="F11" s="42" t="s">
        <v>111</v>
      </c>
      <c r="G11" s="42" t="s">
        <v>150</v>
      </c>
      <c r="H11" s="42" t="s">
        <v>151</v>
      </c>
      <c r="I11" s="42" t="s">
        <v>114</v>
      </c>
      <c r="J11" s="42" t="s">
        <v>125</v>
      </c>
      <c r="K11" s="42" t="s">
        <v>126</v>
      </c>
      <c r="L11" s="42" t="s">
        <v>127</v>
      </c>
    </row>
    <row r="12" spans="1:12" x14ac:dyDescent="0.25">
      <c r="A12" s="42" t="s">
        <v>128</v>
      </c>
      <c r="B12" s="42" t="s">
        <v>129</v>
      </c>
      <c r="C12" s="42" t="s">
        <v>110</v>
      </c>
      <c r="D12" s="42" t="s">
        <v>116</v>
      </c>
      <c r="E12" s="42" t="s">
        <v>117</v>
      </c>
      <c r="F12" s="42" t="s">
        <v>111</v>
      </c>
      <c r="G12" s="42" t="s">
        <v>152</v>
      </c>
      <c r="H12" s="42" t="s">
        <v>153</v>
      </c>
      <c r="I12" s="42" t="s">
        <v>114</v>
      </c>
      <c r="J12" s="42" t="s">
        <v>120</v>
      </c>
      <c r="K12" s="42" t="s">
        <v>121</v>
      </c>
      <c r="L12" s="42" t="s">
        <v>122</v>
      </c>
    </row>
    <row r="13" spans="1:12" x14ac:dyDescent="0.25">
      <c r="A13" s="42" t="s">
        <v>126</v>
      </c>
      <c r="B13" s="42" t="s">
        <v>125</v>
      </c>
      <c r="C13" s="42" t="s">
        <v>110</v>
      </c>
      <c r="D13" s="42" t="s">
        <v>116</v>
      </c>
      <c r="E13" s="42" t="s">
        <v>117</v>
      </c>
      <c r="F13" s="42" t="s">
        <v>111</v>
      </c>
      <c r="G13" s="42" t="s">
        <v>154</v>
      </c>
      <c r="H13" s="42" t="s">
        <v>155</v>
      </c>
      <c r="I13" s="42" t="s">
        <v>114</v>
      </c>
      <c r="J13" s="42" t="s">
        <v>120</v>
      </c>
      <c r="K13" s="42" t="s">
        <v>121</v>
      </c>
      <c r="L13" s="42" t="s">
        <v>122</v>
      </c>
    </row>
    <row r="14" spans="1:12" x14ac:dyDescent="0.25">
      <c r="A14" s="42" t="s">
        <v>134</v>
      </c>
      <c r="B14" s="42" t="s">
        <v>135</v>
      </c>
      <c r="C14" s="42" t="s">
        <v>110</v>
      </c>
      <c r="D14" s="42" t="s">
        <v>121</v>
      </c>
      <c r="E14" s="42" t="s">
        <v>120</v>
      </c>
      <c r="F14" s="42" t="s">
        <v>111</v>
      </c>
      <c r="G14" s="42" t="s">
        <v>156</v>
      </c>
      <c r="H14" s="42" t="s">
        <v>157</v>
      </c>
      <c r="I14" s="42" t="s">
        <v>114</v>
      </c>
      <c r="J14" s="42" t="s">
        <v>125</v>
      </c>
      <c r="K14" s="42" t="s">
        <v>126</v>
      </c>
      <c r="L14" s="42" t="s">
        <v>127</v>
      </c>
    </row>
    <row r="15" spans="1:12" x14ac:dyDescent="0.25">
      <c r="A15" s="42" t="s">
        <v>138</v>
      </c>
      <c r="B15" s="42" t="s">
        <v>139</v>
      </c>
      <c r="C15" s="42" t="s">
        <v>110</v>
      </c>
      <c r="D15" s="42" t="s">
        <v>116</v>
      </c>
      <c r="E15" s="42" t="s">
        <v>117</v>
      </c>
      <c r="F15" s="42" t="s">
        <v>111</v>
      </c>
      <c r="G15" s="42" t="s">
        <v>158</v>
      </c>
      <c r="H15" s="42" t="s">
        <v>159</v>
      </c>
      <c r="I15" s="42" t="s">
        <v>114</v>
      </c>
      <c r="J15" s="42" t="s">
        <v>120</v>
      </c>
      <c r="K15" s="42" t="s">
        <v>121</v>
      </c>
      <c r="L15" s="42" t="s">
        <v>122</v>
      </c>
    </row>
    <row r="16" spans="1:12" x14ac:dyDescent="0.25">
      <c r="A16" s="42" t="s">
        <v>142</v>
      </c>
      <c r="B16" s="42" t="s">
        <v>143</v>
      </c>
      <c r="C16" s="42" t="s">
        <v>110</v>
      </c>
      <c r="D16" s="42" t="s">
        <v>121</v>
      </c>
      <c r="E16" s="42" t="s">
        <v>120</v>
      </c>
      <c r="F16" s="42" t="s">
        <v>111</v>
      </c>
      <c r="G16" s="42" t="s">
        <v>160</v>
      </c>
      <c r="H16" s="42" t="s">
        <v>161</v>
      </c>
      <c r="I16" s="42" t="s">
        <v>114</v>
      </c>
      <c r="J16" s="42" t="s">
        <v>125</v>
      </c>
      <c r="K16" s="42" t="s">
        <v>126</v>
      </c>
      <c r="L16" s="42" t="s">
        <v>127</v>
      </c>
    </row>
    <row r="17" spans="1:12" x14ac:dyDescent="0.25">
      <c r="A17" s="42" t="s">
        <v>108</v>
      </c>
      <c r="B17" s="42" t="s">
        <v>109</v>
      </c>
      <c r="C17" s="42" t="s">
        <v>110</v>
      </c>
      <c r="D17" s="42" t="s">
        <v>116</v>
      </c>
      <c r="E17" s="42" t="s">
        <v>117</v>
      </c>
      <c r="F17" s="42" t="s">
        <v>111</v>
      </c>
      <c r="G17" s="42" t="s">
        <v>162</v>
      </c>
      <c r="H17" s="42" t="s">
        <v>163</v>
      </c>
      <c r="I17" s="42" t="s">
        <v>114</v>
      </c>
      <c r="J17" s="42" t="s">
        <v>120</v>
      </c>
      <c r="K17" s="42" t="s">
        <v>121</v>
      </c>
      <c r="L17" s="42" t="s">
        <v>122</v>
      </c>
    </row>
    <row r="18" spans="1:12" x14ac:dyDescent="0.25">
      <c r="A18" s="42" t="s">
        <v>116</v>
      </c>
      <c r="B18" s="42" t="s">
        <v>117</v>
      </c>
      <c r="C18" s="42" t="s">
        <v>110</v>
      </c>
      <c r="D18" s="42" t="s">
        <v>121</v>
      </c>
      <c r="E18" s="42" t="s">
        <v>120</v>
      </c>
      <c r="F18" s="42" t="s">
        <v>111</v>
      </c>
      <c r="G18" s="42" t="s">
        <v>164</v>
      </c>
      <c r="H18" s="42" t="s">
        <v>165</v>
      </c>
      <c r="I18" s="42" t="s">
        <v>114</v>
      </c>
      <c r="J18" s="42" t="s">
        <v>125</v>
      </c>
      <c r="K18" s="42" t="s">
        <v>126</v>
      </c>
      <c r="L18" s="42" t="s">
        <v>127</v>
      </c>
    </row>
    <row r="19" spans="1:12" x14ac:dyDescent="0.25">
      <c r="A19" s="42" t="s">
        <v>121</v>
      </c>
      <c r="B19" s="42" t="s">
        <v>120</v>
      </c>
      <c r="C19" s="42" t="s">
        <v>110</v>
      </c>
      <c r="D19" s="42" t="s">
        <v>116</v>
      </c>
      <c r="E19" s="42" t="s">
        <v>117</v>
      </c>
      <c r="F19" s="42" t="s">
        <v>111</v>
      </c>
      <c r="G19" s="42" t="s">
        <v>166</v>
      </c>
      <c r="H19" s="42" t="s">
        <v>167</v>
      </c>
      <c r="I19" s="42" t="s">
        <v>114</v>
      </c>
      <c r="J19" s="42" t="s">
        <v>120</v>
      </c>
      <c r="K19" s="42" t="s">
        <v>121</v>
      </c>
      <c r="L19" s="42" t="s">
        <v>122</v>
      </c>
    </row>
    <row r="20" spans="1:12" x14ac:dyDescent="0.25">
      <c r="A20" s="42" t="s">
        <v>128</v>
      </c>
      <c r="B20" s="42" t="s">
        <v>129</v>
      </c>
    </row>
    <row r="21" spans="1:12" x14ac:dyDescent="0.25">
      <c r="A21" s="42" t="s">
        <v>126</v>
      </c>
      <c r="B21" s="42" t="s">
        <v>125</v>
      </c>
    </row>
    <row r="22" spans="1:12" x14ac:dyDescent="0.25">
      <c r="A22" s="42" t="s">
        <v>134</v>
      </c>
      <c r="B22" s="42" t="s">
        <v>135</v>
      </c>
    </row>
    <row r="23" spans="1:12" x14ac:dyDescent="0.25">
      <c r="A23" s="42" t="s">
        <v>138</v>
      </c>
      <c r="B23" s="42" t="s">
        <v>139</v>
      </c>
    </row>
    <row r="24" spans="1:12" x14ac:dyDescent="0.25">
      <c r="A24" s="42" t="s">
        <v>142</v>
      </c>
      <c r="B24" s="42" t="s">
        <v>143</v>
      </c>
    </row>
    <row r="25" spans="1:12" x14ac:dyDescent="0.25">
      <c r="A25" s="42" t="s">
        <v>108</v>
      </c>
      <c r="B25" s="42" t="s">
        <v>109</v>
      </c>
    </row>
    <row r="26" spans="1:12" x14ac:dyDescent="0.25">
      <c r="A26" s="42" t="s">
        <v>116</v>
      </c>
      <c r="B26" s="42" t="s">
        <v>117</v>
      </c>
    </row>
    <row r="27" spans="1:12" x14ac:dyDescent="0.25">
      <c r="A27" s="42" t="s">
        <v>121</v>
      </c>
      <c r="B27" s="42" t="s">
        <v>120</v>
      </c>
    </row>
    <row r="28" spans="1:12" x14ac:dyDescent="0.25">
      <c r="A28" s="42" t="s">
        <v>128</v>
      </c>
      <c r="B28" s="42" t="s">
        <v>129</v>
      </c>
    </row>
    <row r="29" spans="1:12" x14ac:dyDescent="0.25">
      <c r="A29" s="42" t="s">
        <v>126</v>
      </c>
      <c r="B29" s="42" t="s">
        <v>125</v>
      </c>
    </row>
    <row r="30" spans="1:12" x14ac:dyDescent="0.25">
      <c r="A30" s="42" t="s">
        <v>134</v>
      </c>
      <c r="B30" s="42" t="s">
        <v>135</v>
      </c>
    </row>
    <row r="31" spans="1:12" x14ac:dyDescent="0.25">
      <c r="A31" s="42" t="s">
        <v>138</v>
      </c>
      <c r="B31" s="42" t="s">
        <v>139</v>
      </c>
    </row>
    <row r="32" spans="1:12" x14ac:dyDescent="0.25">
      <c r="A32" s="42" t="s">
        <v>142</v>
      </c>
      <c r="B32" s="42" t="s">
        <v>143</v>
      </c>
    </row>
    <row r="33" spans="1:2" x14ac:dyDescent="0.25">
      <c r="A33" s="42" t="s">
        <v>108</v>
      </c>
      <c r="B33" s="42" t="s">
        <v>109</v>
      </c>
    </row>
    <row r="34" spans="1:2" x14ac:dyDescent="0.25">
      <c r="A34" s="42" t="s">
        <v>116</v>
      </c>
      <c r="B34" s="42" t="s">
        <v>117</v>
      </c>
    </row>
    <row r="35" spans="1:2" x14ac:dyDescent="0.25">
      <c r="A35" s="42" t="s">
        <v>121</v>
      </c>
      <c r="B35" s="42" t="s">
        <v>120</v>
      </c>
    </row>
    <row r="36" spans="1:2" x14ac:dyDescent="0.25">
      <c r="A36" s="42" t="s">
        <v>128</v>
      </c>
      <c r="B36" s="42" t="s">
        <v>129</v>
      </c>
    </row>
    <row r="37" spans="1:2" x14ac:dyDescent="0.25">
      <c r="A37" s="42" t="s">
        <v>126</v>
      </c>
      <c r="B37" s="4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2025-07-18T12:16:39Z</dcterms:created>
  <dcterms:modified xsi:type="dcterms:W3CDTF">2025-07-18T12:16:39Z</dcterms:modified>
</cp:coreProperties>
</file>