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il\Dropbox\Phil_Rutherford_LLC\www.philrutherford.com\Reliability\"/>
    </mc:Choice>
  </mc:AlternateContent>
  <xr:revisionPtr revIDLastSave="0" documentId="13_ncr:1_{8A5CD360-6D26-4C2C-AD5B-E43803EBC69A}" xr6:coauthVersionLast="40" xr6:coauthVersionMax="40" xr10:uidLastSave="{00000000-0000-0000-0000-000000000000}"/>
  <bookViews>
    <workbookView xWindow="28800" yWindow="0" windowWidth="28800" windowHeight="15600" xr2:uid="{00000000-000D-0000-FFFF-FFFF00000000}"/>
  </bookViews>
  <sheets>
    <sheet name="SERPAR" sheetId="1" r:id="rId1"/>
  </sheets>
  <definedNames>
    <definedName name="_Regression_Int" localSheetId="0" hidden="1">1</definedName>
    <definedName name="_xlnm.Print_Area" localSheetId="0">SERPAR!$A$1:$L$22</definedName>
    <definedName name="Print_Area_MI" localSheetId="0">SERPAR!$A$1:$L$21</definedName>
  </definedNames>
  <calcPr calcId="191029" iterate="1" iterateCount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" i="1" l="1"/>
  <c r="L1" i="1"/>
  <c r="D3" i="1"/>
  <c r="F3" i="1"/>
  <c r="E3" i="1" s="1"/>
  <c r="I3" i="1"/>
  <c r="J3" i="1"/>
  <c r="L3" i="1"/>
  <c r="D4" i="1"/>
  <c r="F4" i="1" s="1"/>
  <c r="E4" i="1" s="1"/>
  <c r="H4" i="1" s="1"/>
  <c r="I4" i="1"/>
  <c r="J4" i="1"/>
  <c r="L4" i="1"/>
  <c r="D5" i="1"/>
  <c r="F5" i="1" s="1"/>
  <c r="I5" i="1"/>
  <c r="J5" i="1"/>
  <c r="L5" i="1"/>
  <c r="D6" i="1"/>
  <c r="F6" i="1" s="1"/>
  <c r="E6" i="1" s="1"/>
  <c r="H6" i="1" s="1"/>
  <c r="I6" i="1"/>
  <c r="J6" i="1"/>
  <c r="L6" i="1"/>
  <c r="D7" i="1"/>
  <c r="F7" i="1" s="1"/>
  <c r="E7" i="1" s="1"/>
  <c r="H7" i="1" s="1"/>
  <c r="I7" i="1"/>
  <c r="J7" i="1"/>
  <c r="L7" i="1"/>
  <c r="D8" i="1"/>
  <c r="F8" i="1" s="1"/>
  <c r="E8" i="1" s="1"/>
  <c r="H8" i="1" s="1"/>
  <c r="I8" i="1"/>
  <c r="J8" i="1"/>
  <c r="L8" i="1"/>
  <c r="D9" i="1"/>
  <c r="F9" i="1" s="1"/>
  <c r="E9" i="1" s="1"/>
  <c r="H9" i="1" s="1"/>
  <c r="I9" i="1"/>
  <c r="J9" i="1"/>
  <c r="L9" i="1"/>
  <c r="D10" i="1"/>
  <c r="F10" i="1" s="1"/>
  <c r="E10" i="1" s="1"/>
  <c r="H10" i="1" s="1"/>
  <c r="I10" i="1"/>
  <c r="J10" i="1"/>
  <c r="K10" i="1"/>
  <c r="L10" i="1"/>
  <c r="D11" i="1"/>
  <c r="F11" i="1" s="1"/>
  <c r="E11" i="1" s="1"/>
  <c r="H11" i="1" s="1"/>
  <c r="I11" i="1"/>
  <c r="J11" i="1"/>
  <c r="K11" i="1"/>
  <c r="L11" i="1"/>
  <c r="D12" i="1"/>
  <c r="F12" i="1"/>
  <c r="E12" i="1" s="1"/>
  <c r="H12" i="1" s="1"/>
  <c r="I12" i="1"/>
  <c r="J12" i="1"/>
  <c r="K12" i="1"/>
  <c r="L12" i="1"/>
  <c r="B13" i="1"/>
  <c r="B15" i="1"/>
  <c r="F19" i="1"/>
  <c r="D13" i="1" l="1"/>
  <c r="I19" i="1"/>
  <c r="C19" i="1" s="1"/>
  <c r="E5" i="1"/>
  <c r="H5" i="1" s="1"/>
  <c r="F15" i="1"/>
  <c r="J19" i="1"/>
  <c r="K5" i="1" s="1"/>
  <c r="L19" i="1"/>
  <c r="H3" i="1"/>
  <c r="E19" i="1" s="1"/>
  <c r="E13" i="1"/>
  <c r="K9" i="1" l="1"/>
  <c r="K8" i="1"/>
  <c r="K7" i="1"/>
  <c r="K4" i="1"/>
  <c r="K3" i="1"/>
  <c r="K6" i="1"/>
  <c r="D15" i="1"/>
  <c r="C15" i="1" s="1"/>
  <c r="E15" i="1"/>
  <c r="K19" i="1" l="1"/>
  <c r="B19" i="1" s="1"/>
  <c r="D19" i="1" s="1"/>
</calcChain>
</file>

<file path=xl/sharedStrings.xml><?xml version="1.0" encoding="utf-8"?>
<sst xmlns="http://schemas.openxmlformats.org/spreadsheetml/2006/main" count="31" uniqueCount="30">
  <si>
    <t>SERIES-PARALLEL NETWORKS</t>
  </si>
  <si>
    <t>U*</t>
  </si>
  <si>
    <t>FR*</t>
  </si>
  <si>
    <t>-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</si>
  <si>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</si>
  <si>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</si>
  <si>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</si>
  <si>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</si>
  <si>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</si>
  <si>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</si>
  <si>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</si>
  <si>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</si>
  <si>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</si>
  <si>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</si>
  <si>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SUM</t>
  </si>
  <si>
    <t>SERIES RBD</t>
  </si>
  <si>
    <t>PARALLEL FSD</t>
  </si>
  <si>
    <t>"OR" GATE</t>
  </si>
  <si>
    <t>PARALLEL RBD</t>
  </si>
  <si>
    <t>SERIES FSD</t>
  </si>
  <si>
    <t>"AND" GATE</t>
  </si>
  <si>
    <t>Item</t>
  </si>
  <si>
    <t>FR*RT</t>
  </si>
  <si>
    <t>1/RT</t>
  </si>
  <si>
    <t>RT*</t>
  </si>
  <si>
    <t>MULT(RT)</t>
  </si>
  <si>
    <r>
      <t>Reliability
(e</t>
    </r>
    <r>
      <rPr>
        <vertAlign val="superscript"/>
        <sz val="11"/>
        <rFont val="Calibri"/>
        <family val="2"/>
        <scheme val="minor"/>
      </rPr>
      <t>-FR*RT</t>
    </r>
    <r>
      <rPr>
        <sz val="11"/>
        <rFont val="Calibri"/>
        <family val="2"/>
        <scheme val="minor"/>
      </rPr>
      <t>)</t>
    </r>
  </si>
  <si>
    <r>
      <t>Unreliability
(1 - e</t>
    </r>
    <r>
      <rPr>
        <vertAlign val="superscript"/>
        <sz val="11"/>
        <rFont val="Calibri"/>
        <family val="2"/>
        <scheme val="minor"/>
      </rPr>
      <t>-FR*RT</t>
    </r>
    <r>
      <rPr>
        <sz val="11"/>
        <rFont val="Calibri"/>
        <family val="2"/>
        <scheme val="minor"/>
      </rPr>
      <t>)</t>
    </r>
  </si>
  <si>
    <t>Failure
Rate (/hr)</t>
  </si>
  <si>
    <t>Repair
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</si>
</sst>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\ AM/PM_)"/>
    <numFmt numFmtId="165" formatCode="mm/dd/yy_)"/>
    <numFmt numFmtId="166" formatCode="0.0E+00_)"/>
    <numFmt numFmtId="167" formatCode="0.00000_)"/>
  </numFmts>
  <fonts count="3" x14ac:knownFonts="1">
    <font>
      <sz val="10"/>
      <name val="Courie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2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/>
    </xf>
    <xf numFmtId="166" fontId="1" fillId="0" borderId="1" xfId="0" applyNumberFormat="1" applyFont="1" applyBorder="1" applyAlignment="1" applyProtection="1">
      <alignment horizontal="center" vertical="center"/>
    </xf>
    <xf numFmtId="166" fontId="1" fillId="0" borderId="0" xfId="0" applyNumberFormat="1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left"/>
    </xf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 applyProtection="1">
      <alignment horizontal="center" vertical="center"/>
    </xf>
    <xf numFmtId="165" fontId="1" fillId="0" borderId="3" xfId="0" applyNumberFormat="1" applyFont="1" applyBorder="1" applyAlignment="1" applyProtection="1">
      <alignment horizontal="center" vertical="center"/>
    </xf>
    <xf numFmtId="167" fontId="1" fillId="0" borderId="0" xfId="0" applyNumberFormat="1" applyFont="1" applyBorder="1" applyAlignment="1" applyProtection="1">
      <alignment horizontal="center"/>
    </xf>
    <xf numFmtId="166" fontId="1" fillId="0" borderId="5" xfId="0" applyNumberFormat="1" applyFont="1" applyBorder="1" applyAlignment="1" applyProtection="1">
      <alignment horizontal="center"/>
    </xf>
    <xf numFmtId="167" fontId="1" fillId="0" borderId="1" xfId="0" applyNumberFormat="1" applyFont="1" applyBorder="1" applyAlignment="1" applyProtection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 vertical="center" wrapText="1"/>
    </xf>
    <xf numFmtId="166" fontId="1" fillId="2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L22"/>
  <sheetViews>
    <sheetView showGridLines="0" tabSelected="1" workbookViewId="0">
      <selection activeCell="E28" sqref="E28"/>
    </sheetView>
  </sheetViews>
  <sheetFormatPr defaultColWidth="9.625" defaultRowHeight="12" x14ac:dyDescent="0.15"/>
  <cols>
    <col min="1" max="1" width="12.625" customWidth="1"/>
    <col min="2" max="4" width="9.625" style="16"/>
    <col min="5" max="5" width="11.875" style="16" customWidth="1"/>
    <col min="6" max="12" width="9.625" style="16"/>
  </cols>
  <sheetData>
    <row r="1" spans="1:12" s="1" customFormat="1" ht="26.25" customHeight="1" thickBot="1" x14ac:dyDescent="0.2">
      <c r="A1" s="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7">
        <f ca="1">NOW()</f>
        <v>43519.849520138887</v>
      </c>
      <c r="L1" s="18">
        <f ca="1">NOW()</f>
        <v>43519.849520138887</v>
      </c>
    </row>
    <row r="2" spans="1:12" s="1" customFormat="1" ht="36" customHeight="1" thickBot="1" x14ac:dyDescent="0.2">
      <c r="A2" s="3" t="s">
        <v>21</v>
      </c>
      <c r="B2" s="25" t="s">
        <v>28</v>
      </c>
      <c r="C2" s="25" t="s">
        <v>29</v>
      </c>
      <c r="D2" s="4" t="s">
        <v>22</v>
      </c>
      <c r="E2" s="25" t="s">
        <v>27</v>
      </c>
      <c r="F2" s="25" t="s">
        <v>26</v>
      </c>
      <c r="G2" s="13"/>
      <c r="H2" s="4" t="s">
        <v>1</v>
      </c>
      <c r="I2" s="4" t="s">
        <v>23</v>
      </c>
      <c r="J2" s="4" t="s">
        <v>24</v>
      </c>
      <c r="K2" s="4" t="s">
        <v>25</v>
      </c>
      <c r="L2" s="5" t="s">
        <v>2</v>
      </c>
    </row>
    <row r="3" spans="1:12" ht="15" x14ac:dyDescent="0.25">
      <c r="A3" s="6" t="s">
        <v>4</v>
      </c>
      <c r="B3" s="26">
        <v>1E-4</v>
      </c>
      <c r="C3" s="26">
        <v>1</v>
      </c>
      <c r="D3" s="8">
        <f t="shared" ref="D3:D12" si="0">B3*C3</f>
        <v>1E-4</v>
      </c>
      <c r="E3" s="19">
        <f t="shared" ref="E3:E12" si="1">1-F3</f>
        <v>9.999500016666385E-5</v>
      </c>
      <c r="F3" s="19">
        <f t="shared" ref="F3:F12" si="2">EXP(-D3)</f>
        <v>0.99990000499983334</v>
      </c>
      <c r="G3" s="14"/>
      <c r="H3" s="19">
        <f t="shared" ref="H3:H12" si="3">IF(E3&gt;0,E3,1)</f>
        <v>9.999500016666385E-5</v>
      </c>
      <c r="I3" s="8">
        <f t="shared" ref="I3:I12" si="4">IF(C3&gt;0,1/C3,0)</f>
        <v>1</v>
      </c>
      <c r="J3" s="8">
        <f t="shared" ref="J3:J12" si="5">IF(C3&gt;1,C3,1)</f>
        <v>1</v>
      </c>
      <c r="K3" s="8">
        <f t="shared" ref="K3:K12" si="6">IF(C3&gt;0,J$19/C3,0)</f>
        <v>5040</v>
      </c>
      <c r="L3" s="20">
        <f t="shared" ref="L3:L12" si="7">IF(B3&gt;0,B3,1)</f>
        <v>1E-4</v>
      </c>
    </row>
    <row r="4" spans="1:12" ht="15" x14ac:dyDescent="0.25">
      <c r="A4" s="6" t="s">
        <v>5</v>
      </c>
      <c r="B4" s="26">
        <v>0.03</v>
      </c>
      <c r="C4" s="26">
        <v>2</v>
      </c>
      <c r="D4" s="8">
        <f t="shared" si="0"/>
        <v>0.06</v>
      </c>
      <c r="E4" s="19">
        <f t="shared" si="1"/>
        <v>5.823546641575128E-2</v>
      </c>
      <c r="F4" s="19">
        <f t="shared" si="2"/>
        <v>0.94176453358424872</v>
      </c>
      <c r="G4" s="14"/>
      <c r="H4" s="19">
        <f t="shared" si="3"/>
        <v>5.823546641575128E-2</v>
      </c>
      <c r="I4" s="8">
        <f t="shared" si="4"/>
        <v>0.5</v>
      </c>
      <c r="J4" s="8">
        <f t="shared" si="5"/>
        <v>2</v>
      </c>
      <c r="K4" s="8">
        <f t="shared" si="6"/>
        <v>2520</v>
      </c>
      <c r="L4" s="20">
        <f t="shared" si="7"/>
        <v>0.03</v>
      </c>
    </row>
    <row r="5" spans="1:12" ht="15" x14ac:dyDescent="0.25">
      <c r="A5" s="6" t="s">
        <v>6</v>
      </c>
      <c r="B5" s="26">
        <v>7.0000000000000001E-3</v>
      </c>
      <c r="C5" s="26">
        <v>3</v>
      </c>
      <c r="D5" s="8">
        <f t="shared" si="0"/>
        <v>2.1000000000000001E-2</v>
      </c>
      <c r="E5" s="19">
        <f t="shared" si="1"/>
        <v>2.078103543054044E-2</v>
      </c>
      <c r="F5" s="19">
        <f t="shared" si="2"/>
        <v>0.97921896456945956</v>
      </c>
      <c r="G5" s="14"/>
      <c r="H5" s="19">
        <f t="shared" si="3"/>
        <v>2.078103543054044E-2</v>
      </c>
      <c r="I5" s="8">
        <f t="shared" si="4"/>
        <v>0.33333333333333331</v>
      </c>
      <c r="J5" s="8">
        <f t="shared" si="5"/>
        <v>3</v>
      </c>
      <c r="K5" s="8">
        <f t="shared" si="6"/>
        <v>1680</v>
      </c>
      <c r="L5" s="20">
        <f t="shared" si="7"/>
        <v>7.0000000000000001E-3</v>
      </c>
    </row>
    <row r="6" spans="1:12" ht="15" x14ac:dyDescent="0.25">
      <c r="A6" s="6" t="s">
        <v>7</v>
      </c>
      <c r="B6" s="26">
        <v>0.01</v>
      </c>
      <c r="C6" s="26">
        <v>4</v>
      </c>
      <c r="D6" s="8">
        <f t="shared" si="0"/>
        <v>0.04</v>
      </c>
      <c r="E6" s="19">
        <f t="shared" si="1"/>
        <v>3.9210560847676823E-2</v>
      </c>
      <c r="F6" s="19">
        <f t="shared" si="2"/>
        <v>0.96078943915232318</v>
      </c>
      <c r="G6" s="14"/>
      <c r="H6" s="19">
        <f t="shared" si="3"/>
        <v>3.9210560847676823E-2</v>
      </c>
      <c r="I6" s="8">
        <f t="shared" si="4"/>
        <v>0.25</v>
      </c>
      <c r="J6" s="8">
        <f t="shared" si="5"/>
        <v>4</v>
      </c>
      <c r="K6" s="8">
        <f t="shared" si="6"/>
        <v>1260</v>
      </c>
      <c r="L6" s="20">
        <f t="shared" si="7"/>
        <v>0.01</v>
      </c>
    </row>
    <row r="7" spans="1:12" ht="15" x14ac:dyDescent="0.25">
      <c r="A7" s="6" t="s">
        <v>8</v>
      </c>
      <c r="B7" s="26">
        <v>8.0000000000000004E-4</v>
      </c>
      <c r="C7" s="26">
        <v>5</v>
      </c>
      <c r="D7" s="8">
        <f t="shared" si="0"/>
        <v>4.0000000000000001E-3</v>
      </c>
      <c r="E7" s="19">
        <f t="shared" si="1"/>
        <v>3.9920106560085156E-3</v>
      </c>
      <c r="F7" s="19">
        <f t="shared" si="2"/>
        <v>0.99600798934399148</v>
      </c>
      <c r="G7" s="14"/>
      <c r="H7" s="19">
        <f t="shared" si="3"/>
        <v>3.9920106560085156E-3</v>
      </c>
      <c r="I7" s="8">
        <f t="shared" si="4"/>
        <v>0.2</v>
      </c>
      <c r="J7" s="8">
        <f t="shared" si="5"/>
        <v>5</v>
      </c>
      <c r="K7" s="8">
        <f t="shared" si="6"/>
        <v>1008</v>
      </c>
      <c r="L7" s="20">
        <f t="shared" si="7"/>
        <v>8.0000000000000004E-4</v>
      </c>
    </row>
    <row r="8" spans="1:12" ht="15" x14ac:dyDescent="0.25">
      <c r="A8" s="6" t="s">
        <v>9</v>
      </c>
      <c r="B8" s="26">
        <v>4.0000000000000001E-3</v>
      </c>
      <c r="C8" s="26">
        <v>6</v>
      </c>
      <c r="D8" s="8">
        <f t="shared" si="0"/>
        <v>2.4E-2</v>
      </c>
      <c r="E8" s="19">
        <f t="shared" si="1"/>
        <v>2.3714290242090708E-2</v>
      </c>
      <c r="F8" s="19">
        <f t="shared" si="2"/>
        <v>0.97628570975790929</v>
      </c>
      <c r="G8" s="14"/>
      <c r="H8" s="19">
        <f t="shared" si="3"/>
        <v>2.3714290242090708E-2</v>
      </c>
      <c r="I8" s="8">
        <f t="shared" si="4"/>
        <v>0.16666666666666666</v>
      </c>
      <c r="J8" s="8">
        <f t="shared" si="5"/>
        <v>6</v>
      </c>
      <c r="K8" s="8">
        <f t="shared" si="6"/>
        <v>840</v>
      </c>
      <c r="L8" s="20">
        <f t="shared" si="7"/>
        <v>4.0000000000000001E-3</v>
      </c>
    </row>
    <row r="9" spans="1:12" ht="15" x14ac:dyDescent="0.25">
      <c r="A9" s="6" t="s">
        <v>10</v>
      </c>
      <c r="B9" s="26">
        <v>5.0000000000000001E-4</v>
      </c>
      <c r="C9" s="26">
        <v>7</v>
      </c>
      <c r="D9" s="8">
        <f t="shared" si="0"/>
        <v>3.5000000000000001E-3</v>
      </c>
      <c r="E9" s="19">
        <f t="shared" si="1"/>
        <v>3.4938821395851249E-3</v>
      </c>
      <c r="F9" s="19">
        <f t="shared" si="2"/>
        <v>0.99650611786041488</v>
      </c>
      <c r="G9" s="14"/>
      <c r="H9" s="19">
        <f t="shared" si="3"/>
        <v>3.4938821395851249E-3</v>
      </c>
      <c r="I9" s="8">
        <f t="shared" si="4"/>
        <v>0.14285714285714285</v>
      </c>
      <c r="J9" s="8">
        <f t="shared" si="5"/>
        <v>7</v>
      </c>
      <c r="K9" s="8">
        <f t="shared" si="6"/>
        <v>720</v>
      </c>
      <c r="L9" s="20">
        <f t="shared" si="7"/>
        <v>5.0000000000000001E-4</v>
      </c>
    </row>
    <row r="10" spans="1:12" ht="15" x14ac:dyDescent="0.25">
      <c r="A10" s="6" t="s">
        <v>11</v>
      </c>
      <c r="B10" s="26">
        <v>0</v>
      </c>
      <c r="C10" s="26">
        <v>0</v>
      </c>
      <c r="D10" s="8">
        <f t="shared" si="0"/>
        <v>0</v>
      </c>
      <c r="E10" s="19">
        <f t="shared" si="1"/>
        <v>0</v>
      </c>
      <c r="F10" s="19">
        <f t="shared" si="2"/>
        <v>1</v>
      </c>
      <c r="G10" s="14"/>
      <c r="H10" s="19">
        <f t="shared" si="3"/>
        <v>1</v>
      </c>
      <c r="I10" s="8">
        <f t="shared" si="4"/>
        <v>0</v>
      </c>
      <c r="J10" s="8">
        <f t="shared" si="5"/>
        <v>1</v>
      </c>
      <c r="K10" s="8">
        <f t="shared" si="6"/>
        <v>0</v>
      </c>
      <c r="L10" s="20">
        <f t="shared" si="7"/>
        <v>1</v>
      </c>
    </row>
    <row r="11" spans="1:12" ht="15" x14ac:dyDescent="0.25">
      <c r="A11" s="6" t="s">
        <v>12</v>
      </c>
      <c r="B11" s="26">
        <v>0</v>
      </c>
      <c r="C11" s="26">
        <v>0</v>
      </c>
      <c r="D11" s="8">
        <f t="shared" si="0"/>
        <v>0</v>
      </c>
      <c r="E11" s="19">
        <f t="shared" si="1"/>
        <v>0</v>
      </c>
      <c r="F11" s="19">
        <f t="shared" si="2"/>
        <v>1</v>
      </c>
      <c r="G11" s="14"/>
      <c r="H11" s="19">
        <f t="shared" si="3"/>
        <v>1</v>
      </c>
      <c r="I11" s="8">
        <f t="shared" si="4"/>
        <v>0</v>
      </c>
      <c r="J11" s="8">
        <f t="shared" si="5"/>
        <v>1</v>
      </c>
      <c r="K11" s="8">
        <f t="shared" si="6"/>
        <v>0</v>
      </c>
      <c r="L11" s="20">
        <f t="shared" si="7"/>
        <v>1</v>
      </c>
    </row>
    <row r="12" spans="1:12" ht="15.75" thickBot="1" x14ac:dyDescent="0.3">
      <c r="A12" s="6" t="s">
        <v>13</v>
      </c>
      <c r="B12" s="26">
        <v>0</v>
      </c>
      <c r="C12" s="26">
        <v>0</v>
      </c>
      <c r="D12" s="8">
        <f t="shared" si="0"/>
        <v>0</v>
      </c>
      <c r="E12" s="19">
        <f t="shared" si="1"/>
        <v>0</v>
      </c>
      <c r="F12" s="19">
        <f t="shared" si="2"/>
        <v>1</v>
      </c>
      <c r="G12" s="14"/>
      <c r="H12" s="19">
        <f t="shared" si="3"/>
        <v>1</v>
      </c>
      <c r="I12" s="8">
        <f t="shared" si="4"/>
        <v>0</v>
      </c>
      <c r="J12" s="8">
        <f t="shared" si="5"/>
        <v>1</v>
      </c>
      <c r="K12" s="8">
        <f t="shared" si="6"/>
        <v>0</v>
      </c>
      <c r="L12" s="20">
        <f t="shared" si="7"/>
        <v>1</v>
      </c>
    </row>
    <row r="13" spans="1:12" s="1" customFormat="1" ht="24.75" customHeight="1" thickBot="1" x14ac:dyDescent="0.2">
      <c r="A13" s="3" t="s">
        <v>14</v>
      </c>
      <c r="B13" s="7">
        <f>SUM(B3:B12)</f>
        <v>5.2400000000000002E-2</v>
      </c>
      <c r="C13" s="7" t="s">
        <v>3</v>
      </c>
      <c r="D13" s="21">
        <f>SUM(D3:D12)</f>
        <v>0.15260000000000001</v>
      </c>
      <c r="E13" s="21">
        <f>SUM(E3:E12)</f>
        <v>0.14952724073181956</v>
      </c>
      <c r="F13" s="4" t="s">
        <v>3</v>
      </c>
      <c r="G13" s="13"/>
      <c r="H13" s="13"/>
      <c r="I13" s="13"/>
      <c r="J13" s="13"/>
      <c r="K13" s="13"/>
      <c r="L13" s="22"/>
    </row>
    <row r="14" spans="1:12" ht="15" x14ac:dyDescent="0.25">
      <c r="A14" s="6"/>
      <c r="B14" s="8"/>
      <c r="C14" s="8"/>
      <c r="D14" s="19"/>
      <c r="E14" s="19"/>
      <c r="F14" s="9"/>
      <c r="G14" s="14"/>
      <c r="H14" s="14"/>
      <c r="I14" s="14"/>
      <c r="J14" s="14"/>
      <c r="K14" s="14"/>
      <c r="L14" s="23"/>
    </row>
    <row r="15" spans="1:12" ht="15" x14ac:dyDescent="0.25">
      <c r="A15" s="10" t="s">
        <v>15</v>
      </c>
      <c r="B15" s="8">
        <f>SUM(B3:B12)</f>
        <v>5.2400000000000002E-2</v>
      </c>
      <c r="C15" s="8">
        <f>D15/B15</f>
        <v>2.912213740458018</v>
      </c>
      <c r="D15" s="19">
        <f>-LN(F15)</f>
        <v>0.15260000000000015</v>
      </c>
      <c r="E15" s="19">
        <f>1-F15</f>
        <v>0.14152695764034973</v>
      </c>
      <c r="F15" s="19">
        <f>F3*F4*F5*F6*F7*F8*F9*F10*F11*F12</f>
        <v>0.85847304235965027</v>
      </c>
      <c r="G15" s="14"/>
      <c r="H15" s="14"/>
      <c r="I15" s="8"/>
      <c r="J15" s="8"/>
      <c r="K15" s="8"/>
      <c r="L15" s="20"/>
    </row>
    <row r="16" spans="1:12" ht="15" x14ac:dyDescent="0.25">
      <c r="A16" s="10" t="s">
        <v>16</v>
      </c>
      <c r="B16" s="14"/>
      <c r="C16" s="14"/>
      <c r="D16" s="14"/>
      <c r="E16" s="14"/>
      <c r="F16" s="14"/>
      <c r="G16" s="14"/>
      <c r="H16" s="14"/>
      <c r="I16" s="8"/>
      <c r="J16" s="8"/>
      <c r="K16" s="8"/>
      <c r="L16" s="20"/>
    </row>
    <row r="17" spans="1:12" ht="15" x14ac:dyDescent="0.25">
      <c r="A17" s="10" t="s">
        <v>17</v>
      </c>
      <c r="B17" s="14"/>
      <c r="C17" s="14"/>
      <c r="D17" s="14"/>
      <c r="E17" s="14"/>
      <c r="F17" s="14"/>
      <c r="G17" s="14"/>
      <c r="H17" s="14"/>
      <c r="I17" s="8"/>
      <c r="J17" s="8"/>
      <c r="K17" s="8"/>
      <c r="L17" s="20"/>
    </row>
    <row r="18" spans="1:12" ht="15" x14ac:dyDescent="0.25">
      <c r="A18" s="11"/>
      <c r="B18" s="8"/>
      <c r="C18" s="8"/>
      <c r="D18" s="8"/>
      <c r="E18" s="14"/>
      <c r="F18" s="14"/>
      <c r="G18" s="14"/>
      <c r="H18" s="14"/>
      <c r="I18" s="8"/>
      <c r="J18" s="8"/>
      <c r="K18" s="8"/>
      <c r="L18" s="20"/>
    </row>
    <row r="19" spans="1:12" ht="15" x14ac:dyDescent="0.25">
      <c r="A19" s="10" t="s">
        <v>18</v>
      </c>
      <c r="B19" s="8">
        <f>K19*L19</f>
        <v>4.3908480000000003E-15</v>
      </c>
      <c r="C19" s="8">
        <f>1/I19</f>
        <v>0.38567493112947665</v>
      </c>
      <c r="D19" s="8">
        <f>B19*C19</f>
        <v>1.6934400000000004E-15</v>
      </c>
      <c r="E19" s="8">
        <f>H3*H4*H5*H6*H7*H8*H9*H10*H11*H12</f>
        <v>1.5694451930119752E-15</v>
      </c>
      <c r="F19" s="8">
        <f>1-E20</f>
        <v>1</v>
      </c>
      <c r="G19" s="14"/>
      <c r="H19" s="14"/>
      <c r="I19" s="8">
        <f>SUM(I3:I12)</f>
        <v>2.5928571428571425</v>
      </c>
      <c r="J19" s="8">
        <f>J3*J4*J5*J6*J7*J8*J9*J10*J11*J12</f>
        <v>5040</v>
      </c>
      <c r="K19" s="8">
        <f>SUM(K3:K12)</f>
        <v>13068</v>
      </c>
      <c r="L19" s="20">
        <f>L3*L4*L5*L6*L7*L8*L9*L10*L11*L12</f>
        <v>3.3600000000000003E-19</v>
      </c>
    </row>
    <row r="20" spans="1:12" ht="15" x14ac:dyDescent="0.25">
      <c r="A20" s="10" t="s">
        <v>19</v>
      </c>
      <c r="B20" s="8"/>
      <c r="C20" s="8"/>
      <c r="D20" s="8"/>
      <c r="E20" s="14"/>
      <c r="F20" s="14"/>
      <c r="G20" s="14"/>
      <c r="H20" s="14"/>
      <c r="I20" s="8"/>
      <c r="J20" s="8"/>
      <c r="K20" s="8"/>
      <c r="L20" s="20"/>
    </row>
    <row r="21" spans="1:12" ht="15" x14ac:dyDescent="0.25">
      <c r="A21" s="10" t="s">
        <v>20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23"/>
    </row>
    <row r="22" spans="1:12" ht="15.75" thickBot="1" x14ac:dyDescent="0.3">
      <c r="A22" s="12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24"/>
    </row>
  </sheetData>
  <phoneticPr fontId="0" type="noConversion"/>
  <printOptions horizontalCentered="1"/>
  <pageMargins left="0.75" right="0.75" top="1" bottom="1" header="0.5" footer="0.5"/>
  <pageSetup orientation="landscape" horizontalDpi="4294967294" r:id="rId1"/>
  <headerFooter alignWithMargins="0">
    <oddFooter>&amp;L&amp;"-,Regular"&amp;11&amp;F&amp;R&amp;"-,Regular"&amp;11February 23, 2019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SERPAR</vt:lpstr>
      <vt:lpstr>SERPAR!Print_Area</vt:lpstr>
      <vt:lpstr>SERPAR!Print_Area_MI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Rutherford</dc:creator>
  <cp:lastModifiedBy>Phil Rutherford</cp:lastModifiedBy>
  <cp:lastPrinted>2019-02-24T00:47:11Z</cp:lastPrinted>
  <dcterms:created xsi:type="dcterms:W3CDTF">2003-07-29T03:47:40Z</dcterms:created>
  <dcterms:modified xsi:type="dcterms:W3CDTF">2019-02-24T04:27:19Z</dcterms:modified>
</cp:coreProperties>
</file>